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alexandresavoy/Library/Mobile Documents/com~apple~CloudDocs/Job Architecture/"/>
    </mc:Choice>
  </mc:AlternateContent>
  <xr:revisionPtr revIDLastSave="0" documentId="13_ncr:1_{F4890ABE-0E1B-F545-9B9D-8DE7E37AD40D}" xr6:coauthVersionLast="47" xr6:coauthVersionMax="47" xr10:uidLastSave="{00000000-0000-0000-0000-000000000000}"/>
  <bookViews>
    <workbookView xWindow="2660" yWindow="1680" windowWidth="37260" windowHeight="19880" xr2:uid="{17C927C7-29E5-AB48-9B75-DCB1FDA67AE4}"/>
  </bookViews>
  <sheets>
    <sheet name="Job Profile" sheetId="1" r:id="rId1"/>
  </sheets>
  <externalReferences>
    <externalReference r:id="rId2"/>
    <externalReference r:id="rId3"/>
    <externalReference r:id="rId4"/>
    <externalReference r:id="rId5"/>
    <externalReference r:id="rId6"/>
    <externalReference r:id="rId7"/>
  </externalReferences>
  <definedNames>
    <definedName name="_xlnm._FilterDatabase" localSheetId="0" hidden="1">'Job Profile'!$A$1:$O$639</definedName>
    <definedName name="A">#REF!</definedName>
    <definedName name="ACB_X">#REF!</definedName>
    <definedName name="Band">#REF!</definedName>
    <definedName name="Bands">#REF!</definedName>
    <definedName name="Changes">#REF!</definedName>
    <definedName name="CodeTitle">#REF!</definedName>
    <definedName name="DescriptionsMaster">#REF!</definedName>
    <definedName name="Functions">#REF!</definedName>
    <definedName name="Master">#REF!</definedName>
    <definedName name="Matrix">#REF!</definedName>
    <definedName name="PD_SOURCE">#REF!</definedName>
    <definedName name="PDs">#REF!</definedName>
    <definedName name="PGContent_EN">#REF!</definedName>
    <definedName name="pidA21258872585">[2]PickLists!$C$1:$C$3</definedName>
    <definedName name="pidA21258872611">[2]PickLists!$D$1:$D$16</definedName>
    <definedName name="pidA21258872613">[2]PickLists!$E$1:$E$2</definedName>
    <definedName name="pidA21258872615">[2]PickLists!$F$1:$F$13</definedName>
    <definedName name="pidA21258872617">[2]PickLists!$G$1:$G$177</definedName>
    <definedName name="pidA21258872619">[2]PickLists!$H$1:$H$236</definedName>
    <definedName name="pidA21258872621">[2]PickLists!$I$1:$I$4</definedName>
    <definedName name="pidA21258872623">[2]PickLists!$J$1:$J$118</definedName>
    <definedName name="pidA21258872625">[2]PickLists!$K$1:$K$2</definedName>
    <definedName name="pidA21258872627">[2]PickLists!$L$1:$L$2</definedName>
    <definedName name="pidA21258872629">[2]PickLists!$M$1:$M$6</definedName>
    <definedName name="pidA21258872631">[2]PickLists!$N$1:$N$4</definedName>
    <definedName name="pidA21258872633">[2]PickLists!$O$1:$O$7</definedName>
    <definedName name="pidA21258872635">[2]PickLists!$P$1:$P$3</definedName>
    <definedName name="pidA21258872637">[2]PickLists!$Q$1:$Q$4</definedName>
    <definedName name="pidA21258872639">[2]PickLists!$R$1:$R$5</definedName>
    <definedName name="pidA21258872641">[2]PickLists!$S$1:$S$4</definedName>
    <definedName name="pidA21258872643">[2]PickLists!$T$1:$T$236</definedName>
    <definedName name="pidA21258872645">[2]PickLists!$U$1:$U$34</definedName>
    <definedName name="pidA21258872649">[2]PickLists!$V$1:$V$10</definedName>
    <definedName name="pidA21258872651">[2]PickLists!$W$1:$W$116</definedName>
    <definedName name="pidA21258872653">[2]PickLists!$X$1:$X$10</definedName>
    <definedName name="pidA21258872655">[2]PickLists!$Y$1:$Y$236</definedName>
    <definedName name="pidA21258872657">[2]PickLists!$Z$1:$Z$10</definedName>
    <definedName name="pidA21258872659">[2]PickLists!$AA$1:$AA$10</definedName>
    <definedName name="pidA21258872661">[2]PickLists!$AB$1:$AB$177</definedName>
    <definedName name="pidA21258872663">[2]PickLists!$AC$1:$AC$4</definedName>
    <definedName name="pidA21258872665">[2]PickLists!$AD$1:$AD$15</definedName>
    <definedName name="pidA21258872667">[2]PickLists!$AE$1:$AE$21</definedName>
    <definedName name="pidA21258872669">[2]PickLists!$AF$1:$AF$5</definedName>
    <definedName name="pidA21258872671">[2]PickLists!$AG$1:$AG$4</definedName>
    <definedName name="pidA21258872673">[2]PickLists!$AH$1:$AH$2</definedName>
    <definedName name="pidA21258872677">[2]PickLists!$AI$1:$AI$2</definedName>
    <definedName name="pidA21258872679">[2]PickLists!$AJ$1:$AJ$4</definedName>
    <definedName name="pidA21258872681">[2]PickLists!$AK$1:$AK$9</definedName>
    <definedName name="pidA21258872683">[2]PickLists!$AL$1:$AL$118</definedName>
    <definedName name="pidA21258872685">[2]PickLists!$AM$1:$AM$19</definedName>
    <definedName name="pidA21258872691">[2]PickLists!$AN$1:$AN$835</definedName>
    <definedName name="pidA21258872693">[2]PickLists!$AO$1:$AO$3</definedName>
    <definedName name="pidA21277312319">[3]PickLists!$C$1:$C$3</definedName>
    <definedName name="pidA21277312339">[3]PickLists!$D$1:$D$8</definedName>
    <definedName name="pidA21277312341">[3]PickLists!$E$1:$E$2</definedName>
    <definedName name="pidA21277312343">[3]PickLists!$F$1:$F$13</definedName>
    <definedName name="pidA21277312345">[3]PickLists!$G$1:$G$177</definedName>
    <definedName name="pidA21277312347">[3]PickLists!$H$1:$H$236</definedName>
    <definedName name="pidA21277312349">[3]PickLists!$I$1:$I$4</definedName>
    <definedName name="pidA21277312351">[3]PickLists!$J$1:$J$118</definedName>
    <definedName name="pidA21277312353">[3]PickLists!$K$1:$K$2</definedName>
    <definedName name="pidA21277312355">[3]PickLists!$L$1:$L$2</definedName>
    <definedName name="pidA21277312357">[3]PickLists!$M$1:$M$4</definedName>
    <definedName name="pidA21277312359">[3]PickLists!$N$1:$N$4</definedName>
    <definedName name="pidA21277312361">[3]PickLists!$O$1:$O$3</definedName>
    <definedName name="pidA21277312363">[3]PickLists!$P$1:$P$4</definedName>
    <definedName name="pidA21277312365">[3]PickLists!$Q$1:$Q$236</definedName>
    <definedName name="pidA21277312369">[3]PickLists!$R$1:$R$10</definedName>
    <definedName name="pidA21277312371">[3]PickLists!$S$1:$S$116</definedName>
    <definedName name="pidA21277312373">[3]PickLists!$T$1:$T$10</definedName>
    <definedName name="pidA21277312375">[3]PickLists!$U$1:$U$236</definedName>
    <definedName name="pidA21277312377">[3]PickLists!$V$1:$V$10</definedName>
    <definedName name="pidA21277312379">[3]PickLists!$W$1:$W$10</definedName>
    <definedName name="pidA21277312381">[3]PickLists!$X$1:$X$177</definedName>
    <definedName name="pidA21277312383">[3]PickLists!$Y$1:$Y$4</definedName>
    <definedName name="pidA21277312385">[3]PickLists!$Z$1:$Z$21</definedName>
    <definedName name="pidA21277312387">[3]PickLists!$AA$1:$AA$5</definedName>
    <definedName name="pidA21277312389">[3]PickLists!$AB$1:$AB$4</definedName>
    <definedName name="pidA21277312391">[3]PickLists!$AC$1:$AC$2</definedName>
    <definedName name="pidA21277312395">[3]PickLists!$AD$1:$AD$2</definedName>
    <definedName name="pidA21277312397">[3]PickLists!$AE$1:$AE$4</definedName>
    <definedName name="pidA21277312399">[3]PickLists!$AF$1:$AF$9</definedName>
    <definedName name="pidA21277312401">[3]PickLists!$AG$1:$AG$118</definedName>
    <definedName name="pidA21277312403">[3]PickLists!$AH$1:$AH$362</definedName>
    <definedName name="pidA21277312405">[3]PickLists!$AI$1:$AI$3</definedName>
    <definedName name="pidA21278320865">[4]PickLists!$C$1:$C$3</definedName>
    <definedName name="pidA21278320881">[4]PickLists!$D$1:$D$2</definedName>
    <definedName name="pidA21278320883">[5]PickLists!$E$1:$E$13</definedName>
    <definedName name="pidA21278320885">[5]PickLists!$F$1:$F$177</definedName>
    <definedName name="pidA21278320887">[5]PickLists!$G$1:$G$236</definedName>
    <definedName name="pidA21278320889">[4]PickLists!$H$1:$H$4</definedName>
    <definedName name="pidA21278320891">[4]PickLists!$I$1:$I$118</definedName>
    <definedName name="pidA21278320893">[4]PickLists!$J$1:$J$2</definedName>
    <definedName name="pidA21278320895">[5]PickLists!$K$1:$K$2</definedName>
    <definedName name="pidA21278320897">[4]PickLists!$L$1:$L$6</definedName>
    <definedName name="pidA21278320899">[4]PickLists!$M$1:$M$3</definedName>
    <definedName name="pidA21278320901">[4]PickLists!$N$1:$N$4</definedName>
    <definedName name="pidA21278320903">[5]PickLists!$O$1:$O$236</definedName>
    <definedName name="pidA21278320907">[5]PickLists!$P$1:$P$10</definedName>
    <definedName name="pidA21278320909">[5]PickLists!$Q$1:$Q$116</definedName>
    <definedName name="pidA21278320911">[5]PickLists!$R$1:$R$10</definedName>
    <definedName name="pidA21278320913">[5]PickLists!$S$1:$S$236</definedName>
    <definedName name="pidA21278320915">[5]PickLists!$T$1:$T$10</definedName>
    <definedName name="pidA21278320917">[5]PickLists!$U$1:$U$10</definedName>
    <definedName name="pidA21278320919">[5]PickLists!$V$1:$V$177</definedName>
    <definedName name="pidA21278320921">[5]PickLists!$W$1:$W$4</definedName>
    <definedName name="pidA21278320923">[4]PickLists!$X$1:$X$2</definedName>
    <definedName name="pidA21278320925">[4]PickLists!$Y$1:$Y$5</definedName>
    <definedName name="pidA21278320927">[5]PickLists!$Z$1:$Z$4</definedName>
    <definedName name="pidA21278320929">[5]PickLists!$AA$1:$AA$2</definedName>
    <definedName name="pidA21278320933">[5]PickLists!$AB$1:$AB$2</definedName>
    <definedName name="pidA21278320935">[5]PickLists!$AC$1:$AC$4</definedName>
    <definedName name="pidA21278320937">[4]PickLists!$AD$1:$AD$9</definedName>
    <definedName name="pidA21278320939">[4]PickLists!$AE$1:$AE$118</definedName>
    <definedName name="pidA21278320941">[4]PickLists!$AF$1:$AF$124</definedName>
    <definedName name="pidA21278320943">[4]PickLists!$AG$1:$AG$3</definedName>
    <definedName name="pidBOOLEAN">[2]PickLists!$AP$1:$AP$2</definedName>
    <definedName name="pidCOUNTRYCODE">[2]PickLists!$AR$1:$AR$188</definedName>
    <definedName name="pidCURRENCY">[2]PickLists!$AQ$1:$AQ$179</definedName>
    <definedName name="pidJOBFUNCTIONCODE">[2]PickLists!$AS$1:$AS$353</definedName>
    <definedName name="pidJOBLEVELCODE">[2]PickLists!$AU$1:$AU$53</definedName>
    <definedName name="pidJOBSPECIALTYCODE">[2]PickLists!$AT$1:$AT$3078</definedName>
    <definedName name="ProtoPDs">'[6]2017 Position Descriptions'!$A$4:$BX$5342</definedName>
    <definedName name="Reference">#REF!</definedName>
    <definedName name="TestDataSource">#REF!</definedName>
    <definedName name="TestSource">#REF!</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639" i="1" l="1"/>
  <c r="H639" i="1"/>
  <c r="E639" i="1"/>
  <c r="Q639" i="1" s="1"/>
  <c r="B639" i="1"/>
  <c r="A639" i="1"/>
  <c r="X638" i="1"/>
  <c r="H638" i="1"/>
  <c r="I638" i="1" s="1"/>
  <c r="E638" i="1"/>
  <c r="B638" i="1"/>
  <c r="A638" i="1"/>
  <c r="X637" i="1"/>
  <c r="H637" i="1"/>
  <c r="I637" i="1" s="1"/>
  <c r="E637" i="1"/>
  <c r="Q637" i="1" s="1"/>
  <c r="B637" i="1"/>
  <c r="A637" i="1"/>
  <c r="X636" i="1"/>
  <c r="H636" i="1"/>
  <c r="I636" i="1" s="1"/>
  <c r="E636" i="1"/>
  <c r="Q636" i="1" s="1"/>
  <c r="B636" i="1"/>
  <c r="A636" i="1"/>
  <c r="X635" i="1"/>
  <c r="H635" i="1"/>
  <c r="I635" i="1" s="1"/>
  <c r="E635" i="1"/>
  <c r="Q635" i="1" s="1"/>
  <c r="B635" i="1"/>
  <c r="A635" i="1"/>
  <c r="X634" i="1"/>
  <c r="H634" i="1"/>
  <c r="AA634" i="1" s="1"/>
  <c r="E634" i="1"/>
  <c r="Q634" i="1" s="1"/>
  <c r="B634" i="1"/>
  <c r="A634" i="1"/>
  <c r="X633" i="1"/>
  <c r="H633" i="1"/>
  <c r="J633" i="1" s="1"/>
  <c r="T633" i="1" s="1"/>
  <c r="U633" i="1" s="1"/>
  <c r="E633" i="1"/>
  <c r="B633" i="1"/>
  <c r="A633" i="1"/>
  <c r="X632" i="1"/>
  <c r="H632" i="1"/>
  <c r="I632" i="1" s="1"/>
  <c r="E632" i="1"/>
  <c r="B632" i="1"/>
  <c r="A632" i="1"/>
  <c r="X631" i="1"/>
  <c r="H631" i="1"/>
  <c r="N631" i="1" s="1"/>
  <c r="O631" i="1" s="1"/>
  <c r="Z631" i="1" s="1"/>
  <c r="E631" i="1"/>
  <c r="B631" i="1"/>
  <c r="A631" i="1"/>
  <c r="X630" i="1"/>
  <c r="H630" i="1"/>
  <c r="AA630" i="1" s="1"/>
  <c r="E630" i="1"/>
  <c r="P630" i="1" s="1"/>
  <c r="B630" i="1"/>
  <c r="A630" i="1"/>
  <c r="X629" i="1"/>
  <c r="H629" i="1"/>
  <c r="AA629" i="1" s="1"/>
  <c r="E629" i="1"/>
  <c r="Q629" i="1" s="1"/>
  <c r="B629" i="1"/>
  <c r="A629" i="1"/>
  <c r="X628" i="1"/>
  <c r="H628" i="1"/>
  <c r="J628" i="1" s="1"/>
  <c r="T628" i="1" s="1"/>
  <c r="U628" i="1" s="1"/>
  <c r="E628" i="1"/>
  <c r="Q628" i="1" s="1"/>
  <c r="B628" i="1"/>
  <c r="A628" i="1"/>
  <c r="X627" i="1"/>
  <c r="H627" i="1"/>
  <c r="I627" i="1" s="1"/>
  <c r="E627" i="1"/>
  <c r="B627" i="1"/>
  <c r="A627" i="1"/>
  <c r="X626" i="1"/>
  <c r="H626" i="1"/>
  <c r="N626" i="1" s="1"/>
  <c r="O626" i="1" s="1"/>
  <c r="Z626" i="1" s="1"/>
  <c r="E626" i="1"/>
  <c r="Q626" i="1" s="1"/>
  <c r="B626" i="1"/>
  <c r="A626" i="1"/>
  <c r="X625" i="1"/>
  <c r="H625" i="1"/>
  <c r="N625" i="1" s="1"/>
  <c r="O625" i="1" s="1"/>
  <c r="Z625" i="1" s="1"/>
  <c r="E625" i="1"/>
  <c r="P625" i="1" s="1"/>
  <c r="B625" i="1"/>
  <c r="A625" i="1"/>
  <c r="X624" i="1"/>
  <c r="H624" i="1"/>
  <c r="J624" i="1" s="1"/>
  <c r="W624" i="1" s="1"/>
  <c r="Y624" i="1" s="1"/>
  <c r="E624" i="1"/>
  <c r="B624" i="1"/>
  <c r="A624" i="1"/>
  <c r="X623" i="1"/>
  <c r="H623" i="1"/>
  <c r="E623" i="1"/>
  <c r="Q623" i="1" s="1"/>
  <c r="B623" i="1"/>
  <c r="A623" i="1"/>
  <c r="X622" i="1"/>
  <c r="H622" i="1"/>
  <c r="N622" i="1" s="1"/>
  <c r="O622" i="1" s="1"/>
  <c r="Z622" i="1" s="1"/>
  <c r="E622" i="1"/>
  <c r="B622" i="1"/>
  <c r="A622" i="1"/>
  <c r="X621" i="1"/>
  <c r="J621" i="1"/>
  <c r="H621" i="1"/>
  <c r="I621" i="1" s="1"/>
  <c r="E621" i="1"/>
  <c r="Q621" i="1" s="1"/>
  <c r="B621" i="1"/>
  <c r="A621" i="1"/>
  <c r="X620" i="1"/>
  <c r="H620" i="1"/>
  <c r="E620" i="1"/>
  <c r="Q620" i="1" s="1"/>
  <c r="B620" i="1"/>
  <c r="A620" i="1"/>
  <c r="X619" i="1"/>
  <c r="H619" i="1"/>
  <c r="AA619" i="1" s="1"/>
  <c r="E619" i="1"/>
  <c r="Q619" i="1" s="1"/>
  <c r="B619" i="1"/>
  <c r="A619" i="1"/>
  <c r="X618" i="1"/>
  <c r="H618" i="1"/>
  <c r="J618" i="1" s="1"/>
  <c r="T618" i="1" s="1"/>
  <c r="V618" i="1" s="1"/>
  <c r="E618" i="1"/>
  <c r="B618" i="1"/>
  <c r="A618" i="1"/>
  <c r="X617" i="1"/>
  <c r="H617" i="1"/>
  <c r="J617" i="1" s="1"/>
  <c r="W617" i="1" s="1"/>
  <c r="Y617" i="1" s="1"/>
  <c r="E617" i="1"/>
  <c r="P617" i="1" s="1"/>
  <c r="B617" i="1"/>
  <c r="A617" i="1"/>
  <c r="X616" i="1"/>
  <c r="H616" i="1"/>
  <c r="AA616" i="1" s="1"/>
  <c r="E616" i="1"/>
  <c r="D616" i="1" s="1"/>
  <c r="B616" i="1"/>
  <c r="A616" i="1"/>
  <c r="X615" i="1"/>
  <c r="H615" i="1"/>
  <c r="E615" i="1"/>
  <c r="P615" i="1" s="1"/>
  <c r="B615" i="1"/>
  <c r="A615" i="1"/>
  <c r="X614" i="1"/>
  <c r="H614" i="1"/>
  <c r="N614" i="1" s="1"/>
  <c r="O614" i="1" s="1"/>
  <c r="Z614" i="1" s="1"/>
  <c r="E614" i="1"/>
  <c r="B614" i="1"/>
  <c r="A614" i="1"/>
  <c r="X613" i="1"/>
  <c r="H613" i="1"/>
  <c r="N613" i="1" s="1"/>
  <c r="O613" i="1" s="1"/>
  <c r="Z613" i="1" s="1"/>
  <c r="E613" i="1"/>
  <c r="P613" i="1" s="1"/>
  <c r="B613" i="1"/>
  <c r="A613" i="1"/>
  <c r="X612" i="1"/>
  <c r="H612" i="1"/>
  <c r="N612" i="1" s="1"/>
  <c r="O612" i="1" s="1"/>
  <c r="Z612" i="1" s="1"/>
  <c r="E612" i="1"/>
  <c r="P612" i="1" s="1"/>
  <c r="B612" i="1"/>
  <c r="A612" i="1"/>
  <c r="X611" i="1"/>
  <c r="H611" i="1"/>
  <c r="N611" i="1" s="1"/>
  <c r="O611" i="1" s="1"/>
  <c r="Z611" i="1" s="1"/>
  <c r="E611" i="1"/>
  <c r="D611" i="1" s="1"/>
  <c r="B611" i="1"/>
  <c r="A611" i="1"/>
  <c r="X610" i="1"/>
  <c r="H610" i="1"/>
  <c r="I610" i="1" s="1"/>
  <c r="E610" i="1"/>
  <c r="Q610" i="1" s="1"/>
  <c r="B610" i="1"/>
  <c r="A610" i="1"/>
  <c r="X609" i="1"/>
  <c r="H609" i="1"/>
  <c r="J609" i="1" s="1"/>
  <c r="T609" i="1" s="1"/>
  <c r="E609" i="1"/>
  <c r="Q609" i="1" s="1"/>
  <c r="B609" i="1"/>
  <c r="A609" i="1"/>
  <c r="X608" i="1"/>
  <c r="H608" i="1"/>
  <c r="J608" i="1" s="1"/>
  <c r="T608" i="1" s="1"/>
  <c r="E608" i="1"/>
  <c r="P608" i="1" s="1"/>
  <c r="B608" i="1"/>
  <c r="A608" i="1"/>
  <c r="X607" i="1"/>
  <c r="H607" i="1"/>
  <c r="AA607" i="1" s="1"/>
  <c r="E607" i="1"/>
  <c r="P607" i="1" s="1"/>
  <c r="B607" i="1"/>
  <c r="A607" i="1"/>
  <c r="X606" i="1"/>
  <c r="H606" i="1"/>
  <c r="AA606" i="1" s="1"/>
  <c r="E606" i="1"/>
  <c r="B606" i="1"/>
  <c r="A606" i="1"/>
  <c r="X605" i="1"/>
  <c r="H605" i="1"/>
  <c r="AA605" i="1" s="1"/>
  <c r="E605" i="1"/>
  <c r="B605" i="1"/>
  <c r="A605" i="1"/>
  <c r="X604" i="1"/>
  <c r="H604" i="1"/>
  <c r="J604" i="1" s="1"/>
  <c r="R604" i="1" s="1"/>
  <c r="S604" i="1" s="1"/>
  <c r="E604" i="1"/>
  <c r="B604" i="1"/>
  <c r="A604" i="1"/>
  <c r="X603" i="1"/>
  <c r="H603" i="1"/>
  <c r="I603" i="1" s="1"/>
  <c r="E603" i="1"/>
  <c r="Q603" i="1" s="1"/>
  <c r="B603" i="1"/>
  <c r="A603" i="1"/>
  <c r="X602" i="1"/>
  <c r="H602" i="1"/>
  <c r="N602" i="1" s="1"/>
  <c r="O602" i="1" s="1"/>
  <c r="Z602" i="1" s="1"/>
  <c r="E602" i="1"/>
  <c r="B602" i="1"/>
  <c r="A602" i="1"/>
  <c r="X601" i="1"/>
  <c r="H601" i="1"/>
  <c r="N601" i="1" s="1"/>
  <c r="O601" i="1" s="1"/>
  <c r="Z601" i="1" s="1"/>
  <c r="E601" i="1"/>
  <c r="Q601" i="1" s="1"/>
  <c r="B601" i="1"/>
  <c r="A601" i="1"/>
  <c r="X600" i="1"/>
  <c r="H600" i="1"/>
  <c r="I600" i="1" s="1"/>
  <c r="E600" i="1"/>
  <c r="P600" i="1" s="1"/>
  <c r="B600" i="1"/>
  <c r="A600" i="1"/>
  <c r="X599" i="1"/>
  <c r="H599" i="1"/>
  <c r="AA599" i="1" s="1"/>
  <c r="E599" i="1"/>
  <c r="Q599" i="1" s="1"/>
  <c r="B599" i="1"/>
  <c r="A599" i="1"/>
  <c r="X598" i="1"/>
  <c r="I598" i="1"/>
  <c r="H598" i="1"/>
  <c r="J598" i="1" s="1"/>
  <c r="T598" i="1" s="1"/>
  <c r="U598" i="1" s="1"/>
  <c r="E598" i="1"/>
  <c r="P598" i="1" s="1"/>
  <c r="B598" i="1"/>
  <c r="A598" i="1"/>
  <c r="X597" i="1"/>
  <c r="H597" i="1"/>
  <c r="E597" i="1"/>
  <c r="P597" i="1" s="1"/>
  <c r="B597" i="1"/>
  <c r="A597" i="1"/>
  <c r="X596" i="1"/>
  <c r="H596" i="1"/>
  <c r="AA596" i="1" s="1"/>
  <c r="E596" i="1"/>
  <c r="Q596" i="1" s="1"/>
  <c r="B596" i="1"/>
  <c r="A596" i="1"/>
  <c r="X595" i="1"/>
  <c r="H595" i="1"/>
  <c r="N595" i="1" s="1"/>
  <c r="O595" i="1" s="1"/>
  <c r="Z595" i="1" s="1"/>
  <c r="E595" i="1"/>
  <c r="D595" i="1" s="1"/>
  <c r="B595" i="1"/>
  <c r="A595" i="1"/>
  <c r="X594" i="1"/>
  <c r="H594" i="1"/>
  <c r="J594" i="1" s="1"/>
  <c r="T594" i="1" s="1"/>
  <c r="E594" i="1"/>
  <c r="Q594" i="1" s="1"/>
  <c r="B594" i="1"/>
  <c r="A594" i="1"/>
  <c r="X593" i="1"/>
  <c r="H593" i="1"/>
  <c r="E593" i="1"/>
  <c r="B593" i="1"/>
  <c r="A593" i="1"/>
  <c r="AA592" i="1"/>
  <c r="X592" i="1"/>
  <c r="N592" i="1"/>
  <c r="O592" i="1" s="1"/>
  <c r="Z592" i="1" s="1"/>
  <c r="I592" i="1"/>
  <c r="H592" i="1"/>
  <c r="J592" i="1" s="1"/>
  <c r="E592" i="1"/>
  <c r="Q592" i="1" s="1"/>
  <c r="B592" i="1"/>
  <c r="A592" i="1"/>
  <c r="X591" i="1"/>
  <c r="H591" i="1"/>
  <c r="J591" i="1" s="1"/>
  <c r="E591" i="1"/>
  <c r="D591" i="1" s="1"/>
  <c r="B591" i="1"/>
  <c r="A591" i="1"/>
  <c r="X590" i="1"/>
  <c r="H590" i="1"/>
  <c r="J590" i="1" s="1"/>
  <c r="T590" i="1" s="1"/>
  <c r="E590" i="1"/>
  <c r="B590" i="1"/>
  <c r="A590" i="1"/>
  <c r="X589" i="1"/>
  <c r="H589" i="1"/>
  <c r="I589" i="1" s="1"/>
  <c r="E589" i="1"/>
  <c r="D589" i="1" s="1"/>
  <c r="B589" i="1"/>
  <c r="A589" i="1"/>
  <c r="X588" i="1"/>
  <c r="H588" i="1"/>
  <c r="E588" i="1"/>
  <c r="P588" i="1" s="1"/>
  <c r="B588" i="1"/>
  <c r="A588" i="1"/>
  <c r="X587" i="1"/>
  <c r="H587" i="1"/>
  <c r="N587" i="1" s="1"/>
  <c r="O587" i="1" s="1"/>
  <c r="Z587" i="1" s="1"/>
  <c r="E587" i="1"/>
  <c r="Q587" i="1" s="1"/>
  <c r="B587" i="1"/>
  <c r="A587" i="1"/>
  <c r="X586" i="1"/>
  <c r="H586" i="1"/>
  <c r="E586" i="1"/>
  <c r="D586" i="1" s="1"/>
  <c r="B586" i="1"/>
  <c r="A586" i="1"/>
  <c r="X585" i="1"/>
  <c r="H585" i="1"/>
  <c r="J585" i="1" s="1"/>
  <c r="E585" i="1"/>
  <c r="Q585" i="1" s="1"/>
  <c r="B585" i="1"/>
  <c r="A585" i="1"/>
  <c r="X584" i="1"/>
  <c r="H584" i="1"/>
  <c r="J584" i="1" s="1"/>
  <c r="T584" i="1" s="1"/>
  <c r="V584" i="1" s="1"/>
  <c r="E584" i="1"/>
  <c r="D584" i="1" s="1"/>
  <c r="B584" i="1"/>
  <c r="A584" i="1"/>
  <c r="X583" i="1"/>
  <c r="H583" i="1"/>
  <c r="AA583" i="1" s="1"/>
  <c r="E583" i="1"/>
  <c r="D583" i="1" s="1"/>
  <c r="B583" i="1"/>
  <c r="A583" i="1"/>
  <c r="X582" i="1"/>
  <c r="H582" i="1"/>
  <c r="E582" i="1"/>
  <c r="P582" i="1" s="1"/>
  <c r="B582" i="1"/>
  <c r="A582" i="1"/>
  <c r="X581" i="1"/>
  <c r="H581" i="1"/>
  <c r="E581" i="1"/>
  <c r="P581" i="1" s="1"/>
  <c r="B581" i="1"/>
  <c r="A581" i="1"/>
  <c r="X580" i="1"/>
  <c r="H580" i="1"/>
  <c r="AA580" i="1" s="1"/>
  <c r="E580" i="1"/>
  <c r="Q580" i="1" s="1"/>
  <c r="B580" i="1"/>
  <c r="A580" i="1"/>
  <c r="X579" i="1"/>
  <c r="H579" i="1"/>
  <c r="N579" i="1" s="1"/>
  <c r="O579" i="1" s="1"/>
  <c r="Z579" i="1" s="1"/>
  <c r="E579" i="1"/>
  <c r="Q579" i="1" s="1"/>
  <c r="B579" i="1"/>
  <c r="A579" i="1"/>
  <c r="X578" i="1"/>
  <c r="H578" i="1"/>
  <c r="N578" i="1" s="1"/>
  <c r="O578" i="1" s="1"/>
  <c r="Z578" i="1" s="1"/>
  <c r="E578" i="1"/>
  <c r="B578" i="1"/>
  <c r="A578" i="1"/>
  <c r="X577" i="1"/>
  <c r="H577" i="1"/>
  <c r="E577" i="1"/>
  <c r="P577" i="1" s="1"/>
  <c r="B577" i="1"/>
  <c r="A577" i="1"/>
  <c r="X576" i="1"/>
  <c r="H576" i="1"/>
  <c r="J576" i="1" s="1"/>
  <c r="E576" i="1"/>
  <c r="P576" i="1" s="1"/>
  <c r="B576" i="1"/>
  <c r="A576" i="1"/>
  <c r="X575" i="1"/>
  <c r="H575" i="1"/>
  <c r="I575" i="1" s="1"/>
  <c r="E575" i="1"/>
  <c r="Q575" i="1" s="1"/>
  <c r="B575" i="1"/>
  <c r="A575" i="1"/>
  <c r="X574" i="1"/>
  <c r="H574" i="1"/>
  <c r="N574" i="1" s="1"/>
  <c r="O574" i="1" s="1"/>
  <c r="Z574" i="1" s="1"/>
  <c r="E574" i="1"/>
  <c r="D574" i="1" s="1"/>
  <c r="B574" i="1"/>
  <c r="A574" i="1"/>
  <c r="X573" i="1"/>
  <c r="H573" i="1"/>
  <c r="N573" i="1" s="1"/>
  <c r="O573" i="1" s="1"/>
  <c r="Z573" i="1" s="1"/>
  <c r="E573" i="1"/>
  <c r="P573" i="1" s="1"/>
  <c r="B573" i="1"/>
  <c r="A573" i="1"/>
  <c r="X572" i="1"/>
  <c r="H572" i="1"/>
  <c r="E572" i="1"/>
  <c r="Q572" i="1" s="1"/>
  <c r="B572" i="1"/>
  <c r="A572" i="1"/>
  <c r="X571" i="1"/>
  <c r="H571" i="1"/>
  <c r="AA571" i="1" s="1"/>
  <c r="E571" i="1"/>
  <c r="B571" i="1"/>
  <c r="A571" i="1"/>
  <c r="X570" i="1"/>
  <c r="H570" i="1"/>
  <c r="AA570" i="1" s="1"/>
  <c r="E570" i="1"/>
  <c r="Q570" i="1" s="1"/>
  <c r="B570" i="1"/>
  <c r="A570" i="1"/>
  <c r="X569" i="1"/>
  <c r="H569" i="1"/>
  <c r="E569" i="1"/>
  <c r="Q569" i="1" s="1"/>
  <c r="B569" i="1"/>
  <c r="A569" i="1"/>
  <c r="X568" i="1"/>
  <c r="H568" i="1"/>
  <c r="E568" i="1"/>
  <c r="B568" i="1"/>
  <c r="A568" i="1"/>
  <c r="X567" i="1"/>
  <c r="H567" i="1"/>
  <c r="AA567" i="1" s="1"/>
  <c r="E567" i="1"/>
  <c r="P567" i="1" s="1"/>
  <c r="B567" i="1"/>
  <c r="A567" i="1"/>
  <c r="X566" i="1"/>
  <c r="H566" i="1"/>
  <c r="E566" i="1"/>
  <c r="Q566" i="1" s="1"/>
  <c r="B566" i="1"/>
  <c r="A566" i="1"/>
  <c r="X565" i="1"/>
  <c r="H565" i="1"/>
  <c r="AA565" i="1" s="1"/>
  <c r="E565" i="1"/>
  <c r="Q565" i="1" s="1"/>
  <c r="B565" i="1"/>
  <c r="A565" i="1"/>
  <c r="X564" i="1"/>
  <c r="H564" i="1"/>
  <c r="I564" i="1" s="1"/>
  <c r="E564" i="1"/>
  <c r="B564" i="1"/>
  <c r="A564" i="1"/>
  <c r="X563" i="1"/>
  <c r="H563" i="1"/>
  <c r="N563" i="1" s="1"/>
  <c r="O563" i="1" s="1"/>
  <c r="Z563" i="1" s="1"/>
  <c r="E563" i="1"/>
  <c r="B563" i="1"/>
  <c r="A563" i="1"/>
  <c r="X562" i="1"/>
  <c r="H562" i="1"/>
  <c r="E562" i="1"/>
  <c r="Q562" i="1" s="1"/>
  <c r="B562" i="1"/>
  <c r="A562" i="1"/>
  <c r="X561" i="1"/>
  <c r="H561" i="1"/>
  <c r="J561" i="1" s="1"/>
  <c r="E561" i="1"/>
  <c r="B561" i="1"/>
  <c r="A561" i="1"/>
  <c r="X560" i="1"/>
  <c r="H560" i="1"/>
  <c r="E560" i="1"/>
  <c r="Q560" i="1" s="1"/>
  <c r="B560" i="1"/>
  <c r="A560" i="1"/>
  <c r="X559" i="1"/>
  <c r="H559" i="1"/>
  <c r="I559" i="1" s="1"/>
  <c r="E559" i="1"/>
  <c r="D559" i="1" s="1"/>
  <c r="B559" i="1"/>
  <c r="A559" i="1"/>
  <c r="X558" i="1"/>
  <c r="H558" i="1"/>
  <c r="E558" i="1"/>
  <c r="B558" i="1"/>
  <c r="A558" i="1"/>
  <c r="X557" i="1"/>
  <c r="H557" i="1"/>
  <c r="N557" i="1" s="1"/>
  <c r="O557" i="1" s="1"/>
  <c r="Z557" i="1" s="1"/>
  <c r="E557" i="1"/>
  <c r="B557" i="1"/>
  <c r="A557" i="1"/>
  <c r="X556" i="1"/>
  <c r="H556" i="1"/>
  <c r="E556" i="1"/>
  <c r="B556" i="1"/>
  <c r="A556" i="1"/>
  <c r="X555" i="1"/>
  <c r="H555" i="1"/>
  <c r="AA555" i="1" s="1"/>
  <c r="E555" i="1"/>
  <c r="Q555" i="1" s="1"/>
  <c r="B555" i="1"/>
  <c r="A555" i="1"/>
  <c r="X554" i="1"/>
  <c r="H554" i="1"/>
  <c r="E554" i="1"/>
  <c r="P554" i="1" s="1"/>
  <c r="B554" i="1"/>
  <c r="A554" i="1"/>
  <c r="X553" i="1"/>
  <c r="H553" i="1"/>
  <c r="J553" i="1" s="1"/>
  <c r="E553" i="1"/>
  <c r="B553" i="1"/>
  <c r="A553" i="1"/>
  <c r="X552" i="1"/>
  <c r="H552" i="1"/>
  <c r="N552" i="1" s="1"/>
  <c r="O552" i="1" s="1"/>
  <c r="Z552" i="1" s="1"/>
  <c r="E552" i="1"/>
  <c r="D552" i="1" s="1"/>
  <c r="B552" i="1"/>
  <c r="A552" i="1"/>
  <c r="X551" i="1"/>
  <c r="H551" i="1"/>
  <c r="AA551" i="1" s="1"/>
  <c r="E551" i="1"/>
  <c r="B551" i="1"/>
  <c r="A551" i="1"/>
  <c r="X550" i="1"/>
  <c r="H550" i="1"/>
  <c r="AA550" i="1" s="1"/>
  <c r="E550" i="1"/>
  <c r="B550" i="1"/>
  <c r="A550" i="1"/>
  <c r="X549" i="1"/>
  <c r="H549" i="1"/>
  <c r="E549" i="1"/>
  <c r="Q549" i="1" s="1"/>
  <c r="B549" i="1"/>
  <c r="A549" i="1"/>
  <c r="X548" i="1"/>
  <c r="H548" i="1"/>
  <c r="I548" i="1" s="1"/>
  <c r="E548" i="1"/>
  <c r="Q548" i="1" s="1"/>
  <c r="B548" i="1"/>
  <c r="A548" i="1"/>
  <c r="X547" i="1"/>
  <c r="H547" i="1"/>
  <c r="N547" i="1" s="1"/>
  <c r="O547" i="1" s="1"/>
  <c r="Z547" i="1" s="1"/>
  <c r="E547" i="1"/>
  <c r="B547" i="1"/>
  <c r="A547" i="1"/>
  <c r="X546" i="1"/>
  <c r="H546" i="1"/>
  <c r="E546" i="1"/>
  <c r="Q546" i="1" s="1"/>
  <c r="B546" i="1"/>
  <c r="A546" i="1"/>
  <c r="X545" i="1"/>
  <c r="H545" i="1"/>
  <c r="E545" i="1"/>
  <c r="Q545" i="1" s="1"/>
  <c r="B545" i="1"/>
  <c r="A545" i="1"/>
  <c r="X544" i="1"/>
  <c r="H544" i="1"/>
  <c r="E544" i="1"/>
  <c r="Q544" i="1" s="1"/>
  <c r="B544" i="1"/>
  <c r="A544" i="1"/>
  <c r="X543" i="1"/>
  <c r="H543" i="1"/>
  <c r="I543" i="1" s="1"/>
  <c r="E543" i="1"/>
  <c r="Q543" i="1" s="1"/>
  <c r="B543" i="1"/>
  <c r="A543" i="1"/>
  <c r="X542" i="1"/>
  <c r="H542" i="1"/>
  <c r="J542" i="1" s="1"/>
  <c r="E542" i="1"/>
  <c r="D542" i="1" s="1"/>
  <c r="B542" i="1"/>
  <c r="A542" i="1"/>
  <c r="X541" i="1"/>
  <c r="H541" i="1"/>
  <c r="E541" i="1"/>
  <c r="Q541" i="1" s="1"/>
  <c r="B541" i="1"/>
  <c r="A541" i="1"/>
  <c r="X540" i="1"/>
  <c r="H540" i="1"/>
  <c r="E540" i="1"/>
  <c r="Q540" i="1" s="1"/>
  <c r="B540" i="1"/>
  <c r="A540" i="1"/>
  <c r="X539" i="1"/>
  <c r="H539" i="1"/>
  <c r="E539" i="1"/>
  <c r="B539" i="1"/>
  <c r="A539" i="1"/>
  <c r="X538" i="1"/>
  <c r="H538" i="1"/>
  <c r="I538" i="1" s="1"/>
  <c r="E538" i="1"/>
  <c r="Q538" i="1" s="1"/>
  <c r="B538" i="1"/>
  <c r="A538" i="1"/>
  <c r="X537" i="1"/>
  <c r="H537" i="1"/>
  <c r="E537" i="1"/>
  <c r="B537" i="1"/>
  <c r="A537" i="1"/>
  <c r="X536" i="1"/>
  <c r="H536" i="1"/>
  <c r="E536" i="1"/>
  <c r="Q536" i="1" s="1"/>
  <c r="B536" i="1"/>
  <c r="A536" i="1"/>
  <c r="X535" i="1"/>
  <c r="H535" i="1"/>
  <c r="N535" i="1" s="1"/>
  <c r="O535" i="1" s="1"/>
  <c r="Z535" i="1" s="1"/>
  <c r="E535" i="1"/>
  <c r="D535" i="1" s="1"/>
  <c r="B535" i="1"/>
  <c r="A535" i="1"/>
  <c r="X534" i="1"/>
  <c r="H534" i="1"/>
  <c r="AA534" i="1" s="1"/>
  <c r="E534" i="1"/>
  <c r="Q534" i="1" s="1"/>
  <c r="B534" i="1"/>
  <c r="A534" i="1"/>
  <c r="X533" i="1"/>
  <c r="H533" i="1"/>
  <c r="AA533" i="1" s="1"/>
  <c r="E533" i="1"/>
  <c r="Q533" i="1" s="1"/>
  <c r="B533" i="1"/>
  <c r="A533" i="1"/>
  <c r="X532" i="1"/>
  <c r="H532" i="1"/>
  <c r="E532" i="1"/>
  <c r="B532" i="1"/>
  <c r="A532" i="1"/>
  <c r="X531" i="1"/>
  <c r="H531" i="1"/>
  <c r="J531" i="1" s="1"/>
  <c r="E531" i="1"/>
  <c r="Q531" i="1" s="1"/>
  <c r="B531" i="1"/>
  <c r="A531" i="1"/>
  <c r="X530" i="1"/>
  <c r="H530" i="1"/>
  <c r="J530" i="1" s="1"/>
  <c r="W530" i="1" s="1"/>
  <c r="Y530" i="1" s="1"/>
  <c r="E530" i="1"/>
  <c r="Q530" i="1" s="1"/>
  <c r="B530" i="1"/>
  <c r="A530" i="1"/>
  <c r="X529" i="1"/>
  <c r="H529" i="1"/>
  <c r="AA529" i="1" s="1"/>
  <c r="E529" i="1"/>
  <c r="Q529" i="1" s="1"/>
  <c r="B529" i="1"/>
  <c r="A529" i="1"/>
  <c r="X528" i="1"/>
  <c r="Q528" i="1"/>
  <c r="H528" i="1"/>
  <c r="I528" i="1" s="1"/>
  <c r="E528" i="1"/>
  <c r="B528" i="1"/>
  <c r="A528" i="1"/>
  <c r="X527" i="1"/>
  <c r="P527" i="1"/>
  <c r="H527" i="1"/>
  <c r="E527" i="1"/>
  <c r="D527" i="1" s="1"/>
  <c r="B527" i="1"/>
  <c r="A527" i="1"/>
  <c r="X526" i="1"/>
  <c r="H526" i="1"/>
  <c r="J526" i="1" s="1"/>
  <c r="W526" i="1" s="1"/>
  <c r="Y526" i="1" s="1"/>
  <c r="E526" i="1"/>
  <c r="B526" i="1"/>
  <c r="A526" i="1"/>
  <c r="X525" i="1"/>
  <c r="H525" i="1"/>
  <c r="AA525" i="1" s="1"/>
  <c r="E525" i="1"/>
  <c r="Q525" i="1" s="1"/>
  <c r="B525" i="1"/>
  <c r="A525" i="1"/>
  <c r="X524" i="1"/>
  <c r="H524" i="1"/>
  <c r="AA524" i="1" s="1"/>
  <c r="E524" i="1"/>
  <c r="D524" i="1" s="1"/>
  <c r="B524" i="1"/>
  <c r="A524" i="1"/>
  <c r="X523" i="1"/>
  <c r="H523" i="1"/>
  <c r="I523" i="1" s="1"/>
  <c r="E523" i="1"/>
  <c r="B523" i="1"/>
  <c r="A523" i="1"/>
  <c r="X522" i="1"/>
  <c r="H522" i="1"/>
  <c r="AA522" i="1" s="1"/>
  <c r="E522" i="1"/>
  <c r="P522" i="1" s="1"/>
  <c r="B522" i="1"/>
  <c r="A522" i="1"/>
  <c r="X521" i="1"/>
  <c r="H521" i="1"/>
  <c r="J521" i="1" s="1"/>
  <c r="T521" i="1" s="1"/>
  <c r="E521" i="1"/>
  <c r="B521" i="1"/>
  <c r="A521" i="1"/>
  <c r="X520" i="1"/>
  <c r="H520" i="1"/>
  <c r="E520" i="1"/>
  <c r="Q520" i="1" s="1"/>
  <c r="B520" i="1"/>
  <c r="A520" i="1"/>
  <c r="X519" i="1"/>
  <c r="H519" i="1"/>
  <c r="N519" i="1" s="1"/>
  <c r="O519" i="1" s="1"/>
  <c r="Z519" i="1" s="1"/>
  <c r="E519" i="1"/>
  <c r="Q519" i="1" s="1"/>
  <c r="B519" i="1"/>
  <c r="A519" i="1"/>
  <c r="X518" i="1"/>
  <c r="H518" i="1"/>
  <c r="E518" i="1"/>
  <c r="D518" i="1" s="1"/>
  <c r="B518" i="1"/>
  <c r="A518" i="1"/>
  <c r="X517" i="1"/>
  <c r="H517" i="1"/>
  <c r="E517" i="1"/>
  <c r="Q517" i="1" s="1"/>
  <c r="B517" i="1"/>
  <c r="A517" i="1"/>
  <c r="X516" i="1"/>
  <c r="H516" i="1"/>
  <c r="AA516" i="1" s="1"/>
  <c r="E516" i="1"/>
  <c r="Q516" i="1" s="1"/>
  <c r="B516" i="1"/>
  <c r="A516" i="1"/>
  <c r="X515" i="1"/>
  <c r="H515" i="1"/>
  <c r="J515" i="1" s="1"/>
  <c r="E515" i="1"/>
  <c r="Q515" i="1" s="1"/>
  <c r="B515" i="1"/>
  <c r="A515" i="1"/>
  <c r="X514" i="1"/>
  <c r="H514" i="1"/>
  <c r="E514" i="1"/>
  <c r="Q514" i="1" s="1"/>
  <c r="B514" i="1"/>
  <c r="A514" i="1"/>
  <c r="X513" i="1"/>
  <c r="H513" i="1"/>
  <c r="E513" i="1"/>
  <c r="B513" i="1"/>
  <c r="A513" i="1"/>
  <c r="X512" i="1"/>
  <c r="H512" i="1"/>
  <c r="AA512" i="1" s="1"/>
  <c r="E512" i="1"/>
  <c r="B512" i="1"/>
  <c r="A512" i="1"/>
  <c r="X511" i="1"/>
  <c r="H511" i="1"/>
  <c r="AA511" i="1" s="1"/>
  <c r="E511" i="1"/>
  <c r="D511" i="1" s="1"/>
  <c r="B511" i="1"/>
  <c r="A511" i="1"/>
  <c r="X510" i="1"/>
  <c r="H510" i="1"/>
  <c r="E510" i="1"/>
  <c r="P510" i="1" s="1"/>
  <c r="B510" i="1"/>
  <c r="A510" i="1"/>
  <c r="X509" i="1"/>
  <c r="H509" i="1"/>
  <c r="N509" i="1" s="1"/>
  <c r="O509" i="1" s="1"/>
  <c r="Z509" i="1" s="1"/>
  <c r="E509" i="1"/>
  <c r="B509" i="1"/>
  <c r="A509" i="1"/>
  <c r="X508" i="1"/>
  <c r="H508" i="1"/>
  <c r="N508" i="1" s="1"/>
  <c r="O508" i="1" s="1"/>
  <c r="Z508" i="1" s="1"/>
  <c r="E508" i="1"/>
  <c r="D508" i="1" s="1"/>
  <c r="B508" i="1"/>
  <c r="A508" i="1"/>
  <c r="X507" i="1"/>
  <c r="H507" i="1"/>
  <c r="I507" i="1" s="1"/>
  <c r="E507" i="1"/>
  <c r="P507" i="1" s="1"/>
  <c r="B507" i="1"/>
  <c r="A507" i="1"/>
  <c r="X506" i="1"/>
  <c r="H506" i="1"/>
  <c r="AA506" i="1" s="1"/>
  <c r="E506" i="1"/>
  <c r="P506" i="1" s="1"/>
  <c r="B506" i="1"/>
  <c r="A506" i="1"/>
  <c r="X505" i="1"/>
  <c r="H505" i="1"/>
  <c r="E505" i="1"/>
  <c r="P505" i="1" s="1"/>
  <c r="B505" i="1"/>
  <c r="A505" i="1"/>
  <c r="X504" i="1"/>
  <c r="H504" i="1"/>
  <c r="E504" i="1"/>
  <c r="Q504" i="1" s="1"/>
  <c r="B504" i="1"/>
  <c r="A504" i="1"/>
  <c r="X503" i="1"/>
  <c r="H503" i="1"/>
  <c r="N503" i="1" s="1"/>
  <c r="O503" i="1" s="1"/>
  <c r="Z503" i="1" s="1"/>
  <c r="E503" i="1"/>
  <c r="D503" i="1" s="1"/>
  <c r="B503" i="1"/>
  <c r="A503" i="1"/>
  <c r="X502" i="1"/>
  <c r="H502" i="1"/>
  <c r="AA502" i="1" s="1"/>
  <c r="E502" i="1"/>
  <c r="P502" i="1" s="1"/>
  <c r="B502" i="1"/>
  <c r="A502" i="1"/>
  <c r="X501" i="1"/>
  <c r="H501" i="1"/>
  <c r="N501" i="1" s="1"/>
  <c r="O501" i="1" s="1"/>
  <c r="Z501" i="1" s="1"/>
  <c r="E501" i="1"/>
  <c r="B501" i="1"/>
  <c r="A501" i="1"/>
  <c r="X500" i="1"/>
  <c r="H500" i="1"/>
  <c r="N500" i="1" s="1"/>
  <c r="O500" i="1" s="1"/>
  <c r="Z500" i="1" s="1"/>
  <c r="E500" i="1"/>
  <c r="P500" i="1" s="1"/>
  <c r="B500" i="1"/>
  <c r="A500" i="1"/>
  <c r="X499" i="1"/>
  <c r="H499" i="1"/>
  <c r="I499" i="1" s="1"/>
  <c r="E499" i="1"/>
  <c r="P499" i="1" s="1"/>
  <c r="B499" i="1"/>
  <c r="A499" i="1"/>
  <c r="X498" i="1"/>
  <c r="H498" i="1"/>
  <c r="J498" i="1" s="1"/>
  <c r="E498" i="1"/>
  <c r="B498" i="1"/>
  <c r="A498" i="1"/>
  <c r="X497" i="1"/>
  <c r="H497" i="1"/>
  <c r="I497" i="1" s="1"/>
  <c r="E497" i="1"/>
  <c r="Q497" i="1" s="1"/>
  <c r="B497" i="1"/>
  <c r="A497" i="1"/>
  <c r="X496" i="1"/>
  <c r="H496" i="1"/>
  <c r="J496" i="1" s="1"/>
  <c r="W496" i="1" s="1"/>
  <c r="Y496" i="1" s="1"/>
  <c r="E496" i="1"/>
  <c r="P496" i="1" s="1"/>
  <c r="B496" i="1"/>
  <c r="A496" i="1"/>
  <c r="X495" i="1"/>
  <c r="H495" i="1"/>
  <c r="E495" i="1"/>
  <c r="B495" i="1"/>
  <c r="A495" i="1"/>
  <c r="X494" i="1"/>
  <c r="H494" i="1"/>
  <c r="N494" i="1" s="1"/>
  <c r="O494" i="1" s="1"/>
  <c r="Z494" i="1" s="1"/>
  <c r="E494" i="1"/>
  <c r="Q494" i="1" s="1"/>
  <c r="B494" i="1"/>
  <c r="A494" i="1"/>
  <c r="X493" i="1"/>
  <c r="H493" i="1"/>
  <c r="J493" i="1" s="1"/>
  <c r="E493" i="1"/>
  <c r="B493" i="1"/>
  <c r="A493" i="1"/>
  <c r="X492" i="1"/>
  <c r="H492" i="1"/>
  <c r="AA492" i="1" s="1"/>
  <c r="E492" i="1"/>
  <c r="Q492" i="1" s="1"/>
  <c r="B492" i="1"/>
  <c r="A492" i="1"/>
  <c r="X491" i="1"/>
  <c r="H491" i="1"/>
  <c r="E491" i="1"/>
  <c r="D491" i="1" s="1"/>
  <c r="B491" i="1"/>
  <c r="A491" i="1"/>
  <c r="X490" i="1"/>
  <c r="H490" i="1"/>
  <c r="E490" i="1"/>
  <c r="P490" i="1" s="1"/>
  <c r="B490" i="1"/>
  <c r="A490" i="1"/>
  <c r="X489" i="1"/>
  <c r="H489" i="1"/>
  <c r="J489" i="1" s="1"/>
  <c r="E489" i="1"/>
  <c r="P489" i="1" s="1"/>
  <c r="B489" i="1"/>
  <c r="A489" i="1"/>
  <c r="X488" i="1"/>
  <c r="H488" i="1"/>
  <c r="AA488" i="1" s="1"/>
  <c r="E488" i="1"/>
  <c r="B488" i="1"/>
  <c r="A488" i="1"/>
  <c r="X487" i="1"/>
  <c r="H487" i="1"/>
  <c r="I487" i="1" s="1"/>
  <c r="E487" i="1"/>
  <c r="Q487" i="1" s="1"/>
  <c r="B487" i="1"/>
  <c r="A487" i="1"/>
  <c r="X486" i="1"/>
  <c r="H486" i="1"/>
  <c r="E486" i="1"/>
  <c r="P486" i="1" s="1"/>
  <c r="B486" i="1"/>
  <c r="A486" i="1"/>
  <c r="X485" i="1"/>
  <c r="H485" i="1"/>
  <c r="J485" i="1" s="1"/>
  <c r="R485" i="1" s="1"/>
  <c r="S485" i="1" s="1"/>
  <c r="E485" i="1"/>
  <c r="B485" i="1"/>
  <c r="A485" i="1"/>
  <c r="X484" i="1"/>
  <c r="H484" i="1"/>
  <c r="AA484" i="1" s="1"/>
  <c r="E484" i="1"/>
  <c r="Q484" i="1" s="1"/>
  <c r="B484" i="1"/>
  <c r="A484" i="1"/>
  <c r="X483" i="1"/>
  <c r="H483" i="1"/>
  <c r="I483" i="1" s="1"/>
  <c r="E483" i="1"/>
  <c r="B483" i="1"/>
  <c r="A483" i="1"/>
  <c r="X482" i="1"/>
  <c r="H482" i="1"/>
  <c r="I482" i="1" s="1"/>
  <c r="E482" i="1"/>
  <c r="D482" i="1" s="1"/>
  <c r="B482" i="1"/>
  <c r="A482" i="1"/>
  <c r="X481" i="1"/>
  <c r="H481" i="1"/>
  <c r="E481" i="1"/>
  <c r="P481" i="1" s="1"/>
  <c r="B481" i="1"/>
  <c r="A481" i="1"/>
  <c r="X480" i="1"/>
  <c r="H480" i="1"/>
  <c r="N480" i="1" s="1"/>
  <c r="O480" i="1" s="1"/>
  <c r="Z480" i="1" s="1"/>
  <c r="E480" i="1"/>
  <c r="B480" i="1"/>
  <c r="A480" i="1"/>
  <c r="X479" i="1"/>
  <c r="Q479" i="1"/>
  <c r="H479" i="1"/>
  <c r="AA479" i="1" s="1"/>
  <c r="E479" i="1"/>
  <c r="B479" i="1"/>
  <c r="A479" i="1"/>
  <c r="X478" i="1"/>
  <c r="H478" i="1"/>
  <c r="AA478" i="1" s="1"/>
  <c r="E478" i="1"/>
  <c r="P478" i="1" s="1"/>
  <c r="B478" i="1"/>
  <c r="A478" i="1"/>
  <c r="X477" i="1"/>
  <c r="H477" i="1"/>
  <c r="E477" i="1"/>
  <c r="P477" i="1" s="1"/>
  <c r="B477" i="1"/>
  <c r="A477" i="1"/>
  <c r="X476" i="1"/>
  <c r="H476" i="1"/>
  <c r="N476" i="1" s="1"/>
  <c r="O476" i="1" s="1"/>
  <c r="Z476" i="1" s="1"/>
  <c r="E476" i="1"/>
  <c r="B476" i="1"/>
  <c r="A476" i="1"/>
  <c r="X475" i="1"/>
  <c r="H475" i="1"/>
  <c r="N475" i="1" s="1"/>
  <c r="O475" i="1" s="1"/>
  <c r="Z475" i="1" s="1"/>
  <c r="E475" i="1"/>
  <c r="Q475" i="1" s="1"/>
  <c r="B475" i="1"/>
  <c r="A475" i="1"/>
  <c r="X474" i="1"/>
  <c r="H474" i="1"/>
  <c r="AA474" i="1" s="1"/>
  <c r="E474" i="1"/>
  <c r="Q474" i="1" s="1"/>
  <c r="B474" i="1"/>
  <c r="A474" i="1"/>
  <c r="X473" i="1"/>
  <c r="H473" i="1"/>
  <c r="N473" i="1" s="1"/>
  <c r="O473" i="1" s="1"/>
  <c r="Z473" i="1" s="1"/>
  <c r="E473" i="1"/>
  <c r="B473" i="1"/>
  <c r="A473" i="1"/>
  <c r="X472" i="1"/>
  <c r="H472" i="1"/>
  <c r="AA472" i="1" s="1"/>
  <c r="E472" i="1"/>
  <c r="P472" i="1" s="1"/>
  <c r="D472" i="1"/>
  <c r="B472" i="1"/>
  <c r="A472" i="1"/>
  <c r="X471" i="1"/>
  <c r="H471" i="1"/>
  <c r="I471" i="1" s="1"/>
  <c r="E471" i="1"/>
  <c r="Q471" i="1" s="1"/>
  <c r="B471" i="1"/>
  <c r="A471" i="1"/>
  <c r="X470" i="1"/>
  <c r="H470" i="1"/>
  <c r="E470" i="1"/>
  <c r="P470" i="1" s="1"/>
  <c r="B470" i="1"/>
  <c r="A470" i="1"/>
  <c r="X469" i="1"/>
  <c r="H469" i="1"/>
  <c r="AA469" i="1" s="1"/>
  <c r="E469" i="1"/>
  <c r="B469" i="1"/>
  <c r="A469" i="1"/>
  <c r="X468" i="1"/>
  <c r="H468" i="1"/>
  <c r="E468" i="1"/>
  <c r="B468" i="1"/>
  <c r="A468" i="1"/>
  <c r="X467" i="1"/>
  <c r="H467" i="1"/>
  <c r="AA467" i="1" s="1"/>
  <c r="E467" i="1"/>
  <c r="Q467" i="1" s="1"/>
  <c r="B467" i="1"/>
  <c r="A467" i="1"/>
  <c r="X466" i="1"/>
  <c r="H466" i="1"/>
  <c r="J466" i="1" s="1"/>
  <c r="T466" i="1" s="1"/>
  <c r="U466" i="1" s="1"/>
  <c r="E466" i="1"/>
  <c r="B466" i="1"/>
  <c r="A466" i="1"/>
  <c r="X465" i="1"/>
  <c r="H465" i="1"/>
  <c r="E465" i="1"/>
  <c r="B465" i="1"/>
  <c r="A465" i="1"/>
  <c r="X464" i="1"/>
  <c r="H464" i="1"/>
  <c r="E464" i="1"/>
  <c r="B464" i="1"/>
  <c r="A464" i="1"/>
  <c r="X463" i="1"/>
  <c r="H463" i="1"/>
  <c r="E463" i="1"/>
  <c r="Q463" i="1" s="1"/>
  <c r="B463" i="1"/>
  <c r="A463" i="1"/>
  <c r="X462" i="1"/>
  <c r="H462" i="1"/>
  <c r="I462" i="1" s="1"/>
  <c r="E462" i="1"/>
  <c r="Q462" i="1" s="1"/>
  <c r="B462" i="1"/>
  <c r="A462" i="1"/>
  <c r="X461" i="1"/>
  <c r="H461" i="1"/>
  <c r="E461" i="1"/>
  <c r="Q461" i="1" s="1"/>
  <c r="B461" i="1"/>
  <c r="A461" i="1"/>
  <c r="X460" i="1"/>
  <c r="H460" i="1"/>
  <c r="I460" i="1" s="1"/>
  <c r="E460" i="1"/>
  <c r="P460" i="1" s="1"/>
  <c r="B460" i="1"/>
  <c r="A460" i="1"/>
  <c r="X459" i="1"/>
  <c r="H459" i="1"/>
  <c r="E459" i="1"/>
  <c r="B459" i="1"/>
  <c r="A459" i="1"/>
  <c r="X458" i="1"/>
  <c r="H458" i="1"/>
  <c r="E458" i="1"/>
  <c r="B458" i="1"/>
  <c r="A458" i="1"/>
  <c r="X457" i="1"/>
  <c r="H457" i="1"/>
  <c r="N457" i="1" s="1"/>
  <c r="O457" i="1" s="1"/>
  <c r="Z457" i="1" s="1"/>
  <c r="E457" i="1"/>
  <c r="Q457" i="1" s="1"/>
  <c r="B457" i="1"/>
  <c r="A457" i="1"/>
  <c r="X456" i="1"/>
  <c r="H456" i="1"/>
  <c r="E456" i="1"/>
  <c r="D456" i="1" s="1"/>
  <c r="B456" i="1"/>
  <c r="A456" i="1"/>
  <c r="X455" i="1"/>
  <c r="H455" i="1"/>
  <c r="AA455" i="1" s="1"/>
  <c r="E455" i="1"/>
  <c r="B455" i="1"/>
  <c r="A455" i="1"/>
  <c r="X454" i="1"/>
  <c r="H454" i="1"/>
  <c r="AA454" i="1" s="1"/>
  <c r="E454" i="1"/>
  <c r="Q454" i="1" s="1"/>
  <c r="B454" i="1"/>
  <c r="A454" i="1"/>
  <c r="X453" i="1"/>
  <c r="H453" i="1"/>
  <c r="E453" i="1"/>
  <c r="Q453" i="1" s="1"/>
  <c r="B453" i="1"/>
  <c r="A453" i="1"/>
  <c r="X452" i="1"/>
  <c r="H452" i="1"/>
  <c r="I452" i="1" s="1"/>
  <c r="E452" i="1"/>
  <c r="Q452" i="1" s="1"/>
  <c r="B452" i="1"/>
  <c r="A452" i="1"/>
  <c r="X451" i="1"/>
  <c r="H451" i="1"/>
  <c r="J451" i="1" s="1"/>
  <c r="T451" i="1" s="1"/>
  <c r="U451" i="1" s="1"/>
  <c r="E451" i="1"/>
  <c r="B451" i="1"/>
  <c r="A451" i="1"/>
  <c r="X450" i="1"/>
  <c r="H450" i="1"/>
  <c r="N450" i="1" s="1"/>
  <c r="O450" i="1" s="1"/>
  <c r="Z450" i="1" s="1"/>
  <c r="E450" i="1"/>
  <c r="B450" i="1"/>
  <c r="A450" i="1"/>
  <c r="X449" i="1"/>
  <c r="H449" i="1"/>
  <c r="E449" i="1"/>
  <c r="B449" i="1"/>
  <c r="A449" i="1"/>
  <c r="X448" i="1"/>
  <c r="H448" i="1"/>
  <c r="J448" i="1" s="1"/>
  <c r="R448" i="1" s="1"/>
  <c r="S448" i="1" s="1"/>
  <c r="E448" i="1"/>
  <c r="P448" i="1" s="1"/>
  <c r="B448" i="1"/>
  <c r="A448" i="1"/>
  <c r="X447" i="1"/>
  <c r="H447" i="1"/>
  <c r="E447" i="1"/>
  <c r="B447" i="1"/>
  <c r="A447" i="1"/>
  <c r="X446" i="1"/>
  <c r="H446" i="1"/>
  <c r="E446" i="1"/>
  <c r="B446" i="1"/>
  <c r="A446" i="1"/>
  <c r="X445" i="1"/>
  <c r="H445" i="1"/>
  <c r="E445" i="1"/>
  <c r="D445" i="1" s="1"/>
  <c r="B445" i="1"/>
  <c r="A445" i="1"/>
  <c r="X444" i="1"/>
  <c r="H444" i="1"/>
  <c r="E444" i="1"/>
  <c r="B444" i="1"/>
  <c r="A444" i="1"/>
  <c r="X443" i="1"/>
  <c r="H443" i="1"/>
  <c r="E443" i="1"/>
  <c r="B443" i="1"/>
  <c r="A443" i="1"/>
  <c r="X442" i="1"/>
  <c r="H442" i="1"/>
  <c r="E442" i="1"/>
  <c r="B442" i="1"/>
  <c r="A442" i="1"/>
  <c r="X441" i="1"/>
  <c r="H441" i="1"/>
  <c r="AA441" i="1" s="1"/>
  <c r="E441" i="1"/>
  <c r="D441" i="1" s="1"/>
  <c r="B441" i="1"/>
  <c r="A441" i="1"/>
  <c r="X440" i="1"/>
  <c r="H440" i="1"/>
  <c r="I440" i="1" s="1"/>
  <c r="E440" i="1"/>
  <c r="B440" i="1"/>
  <c r="A440" i="1"/>
  <c r="X439" i="1"/>
  <c r="H439" i="1"/>
  <c r="AA439" i="1" s="1"/>
  <c r="E439" i="1"/>
  <c r="P439" i="1" s="1"/>
  <c r="B439" i="1"/>
  <c r="A439" i="1"/>
  <c r="X438" i="1"/>
  <c r="H438" i="1"/>
  <c r="I438" i="1" s="1"/>
  <c r="E438" i="1"/>
  <c r="B438" i="1"/>
  <c r="A438" i="1"/>
  <c r="X437" i="1"/>
  <c r="H437" i="1"/>
  <c r="E437" i="1"/>
  <c r="Q437" i="1" s="1"/>
  <c r="B437" i="1"/>
  <c r="A437" i="1"/>
  <c r="X436" i="1"/>
  <c r="H436" i="1"/>
  <c r="E436" i="1"/>
  <c r="B436" i="1"/>
  <c r="A436" i="1"/>
  <c r="X435" i="1"/>
  <c r="H435" i="1"/>
  <c r="N435" i="1" s="1"/>
  <c r="O435" i="1" s="1"/>
  <c r="Z435" i="1" s="1"/>
  <c r="E435" i="1"/>
  <c r="Q435" i="1" s="1"/>
  <c r="B435" i="1"/>
  <c r="A435" i="1"/>
  <c r="X434" i="1"/>
  <c r="H434" i="1"/>
  <c r="N434" i="1" s="1"/>
  <c r="O434" i="1" s="1"/>
  <c r="Z434" i="1" s="1"/>
  <c r="E434" i="1"/>
  <c r="Q434" i="1" s="1"/>
  <c r="B434" i="1"/>
  <c r="A434" i="1"/>
  <c r="X433" i="1"/>
  <c r="H433" i="1"/>
  <c r="AA433" i="1" s="1"/>
  <c r="E433" i="1"/>
  <c r="B433" i="1"/>
  <c r="A433" i="1"/>
  <c r="X432" i="1"/>
  <c r="H432" i="1"/>
  <c r="N432" i="1" s="1"/>
  <c r="O432" i="1" s="1"/>
  <c r="Z432" i="1" s="1"/>
  <c r="E432" i="1"/>
  <c r="Q432" i="1" s="1"/>
  <c r="B432" i="1"/>
  <c r="A432" i="1"/>
  <c r="X431" i="1"/>
  <c r="H431" i="1"/>
  <c r="AA431" i="1" s="1"/>
  <c r="E431" i="1"/>
  <c r="B431" i="1"/>
  <c r="A431" i="1"/>
  <c r="X430" i="1"/>
  <c r="H430" i="1"/>
  <c r="N430" i="1" s="1"/>
  <c r="O430" i="1" s="1"/>
  <c r="Z430" i="1" s="1"/>
  <c r="E430" i="1"/>
  <c r="Q430" i="1" s="1"/>
  <c r="B430" i="1"/>
  <c r="A430" i="1"/>
  <c r="X429" i="1"/>
  <c r="H429" i="1"/>
  <c r="N429" i="1" s="1"/>
  <c r="O429" i="1" s="1"/>
  <c r="Z429" i="1" s="1"/>
  <c r="E429" i="1"/>
  <c r="D429" i="1" s="1"/>
  <c r="B429" i="1"/>
  <c r="A429" i="1"/>
  <c r="X428" i="1"/>
  <c r="H428" i="1"/>
  <c r="E428" i="1"/>
  <c r="D428" i="1" s="1"/>
  <c r="B428" i="1"/>
  <c r="A428" i="1"/>
  <c r="X427" i="1"/>
  <c r="H427" i="1"/>
  <c r="E427" i="1"/>
  <c r="B427" i="1"/>
  <c r="A427" i="1"/>
  <c r="X426" i="1"/>
  <c r="H426" i="1"/>
  <c r="N426" i="1" s="1"/>
  <c r="O426" i="1" s="1"/>
  <c r="Z426" i="1" s="1"/>
  <c r="E426" i="1"/>
  <c r="D426" i="1" s="1"/>
  <c r="B426" i="1"/>
  <c r="A426" i="1"/>
  <c r="X425" i="1"/>
  <c r="H425" i="1"/>
  <c r="N425" i="1" s="1"/>
  <c r="O425" i="1" s="1"/>
  <c r="Z425" i="1" s="1"/>
  <c r="E425" i="1"/>
  <c r="B425" i="1"/>
  <c r="A425" i="1"/>
  <c r="X424" i="1"/>
  <c r="H424" i="1"/>
  <c r="J424" i="1" s="1"/>
  <c r="E424" i="1"/>
  <c r="B424" i="1"/>
  <c r="A424" i="1"/>
  <c r="X423" i="1"/>
  <c r="H423" i="1"/>
  <c r="I423" i="1" s="1"/>
  <c r="E423" i="1"/>
  <c r="B423" i="1"/>
  <c r="A423" i="1"/>
  <c r="X422" i="1"/>
  <c r="H422" i="1"/>
  <c r="E422" i="1"/>
  <c r="D422" i="1" s="1"/>
  <c r="B422" i="1"/>
  <c r="A422" i="1"/>
  <c r="X421" i="1"/>
  <c r="H421" i="1"/>
  <c r="J421" i="1" s="1"/>
  <c r="T421" i="1" s="1"/>
  <c r="E421" i="1"/>
  <c r="B421" i="1"/>
  <c r="A421" i="1"/>
  <c r="X420" i="1"/>
  <c r="H420" i="1"/>
  <c r="AA420" i="1" s="1"/>
  <c r="E420" i="1"/>
  <c r="B420" i="1"/>
  <c r="A420" i="1"/>
  <c r="X419" i="1"/>
  <c r="H419" i="1"/>
  <c r="AA419" i="1" s="1"/>
  <c r="E419" i="1"/>
  <c r="D419" i="1" s="1"/>
  <c r="B419" i="1"/>
  <c r="A419" i="1"/>
  <c r="X418" i="1"/>
  <c r="H418" i="1"/>
  <c r="AA418" i="1" s="1"/>
  <c r="E418" i="1"/>
  <c r="P418" i="1" s="1"/>
  <c r="B418" i="1"/>
  <c r="A418" i="1"/>
  <c r="X417" i="1"/>
  <c r="H417" i="1"/>
  <c r="I417" i="1" s="1"/>
  <c r="E417" i="1"/>
  <c r="Q417" i="1" s="1"/>
  <c r="B417" i="1"/>
  <c r="A417" i="1"/>
  <c r="X416" i="1"/>
  <c r="H416" i="1"/>
  <c r="E416" i="1"/>
  <c r="B416" i="1"/>
  <c r="A416" i="1"/>
  <c r="X415" i="1"/>
  <c r="H415" i="1"/>
  <c r="N415" i="1" s="1"/>
  <c r="O415" i="1" s="1"/>
  <c r="Z415" i="1" s="1"/>
  <c r="E415" i="1"/>
  <c r="Q415" i="1" s="1"/>
  <c r="B415" i="1"/>
  <c r="A415" i="1"/>
  <c r="X414" i="1"/>
  <c r="H414" i="1"/>
  <c r="J414" i="1" s="1"/>
  <c r="W414" i="1" s="1"/>
  <c r="Y414" i="1" s="1"/>
  <c r="E414" i="1"/>
  <c r="B414" i="1"/>
  <c r="A414" i="1"/>
  <c r="X413" i="1"/>
  <c r="H413" i="1"/>
  <c r="J413" i="1" s="1"/>
  <c r="E413" i="1"/>
  <c r="P413" i="1" s="1"/>
  <c r="B413" i="1"/>
  <c r="A413" i="1"/>
  <c r="X412" i="1"/>
  <c r="H412" i="1"/>
  <c r="J412" i="1" s="1"/>
  <c r="E412" i="1"/>
  <c r="Q412" i="1" s="1"/>
  <c r="B412" i="1"/>
  <c r="A412" i="1"/>
  <c r="X411" i="1"/>
  <c r="H411" i="1"/>
  <c r="N411" i="1" s="1"/>
  <c r="O411" i="1" s="1"/>
  <c r="Z411" i="1" s="1"/>
  <c r="E411" i="1"/>
  <c r="B411" i="1"/>
  <c r="A411" i="1"/>
  <c r="X410" i="1"/>
  <c r="H410" i="1"/>
  <c r="E410" i="1"/>
  <c r="P410" i="1" s="1"/>
  <c r="B410" i="1"/>
  <c r="A410" i="1"/>
  <c r="X409" i="1"/>
  <c r="H409" i="1"/>
  <c r="J409" i="1" s="1"/>
  <c r="E409" i="1"/>
  <c r="P409" i="1" s="1"/>
  <c r="B409" i="1"/>
  <c r="A409" i="1"/>
  <c r="X408" i="1"/>
  <c r="H408" i="1"/>
  <c r="E408" i="1"/>
  <c r="B408" i="1"/>
  <c r="A408" i="1"/>
  <c r="X407" i="1"/>
  <c r="H407" i="1"/>
  <c r="E407" i="1"/>
  <c r="B407" i="1"/>
  <c r="A407" i="1"/>
  <c r="X406" i="1"/>
  <c r="H406" i="1"/>
  <c r="E406" i="1"/>
  <c r="B406" i="1"/>
  <c r="A406" i="1"/>
  <c r="X405" i="1"/>
  <c r="H405" i="1"/>
  <c r="E405" i="1"/>
  <c r="P405" i="1" s="1"/>
  <c r="B405" i="1"/>
  <c r="A405" i="1"/>
  <c r="X404" i="1"/>
  <c r="H404" i="1"/>
  <c r="AA404" i="1" s="1"/>
  <c r="E404" i="1"/>
  <c r="B404" i="1"/>
  <c r="A404" i="1"/>
  <c r="X403" i="1"/>
  <c r="H403" i="1"/>
  <c r="E403" i="1"/>
  <c r="P403" i="1" s="1"/>
  <c r="B403" i="1"/>
  <c r="A403" i="1"/>
  <c r="X402" i="1"/>
  <c r="H402" i="1"/>
  <c r="E402" i="1"/>
  <c r="B402" i="1"/>
  <c r="A402" i="1"/>
  <c r="X401" i="1"/>
  <c r="H401" i="1"/>
  <c r="E401" i="1"/>
  <c r="Q401" i="1" s="1"/>
  <c r="B401" i="1"/>
  <c r="A401" i="1"/>
  <c r="X400" i="1"/>
  <c r="H400" i="1"/>
  <c r="E400" i="1"/>
  <c r="B400" i="1"/>
  <c r="A400" i="1"/>
  <c r="X399" i="1"/>
  <c r="H399" i="1"/>
  <c r="AA399" i="1" s="1"/>
  <c r="E399" i="1"/>
  <c r="B399" i="1"/>
  <c r="A399" i="1"/>
  <c r="X398" i="1"/>
  <c r="H398" i="1"/>
  <c r="E398" i="1"/>
  <c r="D398" i="1" s="1"/>
  <c r="B398" i="1"/>
  <c r="A398" i="1"/>
  <c r="X397" i="1"/>
  <c r="H397" i="1"/>
  <c r="E397" i="1"/>
  <c r="B397" i="1"/>
  <c r="A397" i="1"/>
  <c r="X396" i="1"/>
  <c r="H396" i="1"/>
  <c r="E396" i="1"/>
  <c r="B396" i="1"/>
  <c r="A396" i="1"/>
  <c r="X395" i="1"/>
  <c r="H395" i="1"/>
  <c r="N395" i="1" s="1"/>
  <c r="O395" i="1" s="1"/>
  <c r="Z395" i="1" s="1"/>
  <c r="E395" i="1"/>
  <c r="B395" i="1"/>
  <c r="A395" i="1"/>
  <c r="X394" i="1"/>
  <c r="H394" i="1"/>
  <c r="E394" i="1"/>
  <c r="Q394" i="1" s="1"/>
  <c r="B394" i="1"/>
  <c r="A394" i="1"/>
  <c r="X393" i="1"/>
  <c r="H393" i="1"/>
  <c r="E393" i="1"/>
  <c r="D393" i="1" s="1"/>
  <c r="B393" i="1"/>
  <c r="A393" i="1"/>
  <c r="X392" i="1"/>
  <c r="H392" i="1"/>
  <c r="E392" i="1"/>
  <c r="B392" i="1"/>
  <c r="A392" i="1"/>
  <c r="X391" i="1"/>
  <c r="H391" i="1"/>
  <c r="I391" i="1" s="1"/>
  <c r="E391" i="1"/>
  <c r="Q391" i="1" s="1"/>
  <c r="B391" i="1"/>
  <c r="A391" i="1"/>
  <c r="X390" i="1"/>
  <c r="H390" i="1"/>
  <c r="N390" i="1" s="1"/>
  <c r="O390" i="1" s="1"/>
  <c r="Z390" i="1" s="1"/>
  <c r="E390" i="1"/>
  <c r="Q390" i="1" s="1"/>
  <c r="B390" i="1"/>
  <c r="A390" i="1"/>
  <c r="X389" i="1"/>
  <c r="H389" i="1"/>
  <c r="J389" i="1" s="1"/>
  <c r="R389" i="1" s="1"/>
  <c r="S389" i="1" s="1"/>
  <c r="E389" i="1"/>
  <c r="Q389" i="1" s="1"/>
  <c r="B389" i="1"/>
  <c r="A389" i="1"/>
  <c r="X388" i="1"/>
  <c r="H388" i="1"/>
  <c r="I388" i="1" s="1"/>
  <c r="E388" i="1"/>
  <c r="D388" i="1" s="1"/>
  <c r="B388" i="1"/>
  <c r="A388" i="1"/>
  <c r="X387" i="1"/>
  <c r="H387" i="1"/>
  <c r="J387" i="1" s="1"/>
  <c r="E387" i="1"/>
  <c r="Q387" i="1" s="1"/>
  <c r="B387" i="1"/>
  <c r="A387" i="1"/>
  <c r="X386" i="1"/>
  <c r="H386" i="1"/>
  <c r="E386" i="1"/>
  <c r="B386" i="1"/>
  <c r="A386" i="1"/>
  <c r="X385" i="1"/>
  <c r="H385" i="1"/>
  <c r="E385" i="1"/>
  <c r="P385" i="1" s="1"/>
  <c r="B385" i="1"/>
  <c r="A385" i="1"/>
  <c r="X384" i="1"/>
  <c r="H384" i="1"/>
  <c r="I384" i="1" s="1"/>
  <c r="E384" i="1"/>
  <c r="B384" i="1"/>
  <c r="A384" i="1"/>
  <c r="X383" i="1"/>
  <c r="H383" i="1"/>
  <c r="E383" i="1"/>
  <c r="D383" i="1" s="1"/>
  <c r="B383" i="1"/>
  <c r="A383" i="1"/>
  <c r="X382" i="1"/>
  <c r="H382" i="1"/>
  <c r="E382" i="1"/>
  <c r="B382" i="1"/>
  <c r="A382" i="1"/>
  <c r="X381" i="1"/>
  <c r="H381" i="1"/>
  <c r="E381" i="1"/>
  <c r="D381" i="1" s="1"/>
  <c r="B381" i="1"/>
  <c r="A381" i="1"/>
  <c r="X380" i="1"/>
  <c r="H380" i="1"/>
  <c r="N380" i="1" s="1"/>
  <c r="O380" i="1" s="1"/>
  <c r="Z380" i="1" s="1"/>
  <c r="E380" i="1"/>
  <c r="B380" i="1"/>
  <c r="A380" i="1"/>
  <c r="X379" i="1"/>
  <c r="H379" i="1"/>
  <c r="E379" i="1"/>
  <c r="B379" i="1"/>
  <c r="A379" i="1"/>
  <c r="X378" i="1"/>
  <c r="H378" i="1"/>
  <c r="I378" i="1" s="1"/>
  <c r="E378" i="1"/>
  <c r="Q378" i="1" s="1"/>
  <c r="B378" i="1"/>
  <c r="A378" i="1"/>
  <c r="X377" i="1"/>
  <c r="H377" i="1"/>
  <c r="N377" i="1" s="1"/>
  <c r="O377" i="1" s="1"/>
  <c r="Z377" i="1" s="1"/>
  <c r="E377" i="1"/>
  <c r="B377" i="1"/>
  <c r="A377" i="1"/>
  <c r="X376" i="1"/>
  <c r="N376" i="1"/>
  <c r="O376" i="1" s="1"/>
  <c r="Z376" i="1" s="1"/>
  <c r="H376" i="1"/>
  <c r="AA376" i="1" s="1"/>
  <c r="E376" i="1"/>
  <c r="B376" i="1"/>
  <c r="A376" i="1"/>
  <c r="X375" i="1"/>
  <c r="H375" i="1"/>
  <c r="N375" i="1" s="1"/>
  <c r="O375" i="1" s="1"/>
  <c r="Z375" i="1" s="1"/>
  <c r="E375" i="1"/>
  <c r="B375" i="1"/>
  <c r="A375" i="1"/>
  <c r="X374" i="1"/>
  <c r="H374" i="1"/>
  <c r="I374" i="1" s="1"/>
  <c r="E374" i="1"/>
  <c r="B374" i="1"/>
  <c r="A374" i="1"/>
  <c r="X373" i="1"/>
  <c r="H373" i="1"/>
  <c r="I373" i="1" s="1"/>
  <c r="E373" i="1"/>
  <c r="Q373" i="1" s="1"/>
  <c r="B373" i="1"/>
  <c r="A373" i="1"/>
  <c r="X372" i="1"/>
  <c r="H372" i="1"/>
  <c r="E372" i="1"/>
  <c r="D372" i="1" s="1"/>
  <c r="B372" i="1"/>
  <c r="A372" i="1"/>
  <c r="X371" i="1"/>
  <c r="H371" i="1"/>
  <c r="E371" i="1"/>
  <c r="Q371" i="1" s="1"/>
  <c r="B371" i="1"/>
  <c r="A371" i="1"/>
  <c r="X370" i="1"/>
  <c r="H370" i="1"/>
  <c r="N370" i="1" s="1"/>
  <c r="O370" i="1" s="1"/>
  <c r="Z370" i="1" s="1"/>
  <c r="E370" i="1"/>
  <c r="B370" i="1"/>
  <c r="A370" i="1"/>
  <c r="X369" i="1"/>
  <c r="H369" i="1"/>
  <c r="I369" i="1" s="1"/>
  <c r="E369" i="1"/>
  <c r="B369" i="1"/>
  <c r="A369" i="1"/>
  <c r="X368" i="1"/>
  <c r="H368" i="1"/>
  <c r="E368" i="1"/>
  <c r="B368" i="1"/>
  <c r="A368" i="1"/>
  <c r="X367" i="1"/>
  <c r="H367" i="1"/>
  <c r="E367" i="1"/>
  <c r="D367" i="1" s="1"/>
  <c r="B367" i="1"/>
  <c r="A367" i="1"/>
  <c r="X366" i="1"/>
  <c r="H366" i="1"/>
  <c r="E366" i="1"/>
  <c r="B366" i="1"/>
  <c r="A366" i="1"/>
  <c r="X365" i="1"/>
  <c r="H365" i="1"/>
  <c r="N365" i="1" s="1"/>
  <c r="O365" i="1" s="1"/>
  <c r="Z365" i="1" s="1"/>
  <c r="E365" i="1"/>
  <c r="B365" i="1"/>
  <c r="A365" i="1"/>
  <c r="X364" i="1"/>
  <c r="H364" i="1"/>
  <c r="E364" i="1"/>
  <c r="Q364" i="1" s="1"/>
  <c r="B364" i="1"/>
  <c r="A364" i="1"/>
  <c r="X363" i="1"/>
  <c r="H363" i="1"/>
  <c r="E363" i="1"/>
  <c r="B363" i="1"/>
  <c r="A363" i="1"/>
  <c r="X362" i="1"/>
  <c r="H362" i="1"/>
  <c r="AA362" i="1" s="1"/>
  <c r="E362" i="1"/>
  <c r="B362" i="1"/>
  <c r="A362" i="1"/>
  <c r="X361" i="1"/>
  <c r="H361" i="1"/>
  <c r="I361" i="1" s="1"/>
  <c r="E361" i="1"/>
  <c r="B361" i="1"/>
  <c r="A361" i="1"/>
  <c r="X360" i="1"/>
  <c r="H360" i="1"/>
  <c r="E360" i="1"/>
  <c r="B360" i="1"/>
  <c r="A360" i="1"/>
  <c r="X359" i="1"/>
  <c r="H359" i="1"/>
  <c r="I359" i="1" s="1"/>
  <c r="E359" i="1"/>
  <c r="D359" i="1" s="1"/>
  <c r="B359" i="1"/>
  <c r="A359" i="1"/>
  <c r="X358" i="1"/>
  <c r="H358" i="1"/>
  <c r="AA358" i="1" s="1"/>
  <c r="E358" i="1"/>
  <c r="Q358" i="1" s="1"/>
  <c r="B358" i="1"/>
  <c r="A358" i="1"/>
  <c r="X357" i="1"/>
  <c r="H357" i="1"/>
  <c r="E357" i="1"/>
  <c r="B357" i="1"/>
  <c r="A357" i="1"/>
  <c r="X356" i="1"/>
  <c r="H356" i="1"/>
  <c r="E356" i="1"/>
  <c r="D356" i="1" s="1"/>
  <c r="B356" i="1"/>
  <c r="A356" i="1"/>
  <c r="X355" i="1"/>
  <c r="H355" i="1"/>
  <c r="E355" i="1"/>
  <c r="B355" i="1"/>
  <c r="A355" i="1"/>
  <c r="X354" i="1"/>
  <c r="H354" i="1"/>
  <c r="E354" i="1"/>
  <c r="D354" i="1" s="1"/>
  <c r="B354" i="1"/>
  <c r="A354" i="1"/>
  <c r="X353" i="1"/>
  <c r="H353" i="1"/>
  <c r="I353" i="1" s="1"/>
  <c r="E353" i="1"/>
  <c r="B353" i="1"/>
  <c r="A353" i="1"/>
  <c r="X352" i="1"/>
  <c r="H352" i="1"/>
  <c r="E352" i="1"/>
  <c r="B352" i="1"/>
  <c r="A352" i="1"/>
  <c r="X351" i="1"/>
  <c r="H351" i="1"/>
  <c r="I351" i="1" s="1"/>
  <c r="E351" i="1"/>
  <c r="D351" i="1" s="1"/>
  <c r="B351" i="1"/>
  <c r="A351" i="1"/>
  <c r="X350" i="1"/>
  <c r="H350" i="1"/>
  <c r="AA350" i="1" s="1"/>
  <c r="E350" i="1"/>
  <c r="B350" i="1"/>
  <c r="A350" i="1"/>
  <c r="X349" i="1"/>
  <c r="H349" i="1"/>
  <c r="E349" i="1"/>
  <c r="P349" i="1" s="1"/>
  <c r="D349" i="1"/>
  <c r="B349" i="1"/>
  <c r="A349" i="1"/>
  <c r="X348" i="1"/>
  <c r="H348" i="1"/>
  <c r="J348" i="1" s="1"/>
  <c r="E348" i="1"/>
  <c r="B348" i="1"/>
  <c r="A348" i="1"/>
  <c r="X347" i="1"/>
  <c r="H347" i="1"/>
  <c r="AA347" i="1" s="1"/>
  <c r="E347" i="1"/>
  <c r="D347" i="1" s="1"/>
  <c r="B347" i="1"/>
  <c r="A347" i="1"/>
  <c r="X346" i="1"/>
  <c r="H346" i="1"/>
  <c r="E346" i="1"/>
  <c r="Q346" i="1" s="1"/>
  <c r="B346" i="1"/>
  <c r="A346" i="1"/>
  <c r="X345" i="1"/>
  <c r="H345" i="1"/>
  <c r="AA345" i="1" s="1"/>
  <c r="E345" i="1"/>
  <c r="Q345" i="1" s="1"/>
  <c r="B345" i="1"/>
  <c r="A345" i="1"/>
  <c r="X344" i="1"/>
  <c r="H344" i="1"/>
  <c r="J344" i="1" s="1"/>
  <c r="T344" i="1" s="1"/>
  <c r="U344" i="1" s="1"/>
  <c r="E344" i="1"/>
  <c r="B344" i="1"/>
  <c r="A344" i="1"/>
  <c r="X343" i="1"/>
  <c r="H343" i="1"/>
  <c r="E343" i="1"/>
  <c r="B343" i="1"/>
  <c r="A343" i="1"/>
  <c r="X342" i="1"/>
  <c r="H342" i="1"/>
  <c r="I342" i="1" s="1"/>
  <c r="E342" i="1"/>
  <c r="B342" i="1"/>
  <c r="A342" i="1"/>
  <c r="X341" i="1"/>
  <c r="H341" i="1"/>
  <c r="I341" i="1" s="1"/>
  <c r="E341" i="1"/>
  <c r="Q341" i="1" s="1"/>
  <c r="B341" i="1"/>
  <c r="A341" i="1"/>
  <c r="X340" i="1"/>
  <c r="H340" i="1"/>
  <c r="I340" i="1" s="1"/>
  <c r="E340" i="1"/>
  <c r="B340" i="1"/>
  <c r="A340" i="1"/>
  <c r="X339" i="1"/>
  <c r="H339" i="1"/>
  <c r="E339" i="1"/>
  <c r="D339" i="1" s="1"/>
  <c r="B339" i="1"/>
  <c r="A339" i="1"/>
  <c r="X338" i="1"/>
  <c r="H338" i="1"/>
  <c r="AA338" i="1" s="1"/>
  <c r="E338" i="1"/>
  <c r="B338" i="1"/>
  <c r="A338" i="1"/>
  <c r="X337" i="1"/>
  <c r="H337" i="1"/>
  <c r="I337" i="1" s="1"/>
  <c r="E337" i="1"/>
  <c r="P337" i="1" s="1"/>
  <c r="B337" i="1"/>
  <c r="A337" i="1"/>
  <c r="X336" i="1"/>
  <c r="H336" i="1"/>
  <c r="J336" i="1" s="1"/>
  <c r="W336" i="1" s="1"/>
  <c r="Y336" i="1" s="1"/>
  <c r="E336" i="1"/>
  <c r="P336" i="1" s="1"/>
  <c r="B336" i="1"/>
  <c r="A336" i="1"/>
  <c r="X335" i="1"/>
  <c r="H335" i="1"/>
  <c r="E335" i="1"/>
  <c r="Q335" i="1" s="1"/>
  <c r="B335" i="1"/>
  <c r="A335" i="1"/>
  <c r="X334" i="1"/>
  <c r="H334" i="1"/>
  <c r="N334" i="1" s="1"/>
  <c r="O334" i="1" s="1"/>
  <c r="Z334" i="1" s="1"/>
  <c r="E334" i="1"/>
  <c r="P334" i="1" s="1"/>
  <c r="B334" i="1"/>
  <c r="A334" i="1"/>
  <c r="X333" i="1"/>
  <c r="H333" i="1"/>
  <c r="J333" i="1" s="1"/>
  <c r="W333" i="1" s="1"/>
  <c r="Y333" i="1" s="1"/>
  <c r="E333" i="1"/>
  <c r="B333" i="1"/>
  <c r="A333" i="1"/>
  <c r="X332" i="1"/>
  <c r="H332" i="1"/>
  <c r="J332" i="1" s="1"/>
  <c r="E332" i="1"/>
  <c r="Q332" i="1" s="1"/>
  <c r="B332" i="1"/>
  <c r="A332" i="1"/>
  <c r="X331" i="1"/>
  <c r="H331" i="1"/>
  <c r="J331" i="1" s="1"/>
  <c r="W331" i="1" s="1"/>
  <c r="Y331" i="1" s="1"/>
  <c r="E331" i="1"/>
  <c r="Q331" i="1" s="1"/>
  <c r="B331" i="1"/>
  <c r="A331" i="1"/>
  <c r="X330" i="1"/>
  <c r="H330" i="1"/>
  <c r="I330" i="1" s="1"/>
  <c r="E330" i="1"/>
  <c r="B330" i="1"/>
  <c r="A330" i="1"/>
  <c r="X329" i="1"/>
  <c r="H329" i="1"/>
  <c r="E329" i="1"/>
  <c r="Q329" i="1" s="1"/>
  <c r="B329" i="1"/>
  <c r="A329" i="1"/>
  <c r="X328" i="1"/>
  <c r="H328" i="1"/>
  <c r="N328" i="1" s="1"/>
  <c r="O328" i="1" s="1"/>
  <c r="Z328" i="1" s="1"/>
  <c r="E328" i="1"/>
  <c r="D328" i="1" s="1"/>
  <c r="B328" i="1"/>
  <c r="A328" i="1"/>
  <c r="X327" i="1"/>
  <c r="H327" i="1"/>
  <c r="AA327" i="1" s="1"/>
  <c r="E327" i="1"/>
  <c r="P327" i="1" s="1"/>
  <c r="B327" i="1"/>
  <c r="A327" i="1"/>
  <c r="X326" i="1"/>
  <c r="H326" i="1"/>
  <c r="J326" i="1" s="1"/>
  <c r="T326" i="1" s="1"/>
  <c r="E326" i="1"/>
  <c r="Q326" i="1" s="1"/>
  <c r="B326" i="1"/>
  <c r="A326" i="1"/>
  <c r="X325" i="1"/>
  <c r="H325" i="1"/>
  <c r="E325" i="1"/>
  <c r="Q325" i="1" s="1"/>
  <c r="B325" i="1"/>
  <c r="A325" i="1"/>
  <c r="X324" i="1"/>
  <c r="H324" i="1"/>
  <c r="J324" i="1" s="1"/>
  <c r="E324" i="1"/>
  <c r="D324" i="1" s="1"/>
  <c r="B324" i="1"/>
  <c r="A324" i="1"/>
  <c r="X323" i="1"/>
  <c r="H323" i="1"/>
  <c r="N323" i="1" s="1"/>
  <c r="O323" i="1" s="1"/>
  <c r="Z323" i="1" s="1"/>
  <c r="E323" i="1"/>
  <c r="D323" i="1" s="1"/>
  <c r="B323" i="1"/>
  <c r="A323" i="1"/>
  <c r="X322" i="1"/>
  <c r="H322" i="1"/>
  <c r="E322" i="1"/>
  <c r="B322" i="1"/>
  <c r="A322" i="1"/>
  <c r="X321" i="1"/>
  <c r="H321" i="1"/>
  <c r="J321" i="1" s="1"/>
  <c r="T321" i="1" s="1"/>
  <c r="U321" i="1" s="1"/>
  <c r="E321" i="1"/>
  <c r="B321" i="1"/>
  <c r="A321" i="1"/>
  <c r="X320" i="1"/>
  <c r="H320" i="1"/>
  <c r="E320" i="1"/>
  <c r="Q320" i="1" s="1"/>
  <c r="B320" i="1"/>
  <c r="A320" i="1"/>
  <c r="X319" i="1"/>
  <c r="H319" i="1"/>
  <c r="AA319" i="1" s="1"/>
  <c r="E319" i="1"/>
  <c r="D319" i="1" s="1"/>
  <c r="B319" i="1"/>
  <c r="A319" i="1"/>
  <c r="X318" i="1"/>
  <c r="H318" i="1"/>
  <c r="J318" i="1" s="1"/>
  <c r="E318" i="1"/>
  <c r="B318" i="1"/>
  <c r="A318" i="1"/>
  <c r="X317" i="1"/>
  <c r="H317" i="1"/>
  <c r="E317" i="1"/>
  <c r="B317" i="1"/>
  <c r="A317" i="1"/>
  <c r="X316" i="1"/>
  <c r="H316" i="1"/>
  <c r="J316" i="1" s="1"/>
  <c r="E316" i="1"/>
  <c r="B316" i="1"/>
  <c r="A316" i="1"/>
  <c r="X315" i="1"/>
  <c r="H315" i="1"/>
  <c r="AA315" i="1" s="1"/>
  <c r="E315" i="1"/>
  <c r="Q315" i="1" s="1"/>
  <c r="B315" i="1"/>
  <c r="A315" i="1"/>
  <c r="X314" i="1"/>
  <c r="H314" i="1"/>
  <c r="I314" i="1" s="1"/>
  <c r="E314" i="1"/>
  <c r="Q314" i="1" s="1"/>
  <c r="B314" i="1"/>
  <c r="A314" i="1"/>
  <c r="X313" i="1"/>
  <c r="H313" i="1"/>
  <c r="J313" i="1" s="1"/>
  <c r="W313" i="1" s="1"/>
  <c r="Y313" i="1" s="1"/>
  <c r="E313" i="1"/>
  <c r="Q313" i="1" s="1"/>
  <c r="B313" i="1"/>
  <c r="A313" i="1"/>
  <c r="X312" i="1"/>
  <c r="H312" i="1"/>
  <c r="J312" i="1" s="1"/>
  <c r="E312" i="1"/>
  <c r="P312" i="1" s="1"/>
  <c r="B312" i="1"/>
  <c r="A312" i="1"/>
  <c r="X311" i="1"/>
  <c r="H311" i="1"/>
  <c r="E311" i="1"/>
  <c r="Q311" i="1" s="1"/>
  <c r="B311" i="1"/>
  <c r="A311" i="1"/>
  <c r="X310" i="1"/>
  <c r="H310" i="1"/>
  <c r="AA310" i="1" s="1"/>
  <c r="E310" i="1"/>
  <c r="D310" i="1" s="1"/>
  <c r="B310" i="1"/>
  <c r="A310" i="1"/>
  <c r="X309" i="1"/>
  <c r="P309" i="1"/>
  <c r="H309" i="1"/>
  <c r="E309" i="1"/>
  <c r="D309" i="1" s="1"/>
  <c r="B309" i="1"/>
  <c r="A309" i="1"/>
  <c r="X308" i="1"/>
  <c r="H308" i="1"/>
  <c r="E308" i="1"/>
  <c r="P308" i="1" s="1"/>
  <c r="D308" i="1"/>
  <c r="B308" i="1"/>
  <c r="A308" i="1"/>
  <c r="X307" i="1"/>
  <c r="H307" i="1"/>
  <c r="AA307" i="1" s="1"/>
  <c r="E307" i="1"/>
  <c r="B307" i="1"/>
  <c r="A307" i="1"/>
  <c r="X306" i="1"/>
  <c r="H306" i="1"/>
  <c r="N306" i="1" s="1"/>
  <c r="O306" i="1" s="1"/>
  <c r="Z306" i="1" s="1"/>
  <c r="E306" i="1"/>
  <c r="Q306" i="1" s="1"/>
  <c r="B306" i="1"/>
  <c r="A306" i="1"/>
  <c r="X305" i="1"/>
  <c r="H305" i="1"/>
  <c r="I305" i="1" s="1"/>
  <c r="E305" i="1"/>
  <c r="Q305" i="1" s="1"/>
  <c r="D305" i="1"/>
  <c r="B305" i="1"/>
  <c r="A305" i="1"/>
  <c r="X304" i="1"/>
  <c r="H304" i="1"/>
  <c r="E304" i="1"/>
  <c r="B304" i="1"/>
  <c r="A304" i="1"/>
  <c r="X303" i="1"/>
  <c r="H303" i="1"/>
  <c r="N303" i="1" s="1"/>
  <c r="O303" i="1" s="1"/>
  <c r="Z303" i="1" s="1"/>
  <c r="E303" i="1"/>
  <c r="Q303" i="1" s="1"/>
  <c r="B303" i="1"/>
  <c r="A303" i="1"/>
  <c r="X302" i="1"/>
  <c r="H302" i="1"/>
  <c r="E302" i="1"/>
  <c r="P302" i="1" s="1"/>
  <c r="B302" i="1"/>
  <c r="A302" i="1"/>
  <c r="X301" i="1"/>
  <c r="H301" i="1"/>
  <c r="N301" i="1" s="1"/>
  <c r="O301" i="1" s="1"/>
  <c r="Z301" i="1" s="1"/>
  <c r="E301" i="1"/>
  <c r="B301" i="1"/>
  <c r="A301" i="1"/>
  <c r="X300" i="1"/>
  <c r="H300" i="1"/>
  <c r="E300" i="1"/>
  <c r="Q300" i="1" s="1"/>
  <c r="B300" i="1"/>
  <c r="A300" i="1"/>
  <c r="X299" i="1"/>
  <c r="H299" i="1"/>
  <c r="E299" i="1"/>
  <c r="B299" i="1"/>
  <c r="A299" i="1"/>
  <c r="X298" i="1"/>
  <c r="H298" i="1"/>
  <c r="E298" i="1"/>
  <c r="B298" i="1"/>
  <c r="A298" i="1"/>
  <c r="X297" i="1"/>
  <c r="H297" i="1"/>
  <c r="J297" i="1" s="1"/>
  <c r="E297" i="1"/>
  <c r="Q297" i="1" s="1"/>
  <c r="B297" i="1"/>
  <c r="A297" i="1"/>
  <c r="X296" i="1"/>
  <c r="H296" i="1"/>
  <c r="E296" i="1"/>
  <c r="D296" i="1" s="1"/>
  <c r="B296" i="1"/>
  <c r="A296" i="1"/>
  <c r="X295" i="1"/>
  <c r="H295" i="1"/>
  <c r="E295" i="1"/>
  <c r="B295" i="1"/>
  <c r="A295" i="1"/>
  <c r="X294" i="1"/>
  <c r="H294" i="1"/>
  <c r="E294" i="1"/>
  <c r="P294" i="1" s="1"/>
  <c r="B294" i="1"/>
  <c r="A294" i="1"/>
  <c r="X293" i="1"/>
  <c r="H293" i="1"/>
  <c r="J293" i="1" s="1"/>
  <c r="W293" i="1" s="1"/>
  <c r="Y293" i="1" s="1"/>
  <c r="E293" i="1"/>
  <c r="B293" i="1"/>
  <c r="A293" i="1"/>
  <c r="X292" i="1"/>
  <c r="H292" i="1"/>
  <c r="E292" i="1"/>
  <c r="P292" i="1" s="1"/>
  <c r="B292" i="1"/>
  <c r="A292" i="1"/>
  <c r="X291" i="1"/>
  <c r="H291" i="1"/>
  <c r="E291" i="1"/>
  <c r="P291" i="1" s="1"/>
  <c r="B291" i="1"/>
  <c r="A291" i="1"/>
  <c r="X290" i="1"/>
  <c r="H290" i="1"/>
  <c r="E290" i="1"/>
  <c r="D290" i="1" s="1"/>
  <c r="B290" i="1"/>
  <c r="A290" i="1"/>
  <c r="X289" i="1"/>
  <c r="H289" i="1"/>
  <c r="E289" i="1"/>
  <c r="D289" i="1" s="1"/>
  <c r="B289" i="1"/>
  <c r="A289" i="1"/>
  <c r="X288" i="1"/>
  <c r="H288" i="1"/>
  <c r="E288" i="1"/>
  <c r="B288" i="1"/>
  <c r="A288" i="1"/>
  <c r="X287" i="1"/>
  <c r="H287" i="1"/>
  <c r="N287" i="1" s="1"/>
  <c r="O287" i="1" s="1"/>
  <c r="Z287" i="1" s="1"/>
  <c r="E287" i="1"/>
  <c r="P287" i="1" s="1"/>
  <c r="B287" i="1"/>
  <c r="A287" i="1"/>
  <c r="X286" i="1"/>
  <c r="H286" i="1"/>
  <c r="E286" i="1"/>
  <c r="P286" i="1" s="1"/>
  <c r="B286" i="1"/>
  <c r="A286" i="1"/>
  <c r="X285" i="1"/>
  <c r="H285" i="1"/>
  <c r="AA285" i="1" s="1"/>
  <c r="E285" i="1"/>
  <c r="B285" i="1"/>
  <c r="A285" i="1"/>
  <c r="X284" i="1"/>
  <c r="H284" i="1"/>
  <c r="AA284" i="1" s="1"/>
  <c r="E284" i="1"/>
  <c r="B284" i="1"/>
  <c r="A284" i="1"/>
  <c r="X283" i="1"/>
  <c r="H283" i="1"/>
  <c r="J283" i="1" s="1"/>
  <c r="W283" i="1" s="1"/>
  <c r="Y283" i="1" s="1"/>
  <c r="E283" i="1"/>
  <c r="P283" i="1" s="1"/>
  <c r="B283" i="1"/>
  <c r="A283" i="1"/>
  <c r="X282" i="1"/>
  <c r="H282" i="1"/>
  <c r="E282" i="1"/>
  <c r="D282" i="1" s="1"/>
  <c r="B282" i="1"/>
  <c r="A282" i="1"/>
  <c r="X281" i="1"/>
  <c r="H281" i="1"/>
  <c r="N281" i="1" s="1"/>
  <c r="O281" i="1" s="1"/>
  <c r="Z281" i="1" s="1"/>
  <c r="E281" i="1"/>
  <c r="B281" i="1"/>
  <c r="A281" i="1"/>
  <c r="X280" i="1"/>
  <c r="H280" i="1"/>
  <c r="I280" i="1" s="1"/>
  <c r="E280" i="1"/>
  <c r="Q280" i="1" s="1"/>
  <c r="B280" i="1"/>
  <c r="A280" i="1"/>
  <c r="X279" i="1"/>
  <c r="H279" i="1"/>
  <c r="E279" i="1"/>
  <c r="B279" i="1"/>
  <c r="A279" i="1"/>
  <c r="X278" i="1"/>
  <c r="H278" i="1"/>
  <c r="N278" i="1" s="1"/>
  <c r="O278" i="1" s="1"/>
  <c r="Z278" i="1" s="1"/>
  <c r="E278" i="1"/>
  <c r="Q278" i="1" s="1"/>
  <c r="B278" i="1"/>
  <c r="A278" i="1"/>
  <c r="X277" i="1"/>
  <c r="H277" i="1"/>
  <c r="E277" i="1"/>
  <c r="D277" i="1" s="1"/>
  <c r="B277" i="1"/>
  <c r="A277" i="1"/>
  <c r="X276" i="1"/>
  <c r="H276" i="1"/>
  <c r="N276" i="1" s="1"/>
  <c r="O276" i="1" s="1"/>
  <c r="Z276" i="1" s="1"/>
  <c r="E276" i="1"/>
  <c r="B276" i="1"/>
  <c r="A276" i="1"/>
  <c r="X275" i="1"/>
  <c r="H275" i="1"/>
  <c r="AA275" i="1" s="1"/>
  <c r="E275" i="1"/>
  <c r="Q275" i="1" s="1"/>
  <c r="B275" i="1"/>
  <c r="A275" i="1"/>
  <c r="X274" i="1"/>
  <c r="H274" i="1"/>
  <c r="J274" i="1" s="1"/>
  <c r="R274" i="1" s="1"/>
  <c r="S274" i="1" s="1"/>
  <c r="E274" i="1"/>
  <c r="B274" i="1"/>
  <c r="A274" i="1"/>
  <c r="X273" i="1"/>
  <c r="H273" i="1"/>
  <c r="J273" i="1" s="1"/>
  <c r="W273" i="1" s="1"/>
  <c r="Y273" i="1" s="1"/>
  <c r="E273" i="1"/>
  <c r="D273" i="1" s="1"/>
  <c r="B273" i="1"/>
  <c r="A273" i="1"/>
  <c r="X272" i="1"/>
  <c r="H272" i="1"/>
  <c r="E272" i="1"/>
  <c r="Q272" i="1" s="1"/>
  <c r="B272" i="1"/>
  <c r="A272" i="1"/>
  <c r="X271" i="1"/>
  <c r="H271" i="1"/>
  <c r="E271" i="1"/>
  <c r="Q271" i="1" s="1"/>
  <c r="B271" i="1"/>
  <c r="A271" i="1"/>
  <c r="X270" i="1"/>
  <c r="H270" i="1"/>
  <c r="AA270" i="1" s="1"/>
  <c r="E270" i="1"/>
  <c r="P270" i="1" s="1"/>
  <c r="B270" i="1"/>
  <c r="A270" i="1"/>
  <c r="X269" i="1"/>
  <c r="H269" i="1"/>
  <c r="E269" i="1"/>
  <c r="B269" i="1"/>
  <c r="A269" i="1"/>
  <c r="X268" i="1"/>
  <c r="Q268" i="1"/>
  <c r="H268" i="1"/>
  <c r="E268" i="1"/>
  <c r="D268" i="1" s="1"/>
  <c r="B268" i="1"/>
  <c r="A268" i="1"/>
  <c r="X267" i="1"/>
  <c r="H267" i="1"/>
  <c r="E267" i="1"/>
  <c r="Q267" i="1" s="1"/>
  <c r="B267" i="1"/>
  <c r="A267" i="1"/>
  <c r="X266" i="1"/>
  <c r="H266" i="1"/>
  <c r="I266" i="1" s="1"/>
  <c r="E266" i="1"/>
  <c r="D266" i="1" s="1"/>
  <c r="B266" i="1"/>
  <c r="A266" i="1"/>
  <c r="X265" i="1"/>
  <c r="H265" i="1"/>
  <c r="AA265" i="1" s="1"/>
  <c r="E265" i="1"/>
  <c r="P265" i="1" s="1"/>
  <c r="B265" i="1"/>
  <c r="A265" i="1"/>
  <c r="X264" i="1"/>
  <c r="H264" i="1"/>
  <c r="I264" i="1" s="1"/>
  <c r="E264" i="1"/>
  <c r="P264" i="1" s="1"/>
  <c r="B264" i="1"/>
  <c r="A264" i="1"/>
  <c r="X263" i="1"/>
  <c r="H263" i="1"/>
  <c r="E263" i="1"/>
  <c r="Q263" i="1" s="1"/>
  <c r="B263" i="1"/>
  <c r="A263" i="1"/>
  <c r="X262" i="1"/>
  <c r="H262" i="1"/>
  <c r="I262" i="1" s="1"/>
  <c r="E262" i="1"/>
  <c r="Q262" i="1" s="1"/>
  <c r="B262" i="1"/>
  <c r="A262" i="1"/>
  <c r="X261" i="1"/>
  <c r="H261" i="1"/>
  <c r="J261" i="1" s="1"/>
  <c r="W261" i="1" s="1"/>
  <c r="Y261" i="1" s="1"/>
  <c r="E261" i="1"/>
  <c r="Q261" i="1" s="1"/>
  <c r="B261" i="1"/>
  <c r="A261" i="1"/>
  <c r="X260" i="1"/>
  <c r="H260" i="1"/>
  <c r="E260" i="1"/>
  <c r="B260" i="1"/>
  <c r="A260" i="1"/>
  <c r="X259" i="1"/>
  <c r="H259" i="1"/>
  <c r="I259" i="1" s="1"/>
  <c r="E259" i="1"/>
  <c r="B259" i="1"/>
  <c r="A259" i="1"/>
  <c r="X258" i="1"/>
  <c r="H258" i="1"/>
  <c r="N258" i="1" s="1"/>
  <c r="O258" i="1" s="1"/>
  <c r="Z258" i="1" s="1"/>
  <c r="E258" i="1"/>
  <c r="D258" i="1" s="1"/>
  <c r="B258" i="1"/>
  <c r="A258" i="1"/>
  <c r="X257" i="1"/>
  <c r="H257" i="1"/>
  <c r="I257" i="1" s="1"/>
  <c r="E257" i="1"/>
  <c r="D257" i="1" s="1"/>
  <c r="B257" i="1"/>
  <c r="A257" i="1"/>
  <c r="X256" i="1"/>
  <c r="H256" i="1"/>
  <c r="E256" i="1"/>
  <c r="Q256" i="1" s="1"/>
  <c r="B256" i="1"/>
  <c r="A256" i="1"/>
  <c r="X255" i="1"/>
  <c r="H255" i="1"/>
  <c r="N255" i="1" s="1"/>
  <c r="O255" i="1" s="1"/>
  <c r="Z255" i="1" s="1"/>
  <c r="E255" i="1"/>
  <c r="D255" i="1" s="1"/>
  <c r="B255" i="1"/>
  <c r="A255" i="1"/>
  <c r="X254" i="1"/>
  <c r="H254" i="1"/>
  <c r="I254" i="1" s="1"/>
  <c r="E254" i="1"/>
  <c r="P254" i="1" s="1"/>
  <c r="B254" i="1"/>
  <c r="A254" i="1"/>
  <c r="X253" i="1"/>
  <c r="H253" i="1"/>
  <c r="I253" i="1" s="1"/>
  <c r="E253" i="1"/>
  <c r="B253" i="1"/>
  <c r="A253" i="1"/>
  <c r="X252" i="1"/>
  <c r="H252" i="1"/>
  <c r="N252" i="1" s="1"/>
  <c r="O252" i="1" s="1"/>
  <c r="Z252" i="1" s="1"/>
  <c r="E252" i="1"/>
  <c r="D252" i="1" s="1"/>
  <c r="B252" i="1"/>
  <c r="A252" i="1"/>
  <c r="X251" i="1"/>
  <c r="H251" i="1"/>
  <c r="N251" i="1" s="1"/>
  <c r="O251" i="1" s="1"/>
  <c r="Z251" i="1" s="1"/>
  <c r="E251" i="1"/>
  <c r="B251" i="1"/>
  <c r="A251" i="1"/>
  <c r="X250" i="1"/>
  <c r="H250" i="1"/>
  <c r="J250" i="1" s="1"/>
  <c r="R250" i="1" s="1"/>
  <c r="S250" i="1" s="1"/>
  <c r="E250" i="1"/>
  <c r="P250" i="1" s="1"/>
  <c r="B250" i="1"/>
  <c r="A250" i="1"/>
  <c r="X249" i="1"/>
  <c r="H249" i="1"/>
  <c r="I249" i="1" s="1"/>
  <c r="E249" i="1"/>
  <c r="B249" i="1"/>
  <c r="A249" i="1"/>
  <c r="X248" i="1"/>
  <c r="H248" i="1"/>
  <c r="E248" i="1"/>
  <c r="P248" i="1" s="1"/>
  <c r="B248" i="1"/>
  <c r="A248" i="1"/>
  <c r="X247" i="1"/>
  <c r="H247" i="1"/>
  <c r="AA247" i="1" s="1"/>
  <c r="E247" i="1"/>
  <c r="P247" i="1" s="1"/>
  <c r="B247" i="1"/>
  <c r="A247" i="1"/>
  <c r="X246" i="1"/>
  <c r="H246" i="1"/>
  <c r="I246" i="1" s="1"/>
  <c r="E246" i="1"/>
  <c r="Q246" i="1" s="1"/>
  <c r="B246" i="1"/>
  <c r="A246" i="1"/>
  <c r="X245" i="1"/>
  <c r="H245" i="1"/>
  <c r="E245" i="1"/>
  <c r="B245" i="1"/>
  <c r="A245" i="1"/>
  <c r="X244" i="1"/>
  <c r="H244" i="1"/>
  <c r="J244" i="1" s="1"/>
  <c r="E244" i="1"/>
  <c r="Q244" i="1" s="1"/>
  <c r="B244" i="1"/>
  <c r="A244" i="1"/>
  <c r="X243" i="1"/>
  <c r="H243" i="1"/>
  <c r="E243" i="1"/>
  <c r="B243" i="1"/>
  <c r="A243" i="1"/>
  <c r="X242" i="1"/>
  <c r="H242" i="1"/>
  <c r="AA242" i="1" s="1"/>
  <c r="E242" i="1"/>
  <c r="B242" i="1"/>
  <c r="A242" i="1"/>
  <c r="X241" i="1"/>
  <c r="H241" i="1"/>
  <c r="I241" i="1" s="1"/>
  <c r="E241" i="1"/>
  <c r="B241" i="1"/>
  <c r="A241" i="1"/>
  <c r="X240" i="1"/>
  <c r="H240" i="1"/>
  <c r="J240" i="1" s="1"/>
  <c r="R240" i="1" s="1"/>
  <c r="S240" i="1" s="1"/>
  <c r="E240" i="1"/>
  <c r="P240" i="1" s="1"/>
  <c r="B240" i="1"/>
  <c r="A240" i="1"/>
  <c r="X239" i="1"/>
  <c r="H239" i="1"/>
  <c r="E239" i="1"/>
  <c r="Q239" i="1" s="1"/>
  <c r="B239" i="1"/>
  <c r="A239" i="1"/>
  <c r="X238" i="1"/>
  <c r="H238" i="1"/>
  <c r="N238" i="1" s="1"/>
  <c r="O238" i="1" s="1"/>
  <c r="Z238" i="1" s="1"/>
  <c r="E238" i="1"/>
  <c r="B238" i="1"/>
  <c r="A238" i="1"/>
  <c r="X237" i="1"/>
  <c r="H237" i="1"/>
  <c r="E237" i="1"/>
  <c r="D237" i="1" s="1"/>
  <c r="B237" i="1"/>
  <c r="A237" i="1"/>
  <c r="X236" i="1"/>
  <c r="H236" i="1"/>
  <c r="E236" i="1"/>
  <c r="B236" i="1"/>
  <c r="A236" i="1"/>
  <c r="X235" i="1"/>
  <c r="H235" i="1"/>
  <c r="J235" i="1" s="1"/>
  <c r="R235" i="1" s="1"/>
  <c r="S235" i="1" s="1"/>
  <c r="E235" i="1"/>
  <c r="B235" i="1"/>
  <c r="A235" i="1"/>
  <c r="X234" i="1"/>
  <c r="H234" i="1"/>
  <c r="E234" i="1"/>
  <c r="B234" i="1"/>
  <c r="A234" i="1"/>
  <c r="X233" i="1"/>
  <c r="H233" i="1"/>
  <c r="N233" i="1" s="1"/>
  <c r="O233" i="1" s="1"/>
  <c r="Z233" i="1" s="1"/>
  <c r="E233" i="1"/>
  <c r="Q233" i="1" s="1"/>
  <c r="B233" i="1"/>
  <c r="A233" i="1"/>
  <c r="X232" i="1"/>
  <c r="H232" i="1"/>
  <c r="AA232" i="1" s="1"/>
  <c r="E232" i="1"/>
  <c r="D232" i="1" s="1"/>
  <c r="B232" i="1"/>
  <c r="A232" i="1"/>
  <c r="X231" i="1"/>
  <c r="H231" i="1"/>
  <c r="I231" i="1" s="1"/>
  <c r="E231" i="1"/>
  <c r="Q231" i="1" s="1"/>
  <c r="B231" i="1"/>
  <c r="A231" i="1"/>
  <c r="X230" i="1"/>
  <c r="H230" i="1"/>
  <c r="E230" i="1"/>
  <c r="D230" i="1" s="1"/>
  <c r="B230" i="1"/>
  <c r="A230" i="1"/>
  <c r="X229" i="1"/>
  <c r="H229" i="1"/>
  <c r="E229" i="1"/>
  <c r="D229" i="1" s="1"/>
  <c r="B229" i="1"/>
  <c r="A229" i="1"/>
  <c r="X228" i="1"/>
  <c r="H228" i="1"/>
  <c r="E228" i="1"/>
  <c r="Q228" i="1" s="1"/>
  <c r="B228" i="1"/>
  <c r="A228" i="1"/>
  <c r="X227" i="1"/>
  <c r="H227" i="1"/>
  <c r="AA227" i="1" s="1"/>
  <c r="E227" i="1"/>
  <c r="B227" i="1"/>
  <c r="A227" i="1"/>
  <c r="X226" i="1"/>
  <c r="H226" i="1"/>
  <c r="I226" i="1" s="1"/>
  <c r="E226" i="1"/>
  <c r="Q226" i="1" s="1"/>
  <c r="B226" i="1"/>
  <c r="A226" i="1"/>
  <c r="X225" i="1"/>
  <c r="H225" i="1"/>
  <c r="AA225" i="1" s="1"/>
  <c r="E225" i="1"/>
  <c r="D225" i="1" s="1"/>
  <c r="B225" i="1"/>
  <c r="A225" i="1"/>
  <c r="X224" i="1"/>
  <c r="H224" i="1"/>
  <c r="J224" i="1" s="1"/>
  <c r="E224" i="1"/>
  <c r="B224" i="1"/>
  <c r="A224" i="1"/>
  <c r="X223" i="1"/>
  <c r="H223" i="1"/>
  <c r="AA223" i="1" s="1"/>
  <c r="E223" i="1"/>
  <c r="D223" i="1" s="1"/>
  <c r="B223" i="1"/>
  <c r="A223" i="1"/>
  <c r="X222" i="1"/>
  <c r="H222" i="1"/>
  <c r="I222" i="1" s="1"/>
  <c r="E222" i="1"/>
  <c r="P222" i="1" s="1"/>
  <c r="B222" i="1"/>
  <c r="A222" i="1"/>
  <c r="X221" i="1"/>
  <c r="H221" i="1"/>
  <c r="AA221" i="1" s="1"/>
  <c r="E221" i="1"/>
  <c r="B221" i="1"/>
  <c r="A221" i="1"/>
  <c r="X220" i="1"/>
  <c r="H220" i="1"/>
  <c r="J220" i="1" s="1"/>
  <c r="R220" i="1" s="1"/>
  <c r="S220" i="1" s="1"/>
  <c r="E220" i="1"/>
  <c r="B220" i="1"/>
  <c r="A220" i="1"/>
  <c r="X219" i="1"/>
  <c r="H219" i="1"/>
  <c r="I219" i="1" s="1"/>
  <c r="E219" i="1"/>
  <c r="B219" i="1"/>
  <c r="A219" i="1"/>
  <c r="X218" i="1"/>
  <c r="H218" i="1"/>
  <c r="E218" i="1"/>
  <c r="D218" i="1" s="1"/>
  <c r="B218" i="1"/>
  <c r="A218" i="1"/>
  <c r="X217" i="1"/>
  <c r="H217" i="1"/>
  <c r="N217" i="1" s="1"/>
  <c r="O217" i="1" s="1"/>
  <c r="Z217" i="1" s="1"/>
  <c r="E217" i="1"/>
  <c r="Q217" i="1" s="1"/>
  <c r="B217" i="1"/>
  <c r="A217" i="1"/>
  <c r="X216" i="1"/>
  <c r="H216" i="1"/>
  <c r="E216" i="1"/>
  <c r="Q216" i="1" s="1"/>
  <c r="B216" i="1"/>
  <c r="A216" i="1"/>
  <c r="X215" i="1"/>
  <c r="Q215" i="1"/>
  <c r="H215" i="1"/>
  <c r="J215" i="1" s="1"/>
  <c r="R215" i="1" s="1"/>
  <c r="S215" i="1" s="1"/>
  <c r="E215" i="1"/>
  <c r="D215" i="1" s="1"/>
  <c r="B215" i="1"/>
  <c r="A215" i="1"/>
  <c r="X214" i="1"/>
  <c r="H214" i="1"/>
  <c r="J214" i="1" s="1"/>
  <c r="E214" i="1"/>
  <c r="Q214" i="1" s="1"/>
  <c r="B214" i="1"/>
  <c r="A214" i="1"/>
  <c r="X213" i="1"/>
  <c r="H213" i="1"/>
  <c r="E213" i="1"/>
  <c r="B213" i="1"/>
  <c r="A213" i="1"/>
  <c r="X212" i="1"/>
  <c r="H212" i="1"/>
  <c r="J212" i="1" s="1"/>
  <c r="E212" i="1"/>
  <c r="P212" i="1" s="1"/>
  <c r="B212" i="1"/>
  <c r="A212" i="1"/>
  <c r="X211" i="1"/>
  <c r="H211" i="1"/>
  <c r="I211" i="1" s="1"/>
  <c r="E211" i="1"/>
  <c r="B211" i="1"/>
  <c r="A211" i="1"/>
  <c r="X210" i="1"/>
  <c r="H210" i="1"/>
  <c r="N210" i="1" s="1"/>
  <c r="O210" i="1" s="1"/>
  <c r="Z210" i="1" s="1"/>
  <c r="E210" i="1"/>
  <c r="B210" i="1"/>
  <c r="A210" i="1"/>
  <c r="X209" i="1"/>
  <c r="H209" i="1"/>
  <c r="E209" i="1"/>
  <c r="B209" i="1"/>
  <c r="A209" i="1"/>
  <c r="X208" i="1"/>
  <c r="H208" i="1"/>
  <c r="J208" i="1" s="1"/>
  <c r="E208" i="1"/>
  <c r="D208" i="1" s="1"/>
  <c r="B208" i="1"/>
  <c r="A208" i="1"/>
  <c r="X207" i="1"/>
  <c r="H207" i="1"/>
  <c r="E207" i="1"/>
  <c r="Q207" i="1" s="1"/>
  <c r="B207" i="1"/>
  <c r="A207" i="1"/>
  <c r="X206" i="1"/>
  <c r="H206" i="1"/>
  <c r="E206" i="1"/>
  <c r="Q206" i="1" s="1"/>
  <c r="B206" i="1"/>
  <c r="A206" i="1"/>
  <c r="X205" i="1"/>
  <c r="H205" i="1"/>
  <c r="J205" i="1" s="1"/>
  <c r="R205" i="1" s="1"/>
  <c r="S205" i="1" s="1"/>
  <c r="E205" i="1"/>
  <c r="B205" i="1"/>
  <c r="A205" i="1"/>
  <c r="X204" i="1"/>
  <c r="H204" i="1"/>
  <c r="E204" i="1"/>
  <c r="B204" i="1"/>
  <c r="A204" i="1"/>
  <c r="X203" i="1"/>
  <c r="H203" i="1"/>
  <c r="E203" i="1"/>
  <c r="Q203" i="1" s="1"/>
  <c r="B203" i="1"/>
  <c r="A203" i="1"/>
  <c r="X202" i="1"/>
  <c r="H202" i="1"/>
  <c r="AA202" i="1" s="1"/>
  <c r="E202" i="1"/>
  <c r="D202" i="1" s="1"/>
  <c r="B202" i="1"/>
  <c r="A202" i="1"/>
  <c r="X201" i="1"/>
  <c r="H201" i="1"/>
  <c r="I201" i="1" s="1"/>
  <c r="E201" i="1"/>
  <c r="B201" i="1"/>
  <c r="A201" i="1"/>
  <c r="X200" i="1"/>
  <c r="H200" i="1"/>
  <c r="E200" i="1"/>
  <c r="P200" i="1" s="1"/>
  <c r="B200" i="1"/>
  <c r="A200" i="1"/>
  <c r="X199" i="1"/>
  <c r="H199" i="1"/>
  <c r="I199" i="1" s="1"/>
  <c r="E199" i="1"/>
  <c r="Q199" i="1" s="1"/>
  <c r="B199" i="1"/>
  <c r="A199" i="1"/>
  <c r="X198" i="1"/>
  <c r="H198" i="1"/>
  <c r="J198" i="1" s="1"/>
  <c r="R198" i="1" s="1"/>
  <c r="S198" i="1" s="1"/>
  <c r="E198" i="1"/>
  <c r="Q198" i="1" s="1"/>
  <c r="B198" i="1"/>
  <c r="A198" i="1"/>
  <c r="X197" i="1"/>
  <c r="H197" i="1"/>
  <c r="J197" i="1" s="1"/>
  <c r="W197" i="1" s="1"/>
  <c r="Y197" i="1" s="1"/>
  <c r="E197" i="1"/>
  <c r="D197" i="1" s="1"/>
  <c r="B197" i="1"/>
  <c r="A197" i="1"/>
  <c r="X196" i="1"/>
  <c r="H196" i="1"/>
  <c r="E196" i="1"/>
  <c r="B196" i="1"/>
  <c r="A196" i="1"/>
  <c r="X195" i="1"/>
  <c r="H195" i="1"/>
  <c r="J195" i="1" s="1"/>
  <c r="T195" i="1" s="1"/>
  <c r="U195" i="1" s="1"/>
  <c r="E195" i="1"/>
  <c r="Q195" i="1" s="1"/>
  <c r="B195" i="1"/>
  <c r="A195" i="1"/>
  <c r="X194" i="1"/>
  <c r="H194" i="1"/>
  <c r="N194" i="1" s="1"/>
  <c r="O194" i="1" s="1"/>
  <c r="Z194" i="1" s="1"/>
  <c r="E194" i="1"/>
  <c r="D194" i="1" s="1"/>
  <c r="B194" i="1"/>
  <c r="A194" i="1"/>
  <c r="X193" i="1"/>
  <c r="H193" i="1"/>
  <c r="N193" i="1" s="1"/>
  <c r="O193" i="1" s="1"/>
  <c r="Z193" i="1" s="1"/>
  <c r="E193" i="1"/>
  <c r="B193" i="1"/>
  <c r="A193" i="1"/>
  <c r="X192" i="1"/>
  <c r="H192" i="1"/>
  <c r="I192" i="1" s="1"/>
  <c r="E192" i="1"/>
  <c r="B192" i="1"/>
  <c r="A192" i="1"/>
  <c r="X191" i="1"/>
  <c r="H191" i="1"/>
  <c r="AA191" i="1" s="1"/>
  <c r="E191" i="1"/>
  <c r="Q191" i="1" s="1"/>
  <c r="B191" i="1"/>
  <c r="A191" i="1"/>
  <c r="X190" i="1"/>
  <c r="H190" i="1"/>
  <c r="J190" i="1" s="1"/>
  <c r="T190" i="1" s="1"/>
  <c r="V190" i="1" s="1"/>
  <c r="E190" i="1"/>
  <c r="Q190" i="1" s="1"/>
  <c r="B190" i="1"/>
  <c r="A190" i="1"/>
  <c r="X189" i="1"/>
  <c r="H189" i="1"/>
  <c r="E189" i="1"/>
  <c r="P189" i="1" s="1"/>
  <c r="B189" i="1"/>
  <c r="A189" i="1"/>
  <c r="X188" i="1"/>
  <c r="H188" i="1"/>
  <c r="E188" i="1"/>
  <c r="D188" i="1" s="1"/>
  <c r="B188" i="1"/>
  <c r="A188" i="1"/>
  <c r="X187" i="1"/>
  <c r="H187" i="1"/>
  <c r="I187" i="1" s="1"/>
  <c r="E187" i="1"/>
  <c r="Q187" i="1" s="1"/>
  <c r="B187" i="1"/>
  <c r="A187" i="1"/>
  <c r="X186" i="1"/>
  <c r="H186" i="1"/>
  <c r="AA186" i="1" s="1"/>
  <c r="E186" i="1"/>
  <c r="Q186" i="1" s="1"/>
  <c r="B186" i="1"/>
  <c r="A186" i="1"/>
  <c r="X185" i="1"/>
  <c r="P185" i="1"/>
  <c r="H185" i="1"/>
  <c r="J185" i="1" s="1"/>
  <c r="T185" i="1" s="1"/>
  <c r="U185" i="1" s="1"/>
  <c r="E185" i="1"/>
  <c r="Q185" i="1" s="1"/>
  <c r="B185" i="1"/>
  <c r="A185" i="1"/>
  <c r="X184" i="1"/>
  <c r="H184" i="1"/>
  <c r="E184" i="1"/>
  <c r="B184" i="1"/>
  <c r="A184" i="1"/>
  <c r="X183" i="1"/>
  <c r="H183" i="1"/>
  <c r="AA183" i="1" s="1"/>
  <c r="E183" i="1"/>
  <c r="B183" i="1"/>
  <c r="A183" i="1"/>
  <c r="X182" i="1"/>
  <c r="H182" i="1"/>
  <c r="AA182" i="1" s="1"/>
  <c r="E182" i="1"/>
  <c r="D182" i="1" s="1"/>
  <c r="B182" i="1"/>
  <c r="A182" i="1"/>
  <c r="X181" i="1"/>
  <c r="H181" i="1"/>
  <c r="I181" i="1" s="1"/>
  <c r="E181" i="1"/>
  <c r="Q181" i="1" s="1"/>
  <c r="B181" i="1"/>
  <c r="A181" i="1"/>
  <c r="X180" i="1"/>
  <c r="H180" i="1"/>
  <c r="J180" i="1" s="1"/>
  <c r="E180" i="1"/>
  <c r="B180" i="1"/>
  <c r="A180" i="1"/>
  <c r="X179" i="1"/>
  <c r="H179" i="1"/>
  <c r="AA179" i="1" s="1"/>
  <c r="E179" i="1"/>
  <c r="B179" i="1"/>
  <c r="A179" i="1"/>
  <c r="X178" i="1"/>
  <c r="H178" i="1"/>
  <c r="AA178" i="1" s="1"/>
  <c r="E178" i="1"/>
  <c r="P178" i="1" s="1"/>
  <c r="B178" i="1"/>
  <c r="A178" i="1"/>
  <c r="X177" i="1"/>
  <c r="H177" i="1"/>
  <c r="I177" i="1" s="1"/>
  <c r="E177" i="1"/>
  <c r="B177" i="1"/>
  <c r="A177" i="1"/>
  <c r="X176" i="1"/>
  <c r="H176" i="1"/>
  <c r="N176" i="1" s="1"/>
  <c r="O176" i="1" s="1"/>
  <c r="Z176" i="1" s="1"/>
  <c r="E176" i="1"/>
  <c r="B176" i="1"/>
  <c r="A176" i="1"/>
  <c r="X175" i="1"/>
  <c r="H175" i="1"/>
  <c r="E175" i="1"/>
  <c r="D175" i="1" s="1"/>
  <c r="B175" i="1"/>
  <c r="A175" i="1"/>
  <c r="X174" i="1"/>
  <c r="H174" i="1"/>
  <c r="E174" i="1"/>
  <c r="D174" i="1" s="1"/>
  <c r="B174" i="1"/>
  <c r="A174" i="1"/>
  <c r="AA173" i="1"/>
  <c r="X173" i="1"/>
  <c r="H173" i="1"/>
  <c r="J173" i="1" s="1"/>
  <c r="E173" i="1"/>
  <c r="B173" i="1"/>
  <c r="A173" i="1"/>
  <c r="X172" i="1"/>
  <c r="H172" i="1"/>
  <c r="E172" i="1"/>
  <c r="P172" i="1" s="1"/>
  <c r="B172" i="1"/>
  <c r="A172" i="1"/>
  <c r="X171" i="1"/>
  <c r="H171" i="1"/>
  <c r="J171" i="1" s="1"/>
  <c r="R171" i="1" s="1"/>
  <c r="S171" i="1" s="1"/>
  <c r="E171" i="1"/>
  <c r="B171" i="1"/>
  <c r="A171" i="1"/>
  <c r="X170" i="1"/>
  <c r="H170" i="1"/>
  <c r="J170" i="1" s="1"/>
  <c r="R170" i="1" s="1"/>
  <c r="S170" i="1" s="1"/>
  <c r="E170" i="1"/>
  <c r="B170" i="1"/>
  <c r="A170" i="1"/>
  <c r="X169" i="1"/>
  <c r="H169" i="1"/>
  <c r="N169" i="1" s="1"/>
  <c r="O169" i="1" s="1"/>
  <c r="Z169" i="1" s="1"/>
  <c r="E169" i="1"/>
  <c r="P169" i="1" s="1"/>
  <c r="B169" i="1"/>
  <c r="A169" i="1"/>
  <c r="X168" i="1"/>
  <c r="H168" i="1"/>
  <c r="AA168" i="1" s="1"/>
  <c r="E168" i="1"/>
  <c r="Q168" i="1" s="1"/>
  <c r="B168" i="1"/>
  <c r="A168" i="1"/>
  <c r="X167" i="1"/>
  <c r="H167" i="1"/>
  <c r="E167" i="1"/>
  <c r="D167" i="1" s="1"/>
  <c r="B167" i="1"/>
  <c r="A167" i="1"/>
  <c r="X166" i="1"/>
  <c r="H166" i="1"/>
  <c r="J166" i="1" s="1"/>
  <c r="T166" i="1" s="1"/>
  <c r="E166" i="1"/>
  <c r="B166" i="1"/>
  <c r="A166" i="1"/>
  <c r="X165" i="1"/>
  <c r="H165" i="1"/>
  <c r="J165" i="1" s="1"/>
  <c r="T165" i="1" s="1"/>
  <c r="V165" i="1" s="1"/>
  <c r="E165" i="1"/>
  <c r="B165" i="1"/>
  <c r="A165" i="1"/>
  <c r="X164" i="1"/>
  <c r="H164" i="1"/>
  <c r="E164" i="1"/>
  <c r="P164" i="1" s="1"/>
  <c r="B164" i="1"/>
  <c r="A164" i="1"/>
  <c r="X163" i="1"/>
  <c r="H163" i="1"/>
  <c r="AA163" i="1" s="1"/>
  <c r="E163" i="1"/>
  <c r="Q163" i="1" s="1"/>
  <c r="B163" i="1"/>
  <c r="A163" i="1"/>
  <c r="X162" i="1"/>
  <c r="H162" i="1"/>
  <c r="J162" i="1" s="1"/>
  <c r="T162" i="1" s="1"/>
  <c r="E162" i="1"/>
  <c r="D162" i="1" s="1"/>
  <c r="B162" i="1"/>
  <c r="A162" i="1"/>
  <c r="X161" i="1"/>
  <c r="H161" i="1"/>
  <c r="AA161" i="1" s="1"/>
  <c r="E161" i="1"/>
  <c r="Q161" i="1" s="1"/>
  <c r="B161" i="1"/>
  <c r="A161" i="1"/>
  <c r="X160" i="1"/>
  <c r="H160" i="1"/>
  <c r="AA160" i="1" s="1"/>
  <c r="E160" i="1"/>
  <c r="D160" i="1" s="1"/>
  <c r="B160" i="1"/>
  <c r="A160" i="1"/>
  <c r="X159" i="1"/>
  <c r="P159" i="1"/>
  <c r="H159" i="1"/>
  <c r="I159" i="1" s="1"/>
  <c r="E159" i="1"/>
  <c r="B159" i="1"/>
  <c r="A159" i="1"/>
  <c r="X158" i="1"/>
  <c r="H158" i="1"/>
  <c r="J158" i="1" s="1"/>
  <c r="E158" i="1"/>
  <c r="Q158" i="1" s="1"/>
  <c r="B158" i="1"/>
  <c r="A158" i="1"/>
  <c r="X157" i="1"/>
  <c r="H157" i="1"/>
  <c r="AA157" i="1" s="1"/>
  <c r="E157" i="1"/>
  <c r="B157" i="1"/>
  <c r="A157" i="1"/>
  <c r="X156" i="1"/>
  <c r="H156" i="1"/>
  <c r="AA156" i="1" s="1"/>
  <c r="E156" i="1"/>
  <c r="B156" i="1"/>
  <c r="A156" i="1"/>
  <c r="X155" i="1"/>
  <c r="H155" i="1"/>
  <c r="J155" i="1" s="1"/>
  <c r="T155" i="1" s="1"/>
  <c r="U155" i="1" s="1"/>
  <c r="E155" i="1"/>
  <c r="P155" i="1" s="1"/>
  <c r="B155" i="1"/>
  <c r="A155" i="1"/>
  <c r="X154" i="1"/>
  <c r="H154" i="1"/>
  <c r="N154" i="1" s="1"/>
  <c r="O154" i="1" s="1"/>
  <c r="Z154" i="1" s="1"/>
  <c r="E154" i="1"/>
  <c r="Q154" i="1" s="1"/>
  <c r="B154" i="1"/>
  <c r="A154" i="1"/>
  <c r="X153" i="1"/>
  <c r="H153" i="1"/>
  <c r="N153" i="1" s="1"/>
  <c r="O153" i="1" s="1"/>
  <c r="Z153" i="1" s="1"/>
  <c r="E153" i="1"/>
  <c r="Q153" i="1" s="1"/>
  <c r="B153" i="1"/>
  <c r="A153" i="1"/>
  <c r="X152" i="1"/>
  <c r="H152" i="1"/>
  <c r="J152" i="1" s="1"/>
  <c r="E152" i="1"/>
  <c r="B152" i="1"/>
  <c r="A152" i="1"/>
  <c r="X151" i="1"/>
  <c r="H151" i="1"/>
  <c r="E151" i="1"/>
  <c r="Q151" i="1" s="1"/>
  <c r="B151" i="1"/>
  <c r="A151" i="1"/>
  <c r="X150" i="1"/>
  <c r="H150" i="1"/>
  <c r="N150" i="1" s="1"/>
  <c r="O150" i="1" s="1"/>
  <c r="Z150" i="1" s="1"/>
  <c r="E150" i="1"/>
  <c r="B150" i="1"/>
  <c r="A150" i="1"/>
  <c r="X149" i="1"/>
  <c r="H149" i="1"/>
  <c r="N149" i="1" s="1"/>
  <c r="O149" i="1" s="1"/>
  <c r="Z149" i="1" s="1"/>
  <c r="E149" i="1"/>
  <c r="P149" i="1" s="1"/>
  <c r="B149" i="1"/>
  <c r="A149" i="1"/>
  <c r="X148" i="1"/>
  <c r="H148" i="1"/>
  <c r="AA148" i="1" s="1"/>
  <c r="E148" i="1"/>
  <c r="B148" i="1"/>
  <c r="A148" i="1"/>
  <c r="X147" i="1"/>
  <c r="H147" i="1"/>
  <c r="E147" i="1"/>
  <c r="B147" i="1"/>
  <c r="A147" i="1"/>
  <c r="X146" i="1"/>
  <c r="H146" i="1"/>
  <c r="E146" i="1"/>
  <c r="B146" i="1"/>
  <c r="A146" i="1"/>
  <c r="X145" i="1"/>
  <c r="H145" i="1"/>
  <c r="I145" i="1" s="1"/>
  <c r="E145" i="1"/>
  <c r="B145" i="1"/>
  <c r="A145" i="1"/>
  <c r="X144" i="1"/>
  <c r="H144" i="1"/>
  <c r="E144" i="1"/>
  <c r="B144" i="1"/>
  <c r="A144" i="1"/>
  <c r="X143" i="1"/>
  <c r="H143" i="1"/>
  <c r="E143" i="1"/>
  <c r="B143" i="1"/>
  <c r="A143" i="1"/>
  <c r="X142" i="1"/>
  <c r="H142" i="1"/>
  <c r="E142" i="1"/>
  <c r="B142" i="1"/>
  <c r="A142" i="1"/>
  <c r="X141" i="1"/>
  <c r="H141" i="1"/>
  <c r="AA141" i="1" s="1"/>
  <c r="E141" i="1"/>
  <c r="B141" i="1"/>
  <c r="A141" i="1"/>
  <c r="X140" i="1"/>
  <c r="H140" i="1"/>
  <c r="E140" i="1"/>
  <c r="P140" i="1" s="1"/>
  <c r="B140" i="1"/>
  <c r="A140" i="1"/>
  <c r="X139" i="1"/>
  <c r="H139" i="1"/>
  <c r="I139" i="1" s="1"/>
  <c r="E139" i="1"/>
  <c r="P139" i="1" s="1"/>
  <c r="B139" i="1"/>
  <c r="A139" i="1"/>
  <c r="X138" i="1"/>
  <c r="H138" i="1"/>
  <c r="E138" i="1"/>
  <c r="B138" i="1"/>
  <c r="A138" i="1"/>
  <c r="X137" i="1"/>
  <c r="H137" i="1"/>
  <c r="E137" i="1"/>
  <c r="B137" i="1"/>
  <c r="A137" i="1"/>
  <c r="X136" i="1"/>
  <c r="H136" i="1"/>
  <c r="I136" i="1" s="1"/>
  <c r="E136" i="1"/>
  <c r="P136" i="1" s="1"/>
  <c r="B136" i="1"/>
  <c r="A136" i="1"/>
  <c r="X135" i="1"/>
  <c r="H135" i="1"/>
  <c r="E135" i="1"/>
  <c r="P135" i="1" s="1"/>
  <c r="B135" i="1"/>
  <c r="A135" i="1"/>
  <c r="X134" i="1"/>
  <c r="H134" i="1"/>
  <c r="N134" i="1" s="1"/>
  <c r="O134" i="1" s="1"/>
  <c r="Z134" i="1" s="1"/>
  <c r="E134" i="1"/>
  <c r="Q134" i="1" s="1"/>
  <c r="B134" i="1"/>
  <c r="A134" i="1"/>
  <c r="X133" i="1"/>
  <c r="H133" i="1"/>
  <c r="N133" i="1" s="1"/>
  <c r="O133" i="1" s="1"/>
  <c r="Z133" i="1" s="1"/>
  <c r="E133" i="1"/>
  <c r="Q133" i="1" s="1"/>
  <c r="B133" i="1"/>
  <c r="A133" i="1"/>
  <c r="X132" i="1"/>
  <c r="H132" i="1"/>
  <c r="E132" i="1"/>
  <c r="B132" i="1"/>
  <c r="A132" i="1"/>
  <c r="X131" i="1"/>
  <c r="H131" i="1"/>
  <c r="I131" i="1" s="1"/>
  <c r="E131" i="1"/>
  <c r="Q131" i="1" s="1"/>
  <c r="B131" i="1"/>
  <c r="A131" i="1"/>
  <c r="X130" i="1"/>
  <c r="H130" i="1"/>
  <c r="E130" i="1"/>
  <c r="B130" i="1"/>
  <c r="A130" i="1"/>
  <c r="X129" i="1"/>
  <c r="H129" i="1"/>
  <c r="J129" i="1" s="1"/>
  <c r="R129" i="1" s="1"/>
  <c r="S129" i="1" s="1"/>
  <c r="E129" i="1"/>
  <c r="Q129" i="1" s="1"/>
  <c r="B129" i="1"/>
  <c r="A129" i="1"/>
  <c r="X128" i="1"/>
  <c r="H128" i="1"/>
  <c r="N128" i="1" s="1"/>
  <c r="O128" i="1" s="1"/>
  <c r="Z128" i="1" s="1"/>
  <c r="E128" i="1"/>
  <c r="D128" i="1" s="1"/>
  <c r="B128" i="1"/>
  <c r="A128" i="1"/>
  <c r="X127" i="1"/>
  <c r="H127" i="1"/>
  <c r="N127" i="1" s="1"/>
  <c r="O127" i="1" s="1"/>
  <c r="Z127" i="1" s="1"/>
  <c r="E127" i="1"/>
  <c r="B127" i="1"/>
  <c r="A127" i="1"/>
  <c r="X126" i="1"/>
  <c r="H126" i="1"/>
  <c r="E126" i="1"/>
  <c r="P126" i="1" s="1"/>
  <c r="B126" i="1"/>
  <c r="A126" i="1"/>
  <c r="X125" i="1"/>
  <c r="H125" i="1"/>
  <c r="I125" i="1" s="1"/>
  <c r="E125" i="1"/>
  <c r="Q125" i="1" s="1"/>
  <c r="D125" i="1"/>
  <c r="B125" i="1"/>
  <c r="A125" i="1"/>
  <c r="X124" i="1"/>
  <c r="H124" i="1"/>
  <c r="AA124" i="1" s="1"/>
  <c r="E124" i="1"/>
  <c r="B124" i="1"/>
  <c r="A124" i="1"/>
  <c r="X123" i="1"/>
  <c r="H123" i="1"/>
  <c r="N123" i="1" s="1"/>
  <c r="O123" i="1" s="1"/>
  <c r="Z123" i="1" s="1"/>
  <c r="E123" i="1"/>
  <c r="D123" i="1" s="1"/>
  <c r="B123" i="1"/>
  <c r="A123" i="1"/>
  <c r="X122" i="1"/>
  <c r="H122" i="1"/>
  <c r="E122" i="1"/>
  <c r="B122" i="1"/>
  <c r="A122" i="1"/>
  <c r="X121" i="1"/>
  <c r="H121" i="1"/>
  <c r="AA121" i="1" s="1"/>
  <c r="E121" i="1"/>
  <c r="B121" i="1"/>
  <c r="A121" i="1"/>
  <c r="X120" i="1"/>
  <c r="H120" i="1"/>
  <c r="E120" i="1"/>
  <c r="Q120" i="1" s="1"/>
  <c r="B120" i="1"/>
  <c r="A120" i="1"/>
  <c r="X119" i="1"/>
  <c r="H119" i="1"/>
  <c r="AA119" i="1" s="1"/>
  <c r="E119" i="1"/>
  <c r="Q119" i="1" s="1"/>
  <c r="B119" i="1"/>
  <c r="A119" i="1"/>
  <c r="X118" i="1"/>
  <c r="H118" i="1"/>
  <c r="AA118" i="1" s="1"/>
  <c r="E118" i="1"/>
  <c r="B118" i="1"/>
  <c r="A118" i="1"/>
  <c r="X117" i="1"/>
  <c r="H117" i="1"/>
  <c r="J117" i="1" s="1"/>
  <c r="E117" i="1"/>
  <c r="Q117" i="1" s="1"/>
  <c r="B117" i="1"/>
  <c r="A117" i="1"/>
  <c r="X116" i="1"/>
  <c r="H116" i="1"/>
  <c r="E116" i="1"/>
  <c r="P116" i="1" s="1"/>
  <c r="B116" i="1"/>
  <c r="A116" i="1"/>
  <c r="X115" i="1"/>
  <c r="H115" i="1"/>
  <c r="J115" i="1" s="1"/>
  <c r="E115" i="1"/>
  <c r="Q115" i="1" s="1"/>
  <c r="B115" i="1"/>
  <c r="A115" i="1"/>
  <c r="X114" i="1"/>
  <c r="H114" i="1"/>
  <c r="AA114" i="1" s="1"/>
  <c r="E114" i="1"/>
  <c r="Q114" i="1" s="1"/>
  <c r="B114" i="1"/>
  <c r="A114" i="1"/>
  <c r="X113" i="1"/>
  <c r="H113" i="1"/>
  <c r="E113" i="1"/>
  <c r="Q113" i="1" s="1"/>
  <c r="B113" i="1"/>
  <c r="A113" i="1"/>
  <c r="X112" i="1"/>
  <c r="H112" i="1"/>
  <c r="I112" i="1" s="1"/>
  <c r="E112" i="1"/>
  <c r="B112" i="1"/>
  <c r="A112" i="1"/>
  <c r="X111" i="1"/>
  <c r="H111" i="1"/>
  <c r="AA111" i="1" s="1"/>
  <c r="E111" i="1"/>
  <c r="P111" i="1" s="1"/>
  <c r="B111" i="1"/>
  <c r="A111" i="1"/>
  <c r="X110" i="1"/>
  <c r="H110" i="1"/>
  <c r="J110" i="1" s="1"/>
  <c r="R110" i="1" s="1"/>
  <c r="S110" i="1" s="1"/>
  <c r="E110" i="1"/>
  <c r="Q110" i="1" s="1"/>
  <c r="B110" i="1"/>
  <c r="A110" i="1"/>
  <c r="X109" i="1"/>
  <c r="H109" i="1"/>
  <c r="E109" i="1"/>
  <c r="D109" i="1" s="1"/>
  <c r="B109" i="1"/>
  <c r="A109" i="1"/>
  <c r="X108" i="1"/>
  <c r="H108" i="1"/>
  <c r="AA108" i="1" s="1"/>
  <c r="E108" i="1"/>
  <c r="Q108" i="1" s="1"/>
  <c r="B108" i="1"/>
  <c r="A108" i="1"/>
  <c r="X107" i="1"/>
  <c r="H107" i="1"/>
  <c r="AA107" i="1" s="1"/>
  <c r="E107" i="1"/>
  <c r="B107" i="1"/>
  <c r="A107" i="1"/>
  <c r="X106" i="1"/>
  <c r="H106" i="1"/>
  <c r="E106" i="1"/>
  <c r="Q106" i="1" s="1"/>
  <c r="B106" i="1"/>
  <c r="A106" i="1"/>
  <c r="X105" i="1"/>
  <c r="H105" i="1"/>
  <c r="E105" i="1"/>
  <c r="Q105" i="1" s="1"/>
  <c r="B105" i="1"/>
  <c r="A105" i="1"/>
  <c r="X104" i="1"/>
  <c r="H104" i="1"/>
  <c r="AA104" i="1" s="1"/>
  <c r="E104" i="1"/>
  <c r="Q104" i="1" s="1"/>
  <c r="B104" i="1"/>
  <c r="A104" i="1"/>
  <c r="X103" i="1"/>
  <c r="Q103" i="1"/>
  <c r="H103" i="1"/>
  <c r="AA103" i="1" s="1"/>
  <c r="E103" i="1"/>
  <c r="P103" i="1" s="1"/>
  <c r="B103" i="1"/>
  <c r="A103" i="1"/>
  <c r="X102" i="1"/>
  <c r="H102" i="1"/>
  <c r="I102" i="1" s="1"/>
  <c r="E102" i="1"/>
  <c r="Q102" i="1" s="1"/>
  <c r="B102" i="1"/>
  <c r="A102" i="1"/>
  <c r="X101" i="1"/>
  <c r="H101" i="1"/>
  <c r="E101" i="1"/>
  <c r="Q101" i="1" s="1"/>
  <c r="B101" i="1"/>
  <c r="A101" i="1"/>
  <c r="X100" i="1"/>
  <c r="H100" i="1"/>
  <c r="E100" i="1"/>
  <c r="Q100" i="1" s="1"/>
  <c r="B100" i="1"/>
  <c r="A100" i="1"/>
  <c r="X99" i="1"/>
  <c r="H99" i="1"/>
  <c r="AA99" i="1" s="1"/>
  <c r="E99" i="1"/>
  <c r="Q99" i="1" s="1"/>
  <c r="B99" i="1"/>
  <c r="A99" i="1"/>
  <c r="X98" i="1"/>
  <c r="H98" i="1"/>
  <c r="AA98" i="1" s="1"/>
  <c r="E98" i="1"/>
  <c r="Q98" i="1" s="1"/>
  <c r="B98" i="1"/>
  <c r="A98" i="1"/>
  <c r="X97" i="1"/>
  <c r="H97" i="1"/>
  <c r="I97" i="1" s="1"/>
  <c r="E97" i="1"/>
  <c r="Q97" i="1" s="1"/>
  <c r="B97" i="1"/>
  <c r="A97" i="1"/>
  <c r="X96" i="1"/>
  <c r="H96" i="1"/>
  <c r="E96" i="1"/>
  <c r="P96" i="1" s="1"/>
  <c r="B96" i="1"/>
  <c r="A96" i="1"/>
  <c r="X95" i="1"/>
  <c r="H95" i="1"/>
  <c r="J95" i="1" s="1"/>
  <c r="E95" i="1"/>
  <c r="Q95" i="1" s="1"/>
  <c r="B95" i="1"/>
  <c r="A95" i="1"/>
  <c r="X94" i="1"/>
  <c r="H94" i="1"/>
  <c r="J94" i="1" s="1"/>
  <c r="E94" i="1"/>
  <c r="Q94" i="1" s="1"/>
  <c r="B94" i="1"/>
  <c r="A94" i="1"/>
  <c r="X93" i="1"/>
  <c r="H93" i="1"/>
  <c r="J93" i="1" s="1"/>
  <c r="W93" i="1" s="1"/>
  <c r="Y93" i="1" s="1"/>
  <c r="E93" i="1"/>
  <c r="D93" i="1" s="1"/>
  <c r="B93" i="1"/>
  <c r="A93" i="1"/>
  <c r="X92" i="1"/>
  <c r="H92" i="1"/>
  <c r="N92" i="1" s="1"/>
  <c r="O92" i="1" s="1"/>
  <c r="Z92" i="1" s="1"/>
  <c r="E92" i="1"/>
  <c r="Q92" i="1" s="1"/>
  <c r="B92" i="1"/>
  <c r="A92" i="1"/>
  <c r="X91" i="1"/>
  <c r="H91" i="1"/>
  <c r="AA91" i="1" s="1"/>
  <c r="E91" i="1"/>
  <c r="B91" i="1"/>
  <c r="A91" i="1"/>
  <c r="X90" i="1"/>
  <c r="J90" i="1"/>
  <c r="T90" i="1" s="1"/>
  <c r="H90" i="1"/>
  <c r="I90" i="1" s="1"/>
  <c r="E90" i="1"/>
  <c r="P90" i="1" s="1"/>
  <c r="B90" i="1"/>
  <c r="A90" i="1"/>
  <c r="X89" i="1"/>
  <c r="H89" i="1"/>
  <c r="J89" i="1" s="1"/>
  <c r="W89" i="1" s="1"/>
  <c r="Y89" i="1" s="1"/>
  <c r="E89" i="1"/>
  <c r="Q89" i="1" s="1"/>
  <c r="B89" i="1"/>
  <c r="A89" i="1"/>
  <c r="X88" i="1"/>
  <c r="H88" i="1"/>
  <c r="E88" i="1"/>
  <c r="Q88" i="1" s="1"/>
  <c r="B88" i="1"/>
  <c r="A88" i="1"/>
  <c r="X87" i="1"/>
  <c r="H87" i="1"/>
  <c r="I87" i="1" s="1"/>
  <c r="E87" i="1"/>
  <c r="Q87" i="1" s="1"/>
  <c r="B87" i="1"/>
  <c r="A87" i="1"/>
  <c r="X86" i="1"/>
  <c r="H86" i="1"/>
  <c r="AA86" i="1" s="1"/>
  <c r="E86" i="1"/>
  <c r="D86" i="1" s="1"/>
  <c r="B86" i="1"/>
  <c r="A86" i="1"/>
  <c r="X85" i="1"/>
  <c r="H85" i="1"/>
  <c r="I85" i="1" s="1"/>
  <c r="E85" i="1"/>
  <c r="Q85" i="1" s="1"/>
  <c r="B85" i="1"/>
  <c r="A85" i="1"/>
  <c r="X84" i="1"/>
  <c r="H84" i="1"/>
  <c r="AA84" i="1" s="1"/>
  <c r="E84" i="1"/>
  <c r="P84" i="1" s="1"/>
  <c r="B84" i="1"/>
  <c r="A84" i="1"/>
  <c r="X83" i="1"/>
  <c r="H83" i="1"/>
  <c r="N83" i="1" s="1"/>
  <c r="O83" i="1" s="1"/>
  <c r="Z83" i="1" s="1"/>
  <c r="E83" i="1"/>
  <c r="D83" i="1" s="1"/>
  <c r="B83" i="1"/>
  <c r="A83" i="1"/>
  <c r="X82" i="1"/>
  <c r="H82" i="1"/>
  <c r="N82" i="1" s="1"/>
  <c r="O82" i="1" s="1"/>
  <c r="Z82" i="1" s="1"/>
  <c r="E82" i="1"/>
  <c r="Q82" i="1" s="1"/>
  <c r="B82" i="1"/>
  <c r="A82" i="1"/>
  <c r="X81" i="1"/>
  <c r="H81" i="1"/>
  <c r="E81" i="1"/>
  <c r="D81" i="1" s="1"/>
  <c r="B81" i="1"/>
  <c r="A81" i="1"/>
  <c r="X80" i="1"/>
  <c r="H80" i="1"/>
  <c r="E80" i="1"/>
  <c r="P80" i="1" s="1"/>
  <c r="B80" i="1"/>
  <c r="A80" i="1"/>
  <c r="X79" i="1"/>
  <c r="H79" i="1"/>
  <c r="E79" i="1"/>
  <c r="Q79" i="1" s="1"/>
  <c r="B79" i="1"/>
  <c r="A79" i="1"/>
  <c r="X78" i="1"/>
  <c r="H78" i="1"/>
  <c r="J78" i="1" s="1"/>
  <c r="T78" i="1" s="1"/>
  <c r="E78" i="1"/>
  <c r="Q78" i="1" s="1"/>
  <c r="B78" i="1"/>
  <c r="A78" i="1"/>
  <c r="X77" i="1"/>
  <c r="H77" i="1"/>
  <c r="E77" i="1"/>
  <c r="Q77" i="1" s="1"/>
  <c r="B77" i="1"/>
  <c r="A77" i="1"/>
  <c r="X76" i="1"/>
  <c r="H76" i="1"/>
  <c r="E76" i="1"/>
  <c r="Q76" i="1" s="1"/>
  <c r="B76" i="1"/>
  <c r="A76" i="1"/>
  <c r="X75" i="1"/>
  <c r="H75" i="1"/>
  <c r="N75" i="1" s="1"/>
  <c r="O75" i="1" s="1"/>
  <c r="Z75" i="1" s="1"/>
  <c r="E75" i="1"/>
  <c r="D75" i="1" s="1"/>
  <c r="B75" i="1"/>
  <c r="A75" i="1"/>
  <c r="X74" i="1"/>
  <c r="H74" i="1"/>
  <c r="E74" i="1"/>
  <c r="D74" i="1" s="1"/>
  <c r="B74" i="1"/>
  <c r="A74" i="1"/>
  <c r="X73" i="1"/>
  <c r="H73" i="1"/>
  <c r="E73" i="1"/>
  <c r="Q73" i="1" s="1"/>
  <c r="B73" i="1"/>
  <c r="A73" i="1"/>
  <c r="X72" i="1"/>
  <c r="H72" i="1"/>
  <c r="J72" i="1" s="1"/>
  <c r="W72" i="1" s="1"/>
  <c r="Y72" i="1" s="1"/>
  <c r="E72" i="1"/>
  <c r="Q72" i="1" s="1"/>
  <c r="B72" i="1"/>
  <c r="A72" i="1"/>
  <c r="X71" i="1"/>
  <c r="H71" i="1"/>
  <c r="N71" i="1" s="1"/>
  <c r="O71" i="1" s="1"/>
  <c r="Z71" i="1" s="1"/>
  <c r="E71" i="1"/>
  <c r="D71" i="1" s="1"/>
  <c r="B71" i="1"/>
  <c r="A71" i="1"/>
  <c r="X70" i="1"/>
  <c r="H70" i="1"/>
  <c r="J70" i="1" s="1"/>
  <c r="W70" i="1" s="1"/>
  <c r="Y70" i="1" s="1"/>
  <c r="E70" i="1"/>
  <c r="P70" i="1" s="1"/>
  <c r="B70" i="1"/>
  <c r="A70" i="1"/>
  <c r="X69" i="1"/>
  <c r="H69" i="1"/>
  <c r="AA69" i="1" s="1"/>
  <c r="E69" i="1"/>
  <c r="P69" i="1" s="1"/>
  <c r="B69" i="1"/>
  <c r="A69" i="1"/>
  <c r="X68" i="1"/>
  <c r="H68" i="1"/>
  <c r="J68" i="1" s="1"/>
  <c r="W68" i="1" s="1"/>
  <c r="Y68" i="1" s="1"/>
  <c r="E68" i="1"/>
  <c r="D68" i="1" s="1"/>
  <c r="B68" i="1"/>
  <c r="A68" i="1"/>
  <c r="X67" i="1"/>
  <c r="H67" i="1"/>
  <c r="J67" i="1" s="1"/>
  <c r="W67" i="1" s="1"/>
  <c r="Y67" i="1" s="1"/>
  <c r="E67" i="1"/>
  <c r="B67" i="1"/>
  <c r="A67" i="1"/>
  <c r="X66" i="1"/>
  <c r="H66" i="1"/>
  <c r="N66" i="1" s="1"/>
  <c r="O66" i="1" s="1"/>
  <c r="Z66" i="1" s="1"/>
  <c r="E66" i="1"/>
  <c r="D66" i="1" s="1"/>
  <c r="B66" i="1"/>
  <c r="A66" i="1"/>
  <c r="X65" i="1"/>
  <c r="H65" i="1"/>
  <c r="AA65" i="1" s="1"/>
  <c r="E65" i="1"/>
  <c r="Q65" i="1" s="1"/>
  <c r="B65" i="1"/>
  <c r="A65" i="1"/>
  <c r="X64" i="1"/>
  <c r="H64" i="1"/>
  <c r="J64" i="1" s="1"/>
  <c r="E64" i="1"/>
  <c r="D64" i="1" s="1"/>
  <c r="B64" i="1"/>
  <c r="A64" i="1"/>
  <c r="X63" i="1"/>
  <c r="H63" i="1"/>
  <c r="AA63" i="1" s="1"/>
  <c r="E63" i="1"/>
  <c r="B63" i="1"/>
  <c r="A63" i="1"/>
  <c r="X62" i="1"/>
  <c r="H62" i="1"/>
  <c r="AA62" i="1" s="1"/>
  <c r="E62" i="1"/>
  <c r="Q62" i="1" s="1"/>
  <c r="B62" i="1"/>
  <c r="A62" i="1"/>
  <c r="X61" i="1"/>
  <c r="H61" i="1"/>
  <c r="AA61" i="1" s="1"/>
  <c r="E61" i="1"/>
  <c r="D61" i="1" s="1"/>
  <c r="B61" i="1"/>
  <c r="A61" i="1"/>
  <c r="X60" i="1"/>
  <c r="H60" i="1"/>
  <c r="N60" i="1" s="1"/>
  <c r="O60" i="1" s="1"/>
  <c r="Z60" i="1" s="1"/>
  <c r="E60" i="1"/>
  <c r="Q60" i="1" s="1"/>
  <c r="B60" i="1"/>
  <c r="A60" i="1"/>
  <c r="X59" i="1"/>
  <c r="H59" i="1"/>
  <c r="AA59" i="1" s="1"/>
  <c r="E59" i="1"/>
  <c r="Q59" i="1" s="1"/>
  <c r="B59" i="1"/>
  <c r="A59" i="1"/>
  <c r="X58" i="1"/>
  <c r="H58" i="1"/>
  <c r="N58" i="1" s="1"/>
  <c r="O58" i="1" s="1"/>
  <c r="Z58" i="1" s="1"/>
  <c r="E58" i="1"/>
  <c r="Q58" i="1" s="1"/>
  <c r="B58" i="1"/>
  <c r="A58" i="1"/>
  <c r="X57" i="1"/>
  <c r="H57" i="1"/>
  <c r="I57" i="1" s="1"/>
  <c r="E57" i="1"/>
  <c r="Q57" i="1" s="1"/>
  <c r="B57" i="1"/>
  <c r="A57" i="1"/>
  <c r="X56" i="1"/>
  <c r="H56" i="1"/>
  <c r="AA56" i="1" s="1"/>
  <c r="E56" i="1"/>
  <c r="D56" i="1" s="1"/>
  <c r="B56" i="1"/>
  <c r="A56" i="1"/>
  <c r="X55" i="1"/>
  <c r="H55" i="1"/>
  <c r="N55" i="1" s="1"/>
  <c r="O55" i="1" s="1"/>
  <c r="Z55" i="1" s="1"/>
  <c r="E55" i="1"/>
  <c r="P55" i="1" s="1"/>
  <c r="B55" i="1"/>
  <c r="A55" i="1"/>
  <c r="X54" i="1"/>
  <c r="H54" i="1"/>
  <c r="E54" i="1"/>
  <c r="P54" i="1" s="1"/>
  <c r="B54" i="1"/>
  <c r="A54" i="1"/>
  <c r="X53" i="1"/>
  <c r="H53" i="1"/>
  <c r="AA53" i="1" s="1"/>
  <c r="E53" i="1"/>
  <c r="D53" i="1" s="1"/>
  <c r="B53" i="1"/>
  <c r="A53" i="1"/>
  <c r="X52" i="1"/>
  <c r="H52" i="1"/>
  <c r="AA52" i="1" s="1"/>
  <c r="E52" i="1"/>
  <c r="B52" i="1"/>
  <c r="A52" i="1"/>
  <c r="X51" i="1"/>
  <c r="H51" i="1"/>
  <c r="AA51" i="1" s="1"/>
  <c r="E51" i="1"/>
  <c r="B51" i="1"/>
  <c r="A51" i="1"/>
  <c r="X50" i="1"/>
  <c r="H50" i="1"/>
  <c r="N50" i="1" s="1"/>
  <c r="O50" i="1" s="1"/>
  <c r="Z50" i="1" s="1"/>
  <c r="E50" i="1"/>
  <c r="D50" i="1" s="1"/>
  <c r="B50" i="1"/>
  <c r="A50" i="1"/>
  <c r="X49" i="1"/>
  <c r="H49" i="1"/>
  <c r="N49" i="1" s="1"/>
  <c r="O49" i="1" s="1"/>
  <c r="Z49" i="1" s="1"/>
  <c r="E49" i="1"/>
  <c r="Q49" i="1" s="1"/>
  <c r="D49" i="1"/>
  <c r="B49" i="1"/>
  <c r="A49" i="1"/>
  <c r="X48" i="1"/>
  <c r="H48" i="1"/>
  <c r="J48" i="1" s="1"/>
  <c r="W48" i="1" s="1"/>
  <c r="Y48" i="1" s="1"/>
  <c r="E48" i="1"/>
  <c r="D48" i="1" s="1"/>
  <c r="B48" i="1"/>
  <c r="A48" i="1"/>
  <c r="X47" i="1"/>
  <c r="H47" i="1"/>
  <c r="E47" i="1"/>
  <c r="Q47" i="1" s="1"/>
  <c r="B47" i="1"/>
  <c r="A47" i="1"/>
  <c r="X46" i="1"/>
  <c r="H46" i="1"/>
  <c r="AA46" i="1" s="1"/>
  <c r="E46" i="1"/>
  <c r="Q46" i="1" s="1"/>
  <c r="B46" i="1"/>
  <c r="A46" i="1"/>
  <c r="X45" i="1"/>
  <c r="H45" i="1"/>
  <c r="J45" i="1" s="1"/>
  <c r="W45" i="1" s="1"/>
  <c r="Y45" i="1" s="1"/>
  <c r="E45" i="1"/>
  <c r="P45" i="1" s="1"/>
  <c r="B45" i="1"/>
  <c r="A45" i="1"/>
  <c r="X44" i="1"/>
  <c r="H44" i="1"/>
  <c r="I44" i="1" s="1"/>
  <c r="E44" i="1"/>
  <c r="Q44" i="1" s="1"/>
  <c r="B44" i="1"/>
  <c r="A44" i="1"/>
  <c r="X43" i="1"/>
  <c r="H43" i="1"/>
  <c r="J43" i="1" s="1"/>
  <c r="W43" i="1" s="1"/>
  <c r="Y43" i="1" s="1"/>
  <c r="E43" i="1"/>
  <c r="P43" i="1" s="1"/>
  <c r="B43" i="1"/>
  <c r="A43" i="1"/>
  <c r="X42" i="1"/>
  <c r="H42" i="1"/>
  <c r="J42" i="1" s="1"/>
  <c r="W42" i="1" s="1"/>
  <c r="Y42" i="1" s="1"/>
  <c r="E42" i="1"/>
  <c r="B42" i="1"/>
  <c r="A42" i="1"/>
  <c r="X41" i="1"/>
  <c r="H41" i="1"/>
  <c r="AA41" i="1" s="1"/>
  <c r="E41" i="1"/>
  <c r="D41" i="1" s="1"/>
  <c r="B41" i="1"/>
  <c r="A41" i="1"/>
  <c r="X40" i="1"/>
  <c r="H40" i="1"/>
  <c r="E40" i="1"/>
  <c r="Q40" i="1" s="1"/>
  <c r="B40" i="1"/>
  <c r="A40" i="1"/>
  <c r="X39" i="1"/>
  <c r="P39" i="1"/>
  <c r="H39" i="1"/>
  <c r="AA39" i="1" s="1"/>
  <c r="E39" i="1"/>
  <c r="Q39" i="1" s="1"/>
  <c r="B39" i="1"/>
  <c r="A39" i="1"/>
  <c r="X38" i="1"/>
  <c r="H38" i="1"/>
  <c r="J38" i="1" s="1"/>
  <c r="R38" i="1" s="1"/>
  <c r="S38" i="1" s="1"/>
  <c r="E38" i="1"/>
  <c r="Q38" i="1" s="1"/>
  <c r="B38" i="1"/>
  <c r="A38" i="1"/>
  <c r="X37" i="1"/>
  <c r="H37" i="1"/>
  <c r="I37" i="1" s="1"/>
  <c r="E37" i="1"/>
  <c r="B37" i="1"/>
  <c r="A37" i="1"/>
  <c r="X36" i="1"/>
  <c r="H36" i="1"/>
  <c r="E36" i="1"/>
  <c r="Q36" i="1" s="1"/>
  <c r="B36" i="1"/>
  <c r="A36" i="1"/>
  <c r="X35" i="1"/>
  <c r="H35" i="1"/>
  <c r="I35" i="1" s="1"/>
  <c r="E35" i="1"/>
  <c r="B35" i="1"/>
  <c r="A35" i="1"/>
  <c r="X34" i="1"/>
  <c r="H34" i="1"/>
  <c r="AA34" i="1" s="1"/>
  <c r="E34" i="1"/>
  <c r="Q34" i="1" s="1"/>
  <c r="B34" i="1"/>
  <c r="A34" i="1"/>
  <c r="X33" i="1"/>
  <c r="H33" i="1"/>
  <c r="N33" i="1" s="1"/>
  <c r="O33" i="1" s="1"/>
  <c r="Z33" i="1" s="1"/>
  <c r="E33" i="1"/>
  <c r="D33" i="1" s="1"/>
  <c r="B33" i="1"/>
  <c r="A33" i="1"/>
  <c r="X32" i="1"/>
  <c r="H32" i="1"/>
  <c r="N32" i="1" s="1"/>
  <c r="O32" i="1" s="1"/>
  <c r="Z32" i="1" s="1"/>
  <c r="E32" i="1"/>
  <c r="Q32" i="1" s="1"/>
  <c r="B32" i="1"/>
  <c r="A32" i="1"/>
  <c r="X31" i="1"/>
  <c r="H31" i="1"/>
  <c r="E31" i="1"/>
  <c r="P31" i="1" s="1"/>
  <c r="B31" i="1"/>
  <c r="A31" i="1"/>
  <c r="X30" i="1"/>
  <c r="H30" i="1"/>
  <c r="N30" i="1" s="1"/>
  <c r="O30" i="1" s="1"/>
  <c r="Z30" i="1" s="1"/>
  <c r="E30" i="1"/>
  <c r="D30" i="1" s="1"/>
  <c r="B30" i="1"/>
  <c r="A30" i="1"/>
  <c r="X29" i="1"/>
  <c r="H29" i="1"/>
  <c r="AA29" i="1" s="1"/>
  <c r="E29" i="1"/>
  <c r="B29" i="1"/>
  <c r="A29" i="1"/>
  <c r="X28" i="1"/>
  <c r="H28" i="1"/>
  <c r="AA28" i="1" s="1"/>
  <c r="E28" i="1"/>
  <c r="B28" i="1"/>
  <c r="A28" i="1"/>
  <c r="X27" i="1"/>
  <c r="H27" i="1"/>
  <c r="AA27" i="1" s="1"/>
  <c r="E27" i="1"/>
  <c r="Q27" i="1" s="1"/>
  <c r="B27" i="1"/>
  <c r="A27" i="1"/>
  <c r="X26" i="1"/>
  <c r="H26" i="1"/>
  <c r="E26" i="1"/>
  <c r="P26" i="1" s="1"/>
  <c r="B26" i="1"/>
  <c r="A26" i="1"/>
  <c r="X25" i="1"/>
  <c r="H25" i="1"/>
  <c r="N25" i="1" s="1"/>
  <c r="O25" i="1" s="1"/>
  <c r="Z25" i="1" s="1"/>
  <c r="E25" i="1"/>
  <c r="P25" i="1" s="1"/>
  <c r="B25" i="1"/>
  <c r="A25" i="1"/>
  <c r="X24" i="1"/>
  <c r="H24" i="1"/>
  <c r="J24" i="1" s="1"/>
  <c r="E24" i="1"/>
  <c r="B24" i="1"/>
  <c r="A24" i="1"/>
  <c r="X23" i="1"/>
  <c r="H23" i="1"/>
  <c r="N23" i="1" s="1"/>
  <c r="O23" i="1" s="1"/>
  <c r="Z23" i="1" s="1"/>
  <c r="E23" i="1"/>
  <c r="D23" i="1" s="1"/>
  <c r="B23" i="1"/>
  <c r="A23" i="1"/>
  <c r="X22" i="1"/>
  <c r="H22" i="1"/>
  <c r="J22" i="1" s="1"/>
  <c r="E22" i="1"/>
  <c r="Q22" i="1" s="1"/>
  <c r="B22" i="1"/>
  <c r="A22" i="1"/>
  <c r="X21" i="1"/>
  <c r="H21" i="1"/>
  <c r="E21" i="1"/>
  <c r="P21" i="1" s="1"/>
  <c r="B21" i="1"/>
  <c r="A21" i="1"/>
  <c r="X20" i="1"/>
  <c r="H20" i="1"/>
  <c r="N20" i="1" s="1"/>
  <c r="O20" i="1" s="1"/>
  <c r="Z20" i="1" s="1"/>
  <c r="E20" i="1"/>
  <c r="B20" i="1"/>
  <c r="A20" i="1"/>
  <c r="X19" i="1"/>
  <c r="H19" i="1"/>
  <c r="AA19" i="1" s="1"/>
  <c r="E19" i="1"/>
  <c r="P19" i="1" s="1"/>
  <c r="B19" i="1"/>
  <c r="A19" i="1"/>
  <c r="X18" i="1"/>
  <c r="H18" i="1"/>
  <c r="AA18" i="1" s="1"/>
  <c r="E18" i="1"/>
  <c r="P18" i="1" s="1"/>
  <c r="B18" i="1"/>
  <c r="A18" i="1"/>
  <c r="X17" i="1"/>
  <c r="H17" i="1"/>
  <c r="AA17" i="1" s="1"/>
  <c r="E17" i="1"/>
  <c r="Q17" i="1" s="1"/>
  <c r="B17" i="1"/>
  <c r="A17" i="1"/>
  <c r="X16" i="1"/>
  <c r="H16" i="1"/>
  <c r="N16" i="1" s="1"/>
  <c r="O16" i="1" s="1"/>
  <c r="Z16" i="1" s="1"/>
  <c r="E16" i="1"/>
  <c r="B16" i="1"/>
  <c r="A16" i="1"/>
  <c r="X15" i="1"/>
  <c r="H15" i="1"/>
  <c r="AA15" i="1" s="1"/>
  <c r="E15" i="1"/>
  <c r="Q15" i="1" s="1"/>
  <c r="B15" i="1"/>
  <c r="A15" i="1"/>
  <c r="X14" i="1"/>
  <c r="H14" i="1"/>
  <c r="J14" i="1" s="1"/>
  <c r="E14" i="1"/>
  <c r="K14" i="1" s="1"/>
  <c r="B14" i="1"/>
  <c r="A14" i="1"/>
  <c r="X13" i="1"/>
  <c r="H13" i="1"/>
  <c r="N13" i="1" s="1"/>
  <c r="O13" i="1" s="1"/>
  <c r="Z13" i="1" s="1"/>
  <c r="E13" i="1"/>
  <c r="P13" i="1" s="1"/>
  <c r="B13" i="1"/>
  <c r="A13" i="1"/>
  <c r="X12" i="1"/>
  <c r="H12" i="1"/>
  <c r="AA12" i="1" s="1"/>
  <c r="E12" i="1"/>
  <c r="Q12" i="1" s="1"/>
  <c r="B12" i="1"/>
  <c r="A12" i="1"/>
  <c r="X11" i="1"/>
  <c r="H11" i="1"/>
  <c r="AA11" i="1" s="1"/>
  <c r="E11" i="1"/>
  <c r="B11" i="1"/>
  <c r="A11" i="1"/>
  <c r="X10" i="1"/>
  <c r="H10" i="1"/>
  <c r="I10" i="1" s="1"/>
  <c r="E10" i="1"/>
  <c r="Q10" i="1" s="1"/>
  <c r="B10" i="1"/>
  <c r="A10" i="1"/>
  <c r="X9" i="1"/>
  <c r="H9" i="1"/>
  <c r="J9" i="1" s="1"/>
  <c r="E9" i="1"/>
  <c r="B9" i="1"/>
  <c r="A9" i="1"/>
  <c r="X8" i="1"/>
  <c r="H8" i="1"/>
  <c r="N8" i="1" s="1"/>
  <c r="O8" i="1" s="1"/>
  <c r="Z8" i="1" s="1"/>
  <c r="E8" i="1"/>
  <c r="P8" i="1" s="1"/>
  <c r="B8" i="1"/>
  <c r="A8" i="1"/>
  <c r="X7" i="1"/>
  <c r="H7" i="1"/>
  <c r="J7" i="1" s="1"/>
  <c r="E7" i="1"/>
  <c r="D7" i="1" s="1"/>
  <c r="B7" i="1"/>
  <c r="A7" i="1"/>
  <c r="X6" i="1"/>
  <c r="H6" i="1"/>
  <c r="N6" i="1" s="1"/>
  <c r="O6" i="1" s="1"/>
  <c r="Z6" i="1" s="1"/>
  <c r="E6" i="1"/>
  <c r="B6" i="1"/>
  <c r="A6" i="1"/>
  <c r="X5" i="1"/>
  <c r="H5" i="1"/>
  <c r="AA5" i="1" s="1"/>
  <c r="E5" i="1"/>
  <c r="Q5" i="1" s="1"/>
  <c r="B5" i="1"/>
  <c r="A5" i="1"/>
  <c r="X4" i="1"/>
  <c r="H4" i="1"/>
  <c r="J4" i="1" s="1"/>
  <c r="E4" i="1"/>
  <c r="B4" i="1"/>
  <c r="A4" i="1"/>
  <c r="X3" i="1"/>
  <c r="H3" i="1"/>
  <c r="N3" i="1" s="1"/>
  <c r="O3" i="1" s="1"/>
  <c r="Z3" i="1" s="1"/>
  <c r="E3" i="1"/>
  <c r="P3" i="1" s="1"/>
  <c r="B3" i="1"/>
  <c r="A3" i="1"/>
  <c r="Z2" i="1"/>
  <c r="Z1" i="1"/>
  <c r="J112" i="1" l="1"/>
  <c r="R112" i="1" s="1"/>
  <c r="S112" i="1" s="1"/>
  <c r="I133" i="1"/>
  <c r="P320" i="1"/>
  <c r="J484" i="1"/>
  <c r="W484" i="1" s="1"/>
  <c r="Y484" i="1" s="1"/>
  <c r="P190" i="1"/>
  <c r="AA395" i="1"/>
  <c r="N484" i="1"/>
  <c r="O484" i="1" s="1"/>
  <c r="Z484" i="1" s="1"/>
  <c r="AA561" i="1"/>
  <c r="I67" i="1"/>
  <c r="AA112" i="1"/>
  <c r="AA133" i="1"/>
  <c r="I155" i="1"/>
  <c r="Q194" i="1"/>
  <c r="D228" i="1"/>
  <c r="P305" i="1"/>
  <c r="D378" i="1"/>
  <c r="D46" i="1"/>
  <c r="D327" i="1"/>
  <c r="N605" i="1"/>
  <c r="O605" i="1" s="1"/>
  <c r="Z605" i="1" s="1"/>
  <c r="P113" i="1"/>
  <c r="D129" i="1"/>
  <c r="AA414" i="1"/>
  <c r="I450" i="1"/>
  <c r="J497" i="1"/>
  <c r="R497" i="1" s="1"/>
  <c r="S497" i="1" s="1"/>
  <c r="R633" i="1"/>
  <c r="S633" i="1" s="1"/>
  <c r="J5" i="1"/>
  <c r="V633" i="1"/>
  <c r="K618" i="1"/>
  <c r="N87" i="1"/>
  <c r="O87" i="1" s="1"/>
  <c r="Z87" i="1" s="1"/>
  <c r="I223" i="1"/>
  <c r="N307" i="1"/>
  <c r="O307" i="1" s="1"/>
  <c r="Z307" i="1" s="1"/>
  <c r="I324" i="1"/>
  <c r="AA423" i="1"/>
  <c r="N493" i="1"/>
  <c r="O493" i="1" s="1"/>
  <c r="Z493" i="1" s="1"/>
  <c r="I512" i="1"/>
  <c r="P541" i="1"/>
  <c r="N52" i="1"/>
  <c r="O52" i="1" s="1"/>
  <c r="Z52" i="1" s="1"/>
  <c r="J133" i="1"/>
  <c r="D222" i="1"/>
  <c r="P300" i="1"/>
  <c r="D313" i="1"/>
  <c r="N324" i="1"/>
  <c r="O324" i="1" s="1"/>
  <c r="Z324" i="1" s="1"/>
  <c r="P373" i="1"/>
  <c r="N512" i="1"/>
  <c r="O512" i="1" s="1"/>
  <c r="Z512" i="1" s="1"/>
  <c r="I439" i="1"/>
  <c r="N516" i="1"/>
  <c r="O516" i="1" s="1"/>
  <c r="Z516" i="1" s="1"/>
  <c r="J607" i="1"/>
  <c r="R607" i="1" s="1"/>
  <c r="S607" i="1" s="1"/>
  <c r="I149" i="1"/>
  <c r="V344" i="1"/>
  <c r="J377" i="1"/>
  <c r="P105" i="1"/>
  <c r="Q222" i="1"/>
  <c r="J306" i="1"/>
  <c r="T306" i="1" s="1"/>
  <c r="V306" i="1" s="1"/>
  <c r="N451" i="1"/>
  <c r="O451" i="1" s="1"/>
  <c r="Z451" i="1" s="1"/>
  <c r="I511" i="1"/>
  <c r="N621" i="1"/>
  <c r="O621" i="1" s="1"/>
  <c r="Z621" i="1" s="1"/>
  <c r="D44" i="1"/>
  <c r="D59" i="1"/>
  <c r="D94" i="1"/>
  <c r="AA149" i="1"/>
  <c r="N211" i="1"/>
  <c r="O211" i="1" s="1"/>
  <c r="Z211" i="1" s="1"/>
  <c r="D244" i="1"/>
  <c r="I430" i="1"/>
  <c r="R451" i="1"/>
  <c r="S451" i="1" s="1"/>
  <c r="J395" i="1"/>
  <c r="I496" i="1"/>
  <c r="J194" i="1"/>
  <c r="J221" i="1"/>
  <c r="T221" i="1" s="1"/>
  <c r="AA430" i="1"/>
  <c r="AA548" i="1"/>
  <c r="J635" i="1"/>
  <c r="L324" i="1"/>
  <c r="M324" i="1" s="1"/>
  <c r="J159" i="1"/>
  <c r="AA166" i="1"/>
  <c r="I168" i="1"/>
  <c r="N171" i="1"/>
  <c r="O171" i="1" s="1"/>
  <c r="Z171" i="1" s="1"/>
  <c r="J222" i="1"/>
  <c r="N362" i="1"/>
  <c r="O362" i="1" s="1"/>
  <c r="Z362" i="1" s="1"/>
  <c r="N474" i="1"/>
  <c r="O474" i="1" s="1"/>
  <c r="Z474" i="1" s="1"/>
  <c r="P75" i="1"/>
  <c r="AA211" i="1"/>
  <c r="Q265" i="1"/>
  <c r="I83" i="1"/>
  <c r="I99" i="1"/>
  <c r="J57" i="1"/>
  <c r="W57" i="1" s="1"/>
  <c r="Y57" i="1" s="1"/>
  <c r="J99" i="1"/>
  <c r="AA208" i="1"/>
  <c r="J217" i="1"/>
  <c r="W217" i="1" s="1"/>
  <c r="Y217" i="1" s="1"/>
  <c r="AA254" i="1"/>
  <c r="J258" i="1"/>
  <c r="R258" i="1" s="1"/>
  <c r="S258" i="1" s="1"/>
  <c r="AA330" i="1"/>
  <c r="P332" i="1"/>
  <c r="P364" i="1"/>
  <c r="P394" i="1"/>
  <c r="Q405" i="1"/>
  <c r="I424" i="1"/>
  <c r="Q503" i="1"/>
  <c r="P536" i="1"/>
  <c r="P549" i="1"/>
  <c r="J178" i="1"/>
  <c r="N208" i="1"/>
  <c r="O208" i="1" s="1"/>
  <c r="Z208" i="1" s="1"/>
  <c r="J168" i="1"/>
  <c r="R168" i="1" s="1"/>
  <c r="S168" i="1" s="1"/>
  <c r="T171" i="1"/>
  <c r="K9" i="1"/>
  <c r="D17" i="1"/>
  <c r="D103" i="1"/>
  <c r="P110" i="1"/>
  <c r="N117" i="1"/>
  <c r="O117" i="1" s="1"/>
  <c r="Z117" i="1" s="1"/>
  <c r="N168" i="1"/>
  <c r="O168" i="1" s="1"/>
  <c r="Z168" i="1" s="1"/>
  <c r="K190" i="1"/>
  <c r="L194" i="1"/>
  <c r="M194" i="1" s="1"/>
  <c r="D214" i="1"/>
  <c r="L214" i="1" s="1"/>
  <c r="M214" i="1" s="1"/>
  <c r="J219" i="1"/>
  <c r="T219" i="1" s="1"/>
  <c r="N273" i="1"/>
  <c r="O273" i="1" s="1"/>
  <c r="Z273" i="1" s="1"/>
  <c r="J353" i="1"/>
  <c r="N413" i="1"/>
  <c r="O413" i="1" s="1"/>
  <c r="Z413" i="1" s="1"/>
  <c r="D415" i="1"/>
  <c r="N424" i="1"/>
  <c r="O424" i="1" s="1"/>
  <c r="Z424" i="1" s="1"/>
  <c r="I476" i="1"/>
  <c r="J487" i="1"/>
  <c r="W487" i="1" s="1"/>
  <c r="Y487" i="1" s="1"/>
  <c r="J533" i="1"/>
  <c r="N538" i="1"/>
  <c r="O538" i="1" s="1"/>
  <c r="Z538" i="1" s="1"/>
  <c r="N553" i="1"/>
  <c r="O553" i="1" s="1"/>
  <c r="Z553" i="1" s="1"/>
  <c r="P574" i="1"/>
  <c r="AA75" i="1"/>
  <c r="T67" i="1"/>
  <c r="V67" i="1" s="1"/>
  <c r="D114" i="1"/>
  <c r="J123" i="1"/>
  <c r="T123" i="1" s="1"/>
  <c r="D153" i="1"/>
  <c r="I156" i="1"/>
  <c r="K158" i="1"/>
  <c r="I194" i="1"/>
  <c r="D306" i="1"/>
  <c r="L306" i="1" s="1"/>
  <c r="M306" i="1" s="1"/>
  <c r="AA353" i="1"/>
  <c r="I404" i="1"/>
  <c r="Q428" i="1"/>
  <c r="AA471" i="1"/>
  <c r="AA538" i="1"/>
  <c r="P601" i="1"/>
  <c r="AA612" i="1"/>
  <c r="N91" i="1"/>
  <c r="O91" i="1" s="1"/>
  <c r="Z91" i="1" s="1"/>
  <c r="D120" i="1"/>
  <c r="J125" i="1"/>
  <c r="T125" i="1" s="1"/>
  <c r="D131" i="1"/>
  <c r="D250" i="1"/>
  <c r="L250" i="1" s="1"/>
  <c r="M250" i="1" s="1"/>
  <c r="D265" i="1"/>
  <c r="D280" i="1"/>
  <c r="N350" i="1"/>
  <c r="O350" i="1" s="1"/>
  <c r="Z350" i="1" s="1"/>
  <c r="N466" i="1"/>
  <c r="O466" i="1" s="1"/>
  <c r="Z466" i="1" s="1"/>
  <c r="J475" i="1"/>
  <c r="J432" i="1"/>
  <c r="T432" i="1" s="1"/>
  <c r="I506" i="1"/>
  <c r="J523" i="1"/>
  <c r="I95" i="1"/>
  <c r="V155" i="1"/>
  <c r="J169" i="1"/>
  <c r="W169" i="1" s="1"/>
  <c r="Y169" i="1" s="1"/>
  <c r="I178" i="1"/>
  <c r="I208" i="1"/>
  <c r="D267" i="1"/>
  <c r="AA324" i="1"/>
  <c r="J373" i="1"/>
  <c r="P378" i="1"/>
  <c r="D394" i="1"/>
  <c r="D405" i="1"/>
  <c r="AA466" i="1"/>
  <c r="J479" i="1"/>
  <c r="T479" i="1" s="1"/>
  <c r="N499" i="1"/>
  <c r="O499" i="1" s="1"/>
  <c r="Z499" i="1" s="1"/>
  <c r="N523" i="1"/>
  <c r="O523" i="1" s="1"/>
  <c r="Z523" i="1" s="1"/>
  <c r="I534" i="1"/>
  <c r="D536" i="1"/>
  <c r="I587" i="1"/>
  <c r="P611" i="1"/>
  <c r="D621" i="1"/>
  <c r="I624" i="1"/>
  <c r="P100" i="1"/>
  <c r="Q140" i="1"/>
  <c r="P160" i="1"/>
  <c r="P261" i="1"/>
  <c r="P280" i="1"/>
  <c r="Q323" i="1"/>
  <c r="Q328" i="1"/>
  <c r="J587" i="1"/>
  <c r="W587" i="1" s="1"/>
  <c r="Y587" i="1" s="1"/>
  <c r="I626" i="1"/>
  <c r="AA635" i="1"/>
  <c r="D51" i="1"/>
  <c r="Q51" i="1"/>
  <c r="Q382" i="1"/>
  <c r="D382" i="1"/>
  <c r="Q35" i="1"/>
  <c r="P35" i="1"/>
  <c r="P51" i="1"/>
  <c r="N46" i="1"/>
  <c r="O46" i="1" s="1"/>
  <c r="Z46" i="1" s="1"/>
  <c r="I48" i="1"/>
  <c r="AA48" i="1"/>
  <c r="D177" i="1"/>
  <c r="Q177" i="1"/>
  <c r="P307" i="1"/>
  <c r="N203" i="1"/>
  <c r="O203" i="1" s="1"/>
  <c r="Z203" i="1" s="1"/>
  <c r="J203" i="1"/>
  <c r="R203" i="1" s="1"/>
  <c r="S203" i="1" s="1"/>
  <c r="J245" i="1"/>
  <c r="R245" i="1" s="1"/>
  <c r="S245" i="1" s="1"/>
  <c r="I245" i="1"/>
  <c r="P322" i="1"/>
  <c r="Q322" i="1"/>
  <c r="D322" i="1"/>
  <c r="D423" i="1"/>
  <c r="P423" i="1"/>
  <c r="Q423" i="1"/>
  <c r="Q473" i="1"/>
  <c r="P473" i="1"/>
  <c r="D473" i="1"/>
  <c r="N7" i="1"/>
  <c r="O7" i="1" s="1"/>
  <c r="Z7" i="1" s="1"/>
  <c r="T43" i="1"/>
  <c r="U43" i="1" s="1"/>
  <c r="Q24" i="1"/>
  <c r="D24" i="1"/>
  <c r="P24" i="1"/>
  <c r="N24" i="1"/>
  <c r="O24" i="1" s="1"/>
  <c r="Z24" i="1" s="1"/>
  <c r="AA54" i="1"/>
  <c r="J54" i="1"/>
  <c r="W54" i="1" s="1"/>
  <c r="Y54" i="1" s="1"/>
  <c r="I216" i="1"/>
  <c r="AA216" i="1"/>
  <c r="J352" i="1"/>
  <c r="W352" i="1" s="1"/>
  <c r="Y352" i="1" s="1"/>
  <c r="I352" i="1"/>
  <c r="N352" i="1"/>
  <c r="O352" i="1" s="1"/>
  <c r="Z352" i="1" s="1"/>
  <c r="AA352" i="1"/>
  <c r="U521" i="1"/>
  <c r="V521" i="1"/>
  <c r="J470" i="1"/>
  <c r="W470" i="1" s="1"/>
  <c r="Y470" i="1" s="1"/>
  <c r="I470" i="1"/>
  <c r="Q416" i="1"/>
  <c r="P416" i="1"/>
  <c r="P29" i="1"/>
  <c r="D29" i="1"/>
  <c r="N282" i="1"/>
  <c r="O282" i="1" s="1"/>
  <c r="Z282" i="1" s="1"/>
  <c r="J282" i="1"/>
  <c r="L282" i="1" s="1"/>
  <c r="M282" i="1" s="1"/>
  <c r="N308" i="1"/>
  <c r="O308" i="1" s="1"/>
  <c r="Z308" i="1" s="1"/>
  <c r="J308" i="1"/>
  <c r="W308" i="1" s="1"/>
  <c r="Y308" i="1" s="1"/>
  <c r="J349" i="1"/>
  <c r="N349" i="1"/>
  <c r="O349" i="1" s="1"/>
  <c r="Z349" i="1" s="1"/>
  <c r="AA349" i="1"/>
  <c r="P17" i="1"/>
  <c r="N28" i="1"/>
  <c r="O28" i="1" s="1"/>
  <c r="Z28" i="1" s="1"/>
  <c r="J37" i="1"/>
  <c r="T37" i="1" s="1"/>
  <c r="V37" i="1" s="1"/>
  <c r="J50" i="1"/>
  <c r="R50" i="1" s="1"/>
  <c r="S50" i="1" s="1"/>
  <c r="N56" i="1"/>
  <c r="O56" i="1" s="1"/>
  <c r="Z56" i="1" s="1"/>
  <c r="I59" i="1"/>
  <c r="AA60" i="1"/>
  <c r="Q71" i="1"/>
  <c r="D76" i="1"/>
  <c r="I98" i="1"/>
  <c r="P120" i="1"/>
  <c r="Q135" i="1"/>
  <c r="I148" i="1"/>
  <c r="J149" i="1"/>
  <c r="K149" i="1" s="1"/>
  <c r="I163" i="1"/>
  <c r="AA180" i="1"/>
  <c r="N182" i="1"/>
  <c r="O182" i="1" s="1"/>
  <c r="Z182" i="1" s="1"/>
  <c r="J187" i="1"/>
  <c r="T187" i="1" s="1"/>
  <c r="V187" i="1" s="1"/>
  <c r="P215" i="1"/>
  <c r="Q218" i="1"/>
  <c r="K220" i="1"/>
  <c r="I224" i="1"/>
  <c r="J231" i="1"/>
  <c r="W231" i="1" s="1"/>
  <c r="Y231" i="1" s="1"/>
  <c r="Q270" i="1"/>
  <c r="D300" i="1"/>
  <c r="Q327" i="1"/>
  <c r="I334" i="1"/>
  <c r="P346" i="1"/>
  <c r="N412" i="1"/>
  <c r="O412" i="1" s="1"/>
  <c r="Z412" i="1" s="1"/>
  <c r="Q418" i="1"/>
  <c r="P428" i="1"/>
  <c r="D430" i="1"/>
  <c r="J467" i="1"/>
  <c r="K467" i="1" s="1"/>
  <c r="J476" i="1"/>
  <c r="W476" i="1" s="1"/>
  <c r="Y476" i="1" s="1"/>
  <c r="I492" i="1"/>
  <c r="D504" i="1"/>
  <c r="J550" i="1"/>
  <c r="W550" i="1" s="1"/>
  <c r="Y550" i="1" s="1"/>
  <c r="AA557" i="1"/>
  <c r="N570" i="1"/>
  <c r="O570" i="1" s="1"/>
  <c r="Z570" i="1" s="1"/>
  <c r="K592" i="1"/>
  <c r="I612" i="1"/>
  <c r="N177" i="1"/>
  <c r="O177" i="1" s="1"/>
  <c r="Z177" i="1" s="1"/>
  <c r="N37" i="1"/>
  <c r="O37" i="1" s="1"/>
  <c r="Z37" i="1" s="1"/>
  <c r="P40" i="1"/>
  <c r="Q50" i="1"/>
  <c r="J59" i="1"/>
  <c r="R59" i="1" s="1"/>
  <c r="S59" i="1" s="1"/>
  <c r="AA66" i="1"/>
  <c r="J98" i="1"/>
  <c r="W98" i="1" s="1"/>
  <c r="Y98" i="1" s="1"/>
  <c r="J148" i="1"/>
  <c r="J163" i="1"/>
  <c r="Q174" i="1"/>
  <c r="N231" i="1"/>
  <c r="O231" i="1" s="1"/>
  <c r="Z231" i="1" s="1"/>
  <c r="P255" i="1"/>
  <c r="P306" i="1"/>
  <c r="Q339" i="1"/>
  <c r="P393" i="1"/>
  <c r="Q577" i="1"/>
  <c r="Q584" i="1"/>
  <c r="N220" i="1"/>
  <c r="O220" i="1" s="1"/>
  <c r="Z220" i="1" s="1"/>
  <c r="Q255" i="1"/>
  <c r="I274" i="1"/>
  <c r="R306" i="1"/>
  <c r="S306" i="1" s="1"/>
  <c r="P314" i="1"/>
  <c r="Q393" i="1"/>
  <c r="N414" i="1"/>
  <c r="O414" i="1" s="1"/>
  <c r="Z414" i="1" s="1"/>
  <c r="P415" i="1"/>
  <c r="Q460" i="1"/>
  <c r="J507" i="1"/>
  <c r="R507" i="1" s="1"/>
  <c r="S507" i="1" s="1"/>
  <c r="J512" i="1"/>
  <c r="T512" i="1" s="1"/>
  <c r="V512" i="1" s="1"/>
  <c r="D516" i="1"/>
  <c r="I521" i="1"/>
  <c r="I574" i="1"/>
  <c r="N591" i="1"/>
  <c r="O591" i="1" s="1"/>
  <c r="Z591" i="1" s="1"/>
  <c r="I599" i="1"/>
  <c r="I611" i="1"/>
  <c r="D630" i="1"/>
  <c r="N636" i="1"/>
  <c r="O636" i="1" s="1"/>
  <c r="Z636" i="1" s="1"/>
  <c r="P68" i="1"/>
  <c r="I75" i="1"/>
  <c r="P76" i="1"/>
  <c r="Q83" i="1"/>
  <c r="I108" i="1"/>
  <c r="N119" i="1"/>
  <c r="O119" i="1" s="1"/>
  <c r="Z119" i="1" s="1"/>
  <c r="J141" i="1"/>
  <c r="T141" i="1" s="1"/>
  <c r="V141" i="1" s="1"/>
  <c r="I162" i="1"/>
  <c r="I173" i="1"/>
  <c r="AA176" i="1"/>
  <c r="J191" i="1"/>
  <c r="T191" i="1" s="1"/>
  <c r="K194" i="1"/>
  <c r="N195" i="1"/>
  <c r="O195" i="1" s="1"/>
  <c r="Z195" i="1" s="1"/>
  <c r="P367" i="1"/>
  <c r="D560" i="1"/>
  <c r="AA579" i="1"/>
  <c r="K590" i="1"/>
  <c r="J599" i="1"/>
  <c r="T599" i="1" s="1"/>
  <c r="V599" i="1" s="1"/>
  <c r="J611" i="1"/>
  <c r="R611" i="1" s="1"/>
  <c r="S611" i="1" s="1"/>
  <c r="AA57" i="1"/>
  <c r="J28" i="1"/>
  <c r="R28" i="1" s="1"/>
  <c r="S28" i="1" s="1"/>
  <c r="J32" i="1"/>
  <c r="R32" i="1" s="1"/>
  <c r="S32" i="1" s="1"/>
  <c r="J53" i="1"/>
  <c r="T53" i="1" s="1"/>
  <c r="K59" i="1"/>
  <c r="P83" i="1"/>
  <c r="N98" i="1"/>
  <c r="O98" i="1" s="1"/>
  <c r="Z98" i="1" s="1"/>
  <c r="I119" i="1"/>
  <c r="I141" i="1"/>
  <c r="N148" i="1"/>
  <c r="O148" i="1" s="1"/>
  <c r="Z148" i="1" s="1"/>
  <c r="N152" i="1"/>
  <c r="O152" i="1" s="1"/>
  <c r="Z152" i="1" s="1"/>
  <c r="Q155" i="1"/>
  <c r="N163" i="1"/>
  <c r="O163" i="1" s="1"/>
  <c r="Z163" i="1" s="1"/>
  <c r="I195" i="1"/>
  <c r="N212" i="1"/>
  <c r="O212" i="1" s="1"/>
  <c r="Z212" i="1" s="1"/>
  <c r="J39" i="1"/>
  <c r="T39" i="1" s="1"/>
  <c r="V39" i="1" s="1"/>
  <c r="P58" i="1"/>
  <c r="N59" i="1"/>
  <c r="O59" i="1" s="1"/>
  <c r="Z59" i="1" s="1"/>
  <c r="I5" i="1"/>
  <c r="L7" i="1"/>
  <c r="M7" i="1" s="1"/>
  <c r="AA14" i="1"/>
  <c r="N39" i="1"/>
  <c r="O39" i="1" s="1"/>
  <c r="Z39" i="1" s="1"/>
  <c r="J52" i="1"/>
  <c r="I55" i="1"/>
  <c r="J75" i="1"/>
  <c r="R75" i="1" s="1"/>
  <c r="S75" i="1" s="1"/>
  <c r="D105" i="1"/>
  <c r="N108" i="1"/>
  <c r="O108" i="1" s="1"/>
  <c r="Z108" i="1" s="1"/>
  <c r="D110" i="1"/>
  <c r="D113" i="1"/>
  <c r="J114" i="1"/>
  <c r="L114" i="1" s="1"/>
  <c r="M114" i="1" s="1"/>
  <c r="P131" i="1"/>
  <c r="N141" i="1"/>
  <c r="O141" i="1" s="1"/>
  <c r="Z141" i="1" s="1"/>
  <c r="AA152" i="1"/>
  <c r="Q162" i="1"/>
  <c r="N173" i="1"/>
  <c r="O173" i="1" s="1"/>
  <c r="Z173" i="1" s="1"/>
  <c r="K185" i="1"/>
  <c r="J193" i="1"/>
  <c r="V195" i="1"/>
  <c r="P214" i="1"/>
  <c r="AA220" i="1"/>
  <c r="P228" i="1"/>
  <c r="I233" i="1"/>
  <c r="AA257" i="1"/>
  <c r="D261" i="1"/>
  <c r="AA274" i="1"/>
  <c r="L349" i="1"/>
  <c r="M349" i="1" s="1"/>
  <c r="I362" i="1"/>
  <c r="J404" i="1"/>
  <c r="W404" i="1" s="1"/>
  <c r="Y404" i="1" s="1"/>
  <c r="Q409" i="1"/>
  <c r="P417" i="1"/>
  <c r="P430" i="1"/>
  <c r="N471" i="1"/>
  <c r="O471" i="1" s="1"/>
  <c r="Z471" i="1" s="1"/>
  <c r="I474" i="1"/>
  <c r="Q482" i="1"/>
  <c r="J506" i="1"/>
  <c r="T506" i="1" s="1"/>
  <c r="I509" i="1"/>
  <c r="I526" i="1"/>
  <c r="L542" i="1"/>
  <c r="M542" i="1" s="1"/>
  <c r="D544" i="1"/>
  <c r="N598" i="1"/>
  <c r="O598" i="1" s="1"/>
  <c r="Z598" i="1" s="1"/>
  <c r="N599" i="1"/>
  <c r="O599" i="1" s="1"/>
  <c r="Z599" i="1" s="1"/>
  <c r="I606" i="1"/>
  <c r="AA621" i="1"/>
  <c r="AA628" i="1"/>
  <c r="N635" i="1"/>
  <c r="O635" i="1" s="1"/>
  <c r="Z635" i="1" s="1"/>
  <c r="N114" i="1"/>
  <c r="O114" i="1" s="1"/>
  <c r="Z114" i="1" s="1"/>
  <c r="Q126" i="1"/>
  <c r="P154" i="1"/>
  <c r="P194" i="1"/>
  <c r="W195" i="1"/>
  <c r="Y195" i="1" s="1"/>
  <c r="J233" i="1"/>
  <c r="J362" i="1"/>
  <c r="P371" i="1"/>
  <c r="J474" i="1"/>
  <c r="T474" i="1" s="1"/>
  <c r="V474" i="1" s="1"/>
  <c r="K506" i="1"/>
  <c r="AA574" i="1"/>
  <c r="N590" i="1"/>
  <c r="O590" i="1" s="1"/>
  <c r="Z590" i="1" s="1"/>
  <c r="V598" i="1"/>
  <c r="J606" i="1"/>
  <c r="D617" i="1"/>
  <c r="L617" i="1" s="1"/>
  <c r="M617" i="1" s="1"/>
  <c r="J625" i="1"/>
  <c r="T625" i="1" s="1"/>
  <c r="P635" i="1"/>
  <c r="J439" i="1"/>
  <c r="K439" i="1" s="1"/>
  <c r="P546" i="1"/>
  <c r="I555" i="1"/>
  <c r="AA590" i="1"/>
  <c r="AA598" i="1"/>
  <c r="P89" i="1"/>
  <c r="AA123" i="1"/>
  <c r="N178" i="1"/>
  <c r="O178" i="1" s="1"/>
  <c r="Z178" i="1" s="1"/>
  <c r="R185" i="1"/>
  <c r="S185" i="1" s="1"/>
  <c r="D292" i="1"/>
  <c r="J307" i="1"/>
  <c r="K307" i="1" s="1"/>
  <c r="N315" i="1"/>
  <c r="O315" i="1" s="1"/>
  <c r="Z315" i="1" s="1"/>
  <c r="D337" i="1"/>
  <c r="R344" i="1"/>
  <c r="S344" i="1" s="1"/>
  <c r="D391" i="1"/>
  <c r="P508" i="1"/>
  <c r="I525" i="1"/>
  <c r="P555" i="1"/>
  <c r="P580" i="1"/>
  <c r="AA627" i="1"/>
  <c r="R24" i="1"/>
  <c r="S24" i="1" s="1"/>
  <c r="T24" i="1"/>
  <c r="V24" i="1" s="1"/>
  <c r="W24" i="1"/>
  <c r="Y24" i="1" s="1"/>
  <c r="W115" i="1"/>
  <c r="Y115" i="1" s="1"/>
  <c r="T115" i="1"/>
  <c r="V115" i="1" s="1"/>
  <c r="AA8" i="1"/>
  <c r="AA13" i="1"/>
  <c r="I38" i="1"/>
  <c r="P53" i="1"/>
  <c r="N84" i="1"/>
  <c r="O84" i="1" s="1"/>
  <c r="Z84" i="1" s="1"/>
  <c r="D130" i="1"/>
  <c r="P130" i="1"/>
  <c r="AA134" i="1"/>
  <c r="I134" i="1"/>
  <c r="D154" i="1"/>
  <c r="D158" i="1"/>
  <c r="J177" i="1"/>
  <c r="AA177" i="1"/>
  <c r="W221" i="1"/>
  <c r="Y221" i="1" s="1"/>
  <c r="P227" i="1"/>
  <c r="Q227" i="1"/>
  <c r="D240" i="1"/>
  <c r="L240" i="1" s="1"/>
  <c r="M240" i="1" s="1"/>
  <c r="AA253" i="1"/>
  <c r="I263" i="1"/>
  <c r="N263" i="1"/>
  <c r="O263" i="1" s="1"/>
  <c r="Z263" i="1" s="1"/>
  <c r="D269" i="1"/>
  <c r="P269" i="1"/>
  <c r="Q269" i="1"/>
  <c r="N298" i="1"/>
  <c r="O298" i="1" s="1"/>
  <c r="Z298" i="1" s="1"/>
  <c r="J298" i="1"/>
  <c r="Q361" i="1"/>
  <c r="D361" i="1"/>
  <c r="P361" i="1"/>
  <c r="P451" i="1"/>
  <c r="D451" i="1"/>
  <c r="K451" i="1"/>
  <c r="D464" i="1"/>
  <c r="P464" i="1"/>
  <c r="AA23" i="1"/>
  <c r="I7" i="1"/>
  <c r="P12" i="1"/>
  <c r="I28" i="1"/>
  <c r="D34" i="1"/>
  <c r="N38" i="1"/>
  <c r="O38" i="1" s="1"/>
  <c r="Z38" i="1" s="1"/>
  <c r="I39" i="1"/>
  <c r="I50" i="1"/>
  <c r="Q53" i="1"/>
  <c r="D73" i="1"/>
  <c r="D116" i="1"/>
  <c r="D136" i="1"/>
  <c r="D139" i="1"/>
  <c r="T180" i="1"/>
  <c r="V180" i="1" s="1"/>
  <c r="R180" i="1"/>
  <c r="S180" i="1" s="1"/>
  <c r="Q219" i="1"/>
  <c r="D219" i="1"/>
  <c r="L219" i="1" s="1"/>
  <c r="M219" i="1" s="1"/>
  <c r="Q224" i="1"/>
  <c r="P224" i="1"/>
  <c r="Q249" i="1"/>
  <c r="D249" i="1"/>
  <c r="AA260" i="1"/>
  <c r="I260" i="1"/>
  <c r="AA264" i="1"/>
  <c r="Q317" i="1"/>
  <c r="D317" i="1"/>
  <c r="I320" i="1"/>
  <c r="N320" i="1"/>
  <c r="O320" i="1" s="1"/>
  <c r="Z320" i="1" s="1"/>
  <c r="J320" i="1"/>
  <c r="I383" i="1"/>
  <c r="J383" i="1"/>
  <c r="N398" i="1"/>
  <c r="O398" i="1" s="1"/>
  <c r="Z398" i="1" s="1"/>
  <c r="I398" i="1"/>
  <c r="J398" i="1"/>
  <c r="W398" i="1" s="1"/>
  <c r="Y398" i="1" s="1"/>
  <c r="Q421" i="1"/>
  <c r="D421" i="1"/>
  <c r="P421" i="1"/>
  <c r="P444" i="1"/>
  <c r="D444" i="1"/>
  <c r="I464" i="1"/>
  <c r="J464" i="1"/>
  <c r="D199" i="1"/>
  <c r="Q200" i="1"/>
  <c r="J210" i="1"/>
  <c r="R210" i="1" s="1"/>
  <c r="S210" i="1" s="1"/>
  <c r="AA210" i="1"/>
  <c r="I232" i="1"/>
  <c r="N232" i="1"/>
  <c r="O232" i="1" s="1"/>
  <c r="Z232" i="1" s="1"/>
  <c r="AA238" i="1"/>
  <c r="J260" i="1"/>
  <c r="R260" i="1" s="1"/>
  <c r="S260" i="1" s="1"/>
  <c r="N274" i="1"/>
  <c r="O274" i="1" s="1"/>
  <c r="Z274" i="1" s="1"/>
  <c r="P277" i="1"/>
  <c r="D295" i="1"/>
  <c r="P295" i="1"/>
  <c r="N317" i="1"/>
  <c r="O317" i="1" s="1"/>
  <c r="Z317" i="1" s="1"/>
  <c r="AA317" i="1"/>
  <c r="J317" i="1"/>
  <c r="I368" i="1"/>
  <c r="J368" i="1"/>
  <c r="AA368" i="1"/>
  <c r="I392" i="1"/>
  <c r="J392" i="1"/>
  <c r="Q400" i="1"/>
  <c r="P400" i="1"/>
  <c r="N444" i="1"/>
  <c r="O444" i="1" s="1"/>
  <c r="Z444" i="1" s="1"/>
  <c r="J444" i="1"/>
  <c r="T444" i="1" s="1"/>
  <c r="U444" i="1" s="1"/>
  <c r="I444" i="1"/>
  <c r="I480" i="1"/>
  <c r="Q556" i="1"/>
  <c r="D556" i="1"/>
  <c r="P556" i="1"/>
  <c r="W38" i="1"/>
  <c r="Y38" i="1" s="1"/>
  <c r="J97" i="1"/>
  <c r="N111" i="1"/>
  <c r="O111" i="1" s="1"/>
  <c r="Z111" i="1" s="1"/>
  <c r="I115" i="1"/>
  <c r="AA213" i="1"/>
  <c r="J213" i="1"/>
  <c r="R213" i="1" s="1"/>
  <c r="S213" i="1" s="1"/>
  <c r="P232" i="1"/>
  <c r="AA233" i="1"/>
  <c r="AA252" i="1"/>
  <c r="N260" i="1"/>
  <c r="O260" i="1" s="1"/>
  <c r="Z260" i="1" s="1"/>
  <c r="AA263" i="1"/>
  <c r="Q266" i="1"/>
  <c r="P266" i="1"/>
  <c r="Q277" i="1"/>
  <c r="I317" i="1"/>
  <c r="N400" i="1"/>
  <c r="O400" i="1" s="1"/>
  <c r="Z400" i="1" s="1"/>
  <c r="AA400" i="1"/>
  <c r="Q444" i="1"/>
  <c r="P468" i="1"/>
  <c r="D468" i="1"/>
  <c r="L24" i="1"/>
  <c r="M24" i="1" s="1"/>
  <c r="I158" i="1"/>
  <c r="AA158" i="1"/>
  <c r="P184" i="1"/>
  <c r="D184" i="1"/>
  <c r="I19" i="1"/>
  <c r="J19" i="1"/>
  <c r="R19" i="1" s="1"/>
  <c r="S19" i="1" s="1"/>
  <c r="P28" i="1"/>
  <c r="P34" i="1"/>
  <c r="D58" i="1"/>
  <c r="I60" i="1"/>
  <c r="J69" i="1"/>
  <c r="N97" i="1"/>
  <c r="O97" i="1" s="1"/>
  <c r="Z97" i="1" s="1"/>
  <c r="R98" i="1"/>
  <c r="S98" i="1" s="1"/>
  <c r="N99" i="1"/>
  <c r="O99" i="1" s="1"/>
  <c r="Z99" i="1" s="1"/>
  <c r="I124" i="1"/>
  <c r="I128" i="1"/>
  <c r="J136" i="1"/>
  <c r="K136" i="1" s="1"/>
  <c r="Q139" i="1"/>
  <c r="I157" i="1"/>
  <c r="N158" i="1"/>
  <c r="O158" i="1" s="1"/>
  <c r="Z158" i="1" s="1"/>
  <c r="I161" i="1"/>
  <c r="I182" i="1"/>
  <c r="I183" i="1"/>
  <c r="Q184" i="1"/>
  <c r="U190" i="1"/>
  <c r="AA205" i="1"/>
  <c r="P207" i="1"/>
  <c r="P210" i="1"/>
  <c r="L215" i="1"/>
  <c r="M215" i="1" s="1"/>
  <c r="P219" i="1"/>
  <c r="J223" i="1"/>
  <c r="R223" i="1" s="1"/>
  <c r="S223" i="1" s="1"/>
  <c r="N223" i="1"/>
  <c r="O223" i="1" s="1"/>
  <c r="Z223" i="1" s="1"/>
  <c r="J229" i="1"/>
  <c r="L229" i="1" s="1"/>
  <c r="M229" i="1" s="1"/>
  <c r="I229" i="1"/>
  <c r="P249" i="1"/>
  <c r="AA282" i="1"/>
  <c r="Q295" i="1"/>
  <c r="P317" i="1"/>
  <c r="I319" i="1"/>
  <c r="N319" i="1"/>
  <c r="O319" i="1" s="1"/>
  <c r="Z319" i="1" s="1"/>
  <c r="J319" i="1"/>
  <c r="AA320" i="1"/>
  <c r="I363" i="1"/>
  <c r="AA363" i="1"/>
  <c r="J363" i="1"/>
  <c r="J372" i="1"/>
  <c r="T372" i="1" s="1"/>
  <c r="AA372" i="1"/>
  <c r="N389" i="1"/>
  <c r="O389" i="1" s="1"/>
  <c r="Z389" i="1" s="1"/>
  <c r="AA389" i="1"/>
  <c r="AA398" i="1"/>
  <c r="J400" i="1"/>
  <c r="J410" i="1"/>
  <c r="AA410" i="1"/>
  <c r="J491" i="1"/>
  <c r="K491" i="1" s="1"/>
  <c r="I491" i="1"/>
  <c r="AA501" i="1"/>
  <c r="J501" i="1"/>
  <c r="K501" i="1" s="1"/>
  <c r="I501" i="1"/>
  <c r="Q571" i="1"/>
  <c r="D571" i="1"/>
  <c r="P571" i="1"/>
  <c r="I6" i="1"/>
  <c r="J6" i="1"/>
  <c r="T6" i="1" s="1"/>
  <c r="V6" i="1" s="1"/>
  <c r="AA9" i="1"/>
  <c r="D21" i="1"/>
  <c r="Q28" i="1"/>
  <c r="AA37" i="1"/>
  <c r="AA38" i="1"/>
  <c r="L48" i="1"/>
  <c r="M48" i="1" s="1"/>
  <c r="P65" i="1"/>
  <c r="K67" i="1"/>
  <c r="N69" i="1"/>
  <c r="O69" i="1" s="1"/>
  <c r="Z69" i="1" s="1"/>
  <c r="T98" i="1"/>
  <c r="P99" i="1"/>
  <c r="D104" i="1"/>
  <c r="K115" i="1"/>
  <c r="J124" i="1"/>
  <c r="R124" i="1" s="1"/>
  <c r="S124" i="1" s="1"/>
  <c r="J128" i="1"/>
  <c r="J157" i="1"/>
  <c r="P158" i="1"/>
  <c r="J161" i="1"/>
  <c r="J182" i="1"/>
  <c r="J183" i="1"/>
  <c r="W183" i="1" s="1"/>
  <c r="Y183" i="1" s="1"/>
  <c r="N189" i="1"/>
  <c r="O189" i="1" s="1"/>
  <c r="Z189" i="1" s="1"/>
  <c r="AA189" i="1"/>
  <c r="P199" i="1"/>
  <c r="Q204" i="1"/>
  <c r="P204" i="1"/>
  <c r="K221" i="1"/>
  <c r="J248" i="1"/>
  <c r="R248" i="1" s="1"/>
  <c r="S248" i="1" s="1"/>
  <c r="N248" i="1"/>
  <c r="O248" i="1" s="1"/>
  <c r="Z248" i="1" s="1"/>
  <c r="D338" i="1"/>
  <c r="P338" i="1"/>
  <c r="I367" i="1"/>
  <c r="N367" i="1"/>
  <c r="O367" i="1" s="1"/>
  <c r="Z367" i="1" s="1"/>
  <c r="J367" i="1"/>
  <c r="L367" i="1" s="1"/>
  <c r="M367" i="1" s="1"/>
  <c r="D384" i="1"/>
  <c r="Q384" i="1"/>
  <c r="I394" i="1"/>
  <c r="AA394" i="1"/>
  <c r="J394" i="1"/>
  <c r="D436" i="1"/>
  <c r="Q436" i="1"/>
  <c r="R470" i="1"/>
  <c r="S470" i="1" s="1"/>
  <c r="T470" i="1"/>
  <c r="V470" i="1" s="1"/>
  <c r="T493" i="1"/>
  <c r="U493" i="1" s="1"/>
  <c r="R493" i="1"/>
  <c r="S493" i="1" s="1"/>
  <c r="W493" i="1"/>
  <c r="Y493" i="1" s="1"/>
  <c r="D578" i="1"/>
  <c r="Q578" i="1"/>
  <c r="I69" i="1"/>
  <c r="AA3" i="1"/>
  <c r="AA50" i="1"/>
  <c r="Q55" i="1"/>
  <c r="D78" i="1"/>
  <c r="L78" i="1" s="1"/>
  <c r="M78" i="1" s="1"/>
  <c r="P115" i="1"/>
  <c r="N121" i="1"/>
  <c r="O121" i="1" s="1"/>
  <c r="Z121" i="1" s="1"/>
  <c r="N124" i="1"/>
  <c r="O124" i="1" s="1"/>
  <c r="Z124" i="1" s="1"/>
  <c r="P128" i="1"/>
  <c r="P129" i="1"/>
  <c r="Q136" i="1"/>
  <c r="R148" i="1"/>
  <c r="S148" i="1" s="1"/>
  <c r="T148" i="1"/>
  <c r="V148" i="1" s="1"/>
  <c r="I153" i="1"/>
  <c r="N157" i="1"/>
  <c r="O157" i="1" s="1"/>
  <c r="Z157" i="1" s="1"/>
  <c r="D172" i="1"/>
  <c r="N183" i="1"/>
  <c r="O183" i="1" s="1"/>
  <c r="Z183" i="1" s="1"/>
  <c r="I221" i="1"/>
  <c r="N221" i="1"/>
  <c r="O221" i="1" s="1"/>
  <c r="Z221" i="1" s="1"/>
  <c r="Q223" i="1"/>
  <c r="Q234" i="1"/>
  <c r="D234" i="1"/>
  <c r="I248" i="1"/>
  <c r="Q253" i="1"/>
  <c r="P253" i="1"/>
  <c r="D256" i="1"/>
  <c r="J290" i="1"/>
  <c r="W290" i="1" s="1"/>
  <c r="Y290" i="1" s="1"/>
  <c r="N290" i="1"/>
  <c r="O290" i="1" s="1"/>
  <c r="Z290" i="1" s="1"/>
  <c r="D294" i="1"/>
  <c r="Q301" i="1"/>
  <c r="D301" i="1"/>
  <c r="D353" i="1"/>
  <c r="P353" i="1"/>
  <c r="N394" i="1"/>
  <c r="O394" i="1" s="1"/>
  <c r="Z394" i="1" s="1"/>
  <c r="P407" i="1"/>
  <c r="D407" i="1"/>
  <c r="J436" i="1"/>
  <c r="K436" i="1" s="1"/>
  <c r="N436" i="1"/>
  <c r="O436" i="1" s="1"/>
  <c r="Z436" i="1" s="1"/>
  <c r="Q441" i="1"/>
  <c r="P441" i="1"/>
  <c r="P114" i="1"/>
  <c r="Q128" i="1"/>
  <c r="J228" i="1"/>
  <c r="T228" i="1" s="1"/>
  <c r="AA228" i="1"/>
  <c r="N243" i="1"/>
  <c r="O243" i="1" s="1"/>
  <c r="Z243" i="1" s="1"/>
  <c r="I243" i="1"/>
  <c r="I272" i="1"/>
  <c r="AA272" i="1"/>
  <c r="N407" i="1"/>
  <c r="O407" i="1" s="1"/>
  <c r="Z407" i="1" s="1"/>
  <c r="AA407" i="1"/>
  <c r="J407" i="1"/>
  <c r="T407" i="1" s="1"/>
  <c r="P436" i="1"/>
  <c r="J486" i="1"/>
  <c r="T486" i="1" s="1"/>
  <c r="U486" i="1" s="1"/>
  <c r="AA486" i="1"/>
  <c r="I486" i="1"/>
  <c r="D488" i="1"/>
  <c r="P488" i="1"/>
  <c r="Q321" i="1"/>
  <c r="D321" i="1"/>
  <c r="L321" i="1" s="1"/>
  <c r="M321" i="1" s="1"/>
  <c r="P321" i="1"/>
  <c r="AA335" i="1"/>
  <c r="N335" i="1"/>
  <c r="O335" i="1" s="1"/>
  <c r="Z335" i="1" s="1"/>
  <c r="D342" i="1"/>
  <c r="Q342" i="1"/>
  <c r="Q381" i="1"/>
  <c r="P381" i="1"/>
  <c r="N5" i="1"/>
  <c r="O5" i="1" s="1"/>
  <c r="Z5" i="1" s="1"/>
  <c r="D12" i="1"/>
  <c r="I13" i="1"/>
  <c r="AA33" i="1"/>
  <c r="D39" i="1"/>
  <c r="N48" i="1"/>
  <c r="O48" i="1" s="1"/>
  <c r="Z48" i="1" s="1"/>
  <c r="N54" i="1"/>
  <c r="O54" i="1" s="1"/>
  <c r="Z54" i="1" s="1"/>
  <c r="I64" i="1"/>
  <c r="N67" i="1"/>
  <c r="O67" i="1" s="1"/>
  <c r="Z67" i="1" s="1"/>
  <c r="Q75" i="1"/>
  <c r="J83" i="1"/>
  <c r="R83" i="1" s="1"/>
  <c r="S83" i="1" s="1"/>
  <c r="I84" i="1"/>
  <c r="K98" i="1"/>
  <c r="J104" i="1"/>
  <c r="W104" i="1" s="1"/>
  <c r="Y104" i="1" s="1"/>
  <c r="K117" i="1"/>
  <c r="N131" i="1"/>
  <c r="O131" i="1" s="1"/>
  <c r="Z131" i="1" s="1"/>
  <c r="D134" i="1"/>
  <c r="AA136" i="1"/>
  <c r="D140" i="1"/>
  <c r="D185" i="1"/>
  <c r="L185" i="1" s="1"/>
  <c r="M185" i="1" s="1"/>
  <c r="J186" i="1"/>
  <c r="W186" i="1" s="1"/>
  <c r="Y186" i="1" s="1"/>
  <c r="I186" i="1"/>
  <c r="I217" i="1"/>
  <c r="AA217" i="1"/>
  <c r="Q221" i="1"/>
  <c r="J225" i="1"/>
  <c r="L225" i="1" s="1"/>
  <c r="M225" i="1" s="1"/>
  <c r="I225" i="1"/>
  <c r="N228" i="1"/>
  <c r="O228" i="1" s="1"/>
  <c r="Z228" i="1" s="1"/>
  <c r="I238" i="1"/>
  <c r="D247" i="1"/>
  <c r="J253" i="1"/>
  <c r="W253" i="1" s="1"/>
  <c r="Y253" i="1" s="1"/>
  <c r="J264" i="1"/>
  <c r="J272" i="1"/>
  <c r="T272" i="1" s="1"/>
  <c r="U272" i="1" s="1"/>
  <c r="P301" i="1"/>
  <c r="K312" i="1"/>
  <c r="Q312" i="1"/>
  <c r="D312" i="1"/>
  <c r="L312" i="1" s="1"/>
  <c r="M312" i="1" s="1"/>
  <c r="N313" i="1"/>
  <c r="O313" i="1" s="1"/>
  <c r="Z313" i="1" s="1"/>
  <c r="I335" i="1"/>
  <c r="AA367" i="1"/>
  <c r="I407" i="1"/>
  <c r="AA447" i="1"/>
  <c r="I447" i="1"/>
  <c r="L50" i="1"/>
  <c r="M50" i="1" s="1"/>
  <c r="R67" i="1"/>
  <c r="S67" i="1" s="1"/>
  <c r="Q80" i="1"/>
  <c r="J84" i="1"/>
  <c r="T84" i="1" s="1"/>
  <c r="V84" i="1" s="1"/>
  <c r="D89" i="1"/>
  <c r="L89" i="1" s="1"/>
  <c r="M89" i="1" s="1"/>
  <c r="D95" i="1"/>
  <c r="D99" i="1"/>
  <c r="L99" i="1" s="1"/>
  <c r="M99" i="1" s="1"/>
  <c r="D100" i="1"/>
  <c r="P104" i="1"/>
  <c r="D119" i="1"/>
  <c r="D126" i="1"/>
  <c r="AA128" i="1"/>
  <c r="D133" i="1"/>
  <c r="L162" i="1"/>
  <c r="M162" i="1" s="1"/>
  <c r="Q172" i="1"/>
  <c r="P175" i="1"/>
  <c r="D200" i="1"/>
  <c r="AA212" i="1"/>
  <c r="R221" i="1"/>
  <c r="S221" i="1" s="1"/>
  <c r="D227" i="1"/>
  <c r="L227" i="1" s="1"/>
  <c r="M227" i="1" s="1"/>
  <c r="J238" i="1"/>
  <c r="W238" i="1" s="1"/>
  <c r="Y238" i="1" s="1"/>
  <c r="I258" i="1"/>
  <c r="AA258" i="1"/>
  <c r="N264" i="1"/>
  <c r="O264" i="1" s="1"/>
  <c r="Z264" i="1" s="1"/>
  <c r="N272" i="1"/>
  <c r="O272" i="1" s="1"/>
  <c r="Z272" i="1" s="1"/>
  <c r="D287" i="1"/>
  <c r="I312" i="1"/>
  <c r="AA312" i="1"/>
  <c r="N312" i="1"/>
  <c r="O312" i="1" s="1"/>
  <c r="Z312" i="1" s="1"/>
  <c r="D326" i="1"/>
  <c r="L326" i="1" s="1"/>
  <c r="M326" i="1" s="1"/>
  <c r="D329" i="1"/>
  <c r="Q353" i="1"/>
  <c r="D401" i="1"/>
  <c r="AA436" i="1"/>
  <c r="J483" i="1"/>
  <c r="T483" i="1" s="1"/>
  <c r="N483" i="1"/>
  <c r="O483" i="1" s="1"/>
  <c r="Z483" i="1" s="1"/>
  <c r="AA539" i="1"/>
  <c r="N539" i="1"/>
  <c r="O539" i="1" s="1"/>
  <c r="Z539" i="1" s="1"/>
  <c r="N216" i="1"/>
  <c r="O216" i="1" s="1"/>
  <c r="Z216" i="1" s="1"/>
  <c r="I220" i="1"/>
  <c r="AA231" i="1"/>
  <c r="L258" i="1"/>
  <c r="M258" i="1" s="1"/>
  <c r="K274" i="1"/>
  <c r="I307" i="1"/>
  <c r="D314" i="1"/>
  <c r="I315" i="1"/>
  <c r="J330" i="1"/>
  <c r="D332" i="1"/>
  <c r="R333" i="1"/>
  <c r="S333" i="1" s="1"/>
  <c r="Q354" i="1"/>
  <c r="D358" i="1"/>
  <c r="D364" i="1"/>
  <c r="I376" i="1"/>
  <c r="AA409" i="1"/>
  <c r="D460" i="1"/>
  <c r="R466" i="1"/>
  <c r="S466" i="1" s="1"/>
  <c r="N470" i="1"/>
  <c r="O470" i="1" s="1"/>
  <c r="Z470" i="1" s="1"/>
  <c r="J471" i="1"/>
  <c r="R471" i="1" s="1"/>
  <c r="S471" i="1" s="1"/>
  <c r="Q472" i="1"/>
  <c r="N488" i="1"/>
  <c r="O488" i="1" s="1"/>
  <c r="Z488" i="1" s="1"/>
  <c r="N492" i="1"/>
  <c r="O492" i="1" s="1"/>
  <c r="Z492" i="1" s="1"/>
  <c r="J499" i="1"/>
  <c r="W499" i="1" s="1"/>
  <c r="Y499" i="1" s="1"/>
  <c r="AA500" i="1"/>
  <c r="P501" i="1"/>
  <c r="AA519" i="1"/>
  <c r="AA523" i="1"/>
  <c r="AA530" i="1"/>
  <c r="I547" i="1"/>
  <c r="I550" i="1"/>
  <c r="N555" i="1"/>
  <c r="O555" i="1" s="1"/>
  <c r="Z555" i="1" s="1"/>
  <c r="P559" i="1"/>
  <c r="D577" i="1"/>
  <c r="P589" i="1"/>
  <c r="P616" i="1"/>
  <c r="AA377" i="1"/>
  <c r="AA432" i="1"/>
  <c r="W466" i="1"/>
  <c r="Y466" i="1" s="1"/>
  <c r="Q470" i="1"/>
  <c r="AA473" i="1"/>
  <c r="AA475" i="1"/>
  <c r="D546" i="1"/>
  <c r="D549" i="1"/>
  <c r="D580" i="1"/>
  <c r="Q589" i="1"/>
  <c r="D601" i="1"/>
  <c r="W604" i="1"/>
  <c r="Y604" i="1" s="1"/>
  <c r="D529" i="1"/>
  <c r="D530" i="1"/>
  <c r="L530" i="1" s="1"/>
  <c r="M530" i="1" s="1"/>
  <c r="P621" i="1"/>
  <c r="D623" i="1"/>
  <c r="D534" i="1"/>
  <c r="D540" i="1"/>
  <c r="D545" i="1"/>
  <c r="D565" i="1"/>
  <c r="D603" i="1"/>
  <c r="J634" i="1"/>
  <c r="T634" i="1" s="1"/>
  <c r="V634" i="1" s="1"/>
  <c r="K245" i="1"/>
  <c r="D371" i="1"/>
  <c r="D416" i="1"/>
  <c r="Q429" i="1"/>
  <c r="K466" i="1"/>
  <c r="D470" i="1"/>
  <c r="AA470" i="1"/>
  <c r="N506" i="1"/>
  <c r="O506" i="1" s="1"/>
  <c r="Z506" i="1" s="1"/>
  <c r="J509" i="1"/>
  <c r="R509" i="1" s="1"/>
  <c r="S509" i="1" s="1"/>
  <c r="I519" i="1"/>
  <c r="P520" i="1"/>
  <c r="I524" i="1"/>
  <c r="J525" i="1"/>
  <c r="W525" i="1" s="1"/>
  <c r="Y525" i="1" s="1"/>
  <c r="J529" i="1"/>
  <c r="W529" i="1" s="1"/>
  <c r="Y529" i="1" s="1"/>
  <c r="I530" i="1"/>
  <c r="I531" i="1"/>
  <c r="Q582" i="1"/>
  <c r="L584" i="1"/>
  <c r="M584" i="1" s="1"/>
  <c r="I596" i="1"/>
  <c r="J614" i="1"/>
  <c r="P623" i="1"/>
  <c r="J626" i="1"/>
  <c r="T626" i="1" s="1"/>
  <c r="L383" i="1"/>
  <c r="M383" i="1" s="1"/>
  <c r="L394" i="1"/>
  <c r="M394" i="1" s="1"/>
  <c r="J519" i="1"/>
  <c r="J524" i="1"/>
  <c r="L524" i="1" s="1"/>
  <c r="M524" i="1" s="1"/>
  <c r="N525" i="1"/>
  <c r="O525" i="1" s="1"/>
  <c r="Z525" i="1" s="1"/>
  <c r="P529" i="1"/>
  <c r="N530" i="1"/>
  <c r="O530" i="1" s="1"/>
  <c r="Z530" i="1" s="1"/>
  <c r="P545" i="1"/>
  <c r="I565" i="1"/>
  <c r="Q576" i="1"/>
  <c r="J579" i="1"/>
  <c r="W579" i="1" s="1"/>
  <c r="Y579" i="1" s="1"/>
  <c r="AA585" i="1"/>
  <c r="AA611" i="1"/>
  <c r="I377" i="1"/>
  <c r="J378" i="1"/>
  <c r="R378" i="1" s="1"/>
  <c r="S378" i="1" s="1"/>
  <c r="K383" i="1"/>
  <c r="N409" i="1"/>
  <c r="O409" i="1" s="1"/>
  <c r="Z409" i="1" s="1"/>
  <c r="I432" i="1"/>
  <c r="I435" i="1"/>
  <c r="I466" i="1"/>
  <c r="I475" i="1"/>
  <c r="N479" i="1"/>
  <c r="O479" i="1" s="1"/>
  <c r="Z479" i="1" s="1"/>
  <c r="I516" i="1"/>
  <c r="N524" i="1"/>
  <c r="O524" i="1" s="1"/>
  <c r="Z524" i="1" s="1"/>
  <c r="P530" i="1"/>
  <c r="P531" i="1"/>
  <c r="P534" i="1"/>
  <c r="AA608" i="1"/>
  <c r="AA626" i="1"/>
  <c r="P637" i="1"/>
  <c r="K203" i="1"/>
  <c r="L244" i="1"/>
  <c r="M244" i="1" s="1"/>
  <c r="Q337" i="1"/>
  <c r="P354" i="1"/>
  <c r="D373" i="1"/>
  <c r="L373" i="1" s="1"/>
  <c r="M373" i="1" s="1"/>
  <c r="AA412" i="1"/>
  <c r="P454" i="1"/>
  <c r="P466" i="1"/>
  <c r="P475" i="1"/>
  <c r="AA476" i="1"/>
  <c r="Q478" i="1"/>
  <c r="J492" i="1"/>
  <c r="R492" i="1" s="1"/>
  <c r="S492" i="1" s="1"/>
  <c r="P516" i="1"/>
  <c r="K521" i="1"/>
  <c r="P544" i="1"/>
  <c r="J555" i="1"/>
  <c r="T555" i="1" s="1"/>
  <c r="U555" i="1" s="1"/>
  <c r="D573" i="1"/>
  <c r="J574" i="1"/>
  <c r="L574" i="1" s="1"/>
  <c r="M574" i="1" s="1"/>
  <c r="P575" i="1"/>
  <c r="D612" i="1"/>
  <c r="I616" i="1"/>
  <c r="J636" i="1"/>
  <c r="R636" i="1" s="1"/>
  <c r="S636" i="1" s="1"/>
  <c r="W94" i="1"/>
  <c r="Y94" i="1" s="1"/>
  <c r="T94" i="1"/>
  <c r="U94" i="1" s="1"/>
  <c r="AA129" i="1"/>
  <c r="N129" i="1"/>
  <c r="O129" i="1" s="1"/>
  <c r="Z129" i="1" s="1"/>
  <c r="I129" i="1"/>
  <c r="I172" i="1"/>
  <c r="J172" i="1"/>
  <c r="T172" i="1" s="1"/>
  <c r="AA172" i="1"/>
  <c r="N172" i="1"/>
  <c r="O172" i="1" s="1"/>
  <c r="Z172" i="1" s="1"/>
  <c r="I188" i="1"/>
  <c r="AA188" i="1"/>
  <c r="N188" i="1"/>
  <c r="O188" i="1" s="1"/>
  <c r="Z188" i="1" s="1"/>
  <c r="J188" i="1"/>
  <c r="K188" i="1" s="1"/>
  <c r="L208" i="1"/>
  <c r="M208" i="1" s="1"/>
  <c r="T222" i="1"/>
  <c r="R222" i="1"/>
  <c r="S222" i="1" s="1"/>
  <c r="V191" i="1"/>
  <c r="U191" i="1"/>
  <c r="R208" i="1"/>
  <c r="S208" i="1" s="1"/>
  <c r="T208" i="1"/>
  <c r="V208" i="1" s="1"/>
  <c r="Q64" i="1"/>
  <c r="P64" i="1"/>
  <c r="I65" i="1"/>
  <c r="AA79" i="1"/>
  <c r="N79" i="1"/>
  <c r="O79" i="1" s="1"/>
  <c r="Z79" i="1" s="1"/>
  <c r="I79" i="1"/>
  <c r="AA96" i="1"/>
  <c r="N96" i="1"/>
  <c r="O96" i="1" s="1"/>
  <c r="Z96" i="1" s="1"/>
  <c r="J102" i="1"/>
  <c r="R102" i="1" s="1"/>
  <c r="S102" i="1" s="1"/>
  <c r="U115" i="1"/>
  <c r="N143" i="1"/>
  <c r="O143" i="1" s="1"/>
  <c r="Z143" i="1" s="1"/>
  <c r="J143" i="1"/>
  <c r="T143" i="1" s="1"/>
  <c r="V143" i="1" s="1"/>
  <c r="I143" i="1"/>
  <c r="K5" i="1"/>
  <c r="J10" i="1"/>
  <c r="T10" i="1" s="1"/>
  <c r="J15" i="1"/>
  <c r="I16" i="1"/>
  <c r="J17" i="1"/>
  <c r="R17" i="1" s="1"/>
  <c r="S17" i="1" s="1"/>
  <c r="N19" i="1"/>
  <c r="O19" i="1" s="1"/>
  <c r="Z19" i="1" s="1"/>
  <c r="D26" i="1"/>
  <c r="N27" i="1"/>
  <c r="O27" i="1" s="1"/>
  <c r="Z27" i="1" s="1"/>
  <c r="J29" i="1"/>
  <c r="K42" i="1"/>
  <c r="D43" i="1"/>
  <c r="L43" i="1" s="1"/>
  <c r="M43" i="1" s="1"/>
  <c r="AA44" i="1"/>
  <c r="N44" i="1"/>
  <c r="O44" i="1" s="1"/>
  <c r="Z44" i="1" s="1"/>
  <c r="AA64" i="1"/>
  <c r="N64" i="1"/>
  <c r="O64" i="1" s="1"/>
  <c r="Z64" i="1" s="1"/>
  <c r="Q69" i="1"/>
  <c r="D69" i="1"/>
  <c r="L69" i="1" s="1"/>
  <c r="M69" i="1" s="1"/>
  <c r="J79" i="1"/>
  <c r="W79" i="1" s="1"/>
  <c r="Y79" i="1" s="1"/>
  <c r="D101" i="1"/>
  <c r="P150" i="1"/>
  <c r="D150" i="1"/>
  <c r="Q150" i="1"/>
  <c r="Q157" i="1"/>
  <c r="D157" i="1"/>
  <c r="K159" i="1"/>
  <c r="W159" i="1"/>
  <c r="Y159" i="1" s="1"/>
  <c r="R177" i="1"/>
  <c r="S177" i="1" s="1"/>
  <c r="W177" i="1"/>
  <c r="Y177" i="1" s="1"/>
  <c r="R193" i="1"/>
  <c r="S193" i="1" s="1"/>
  <c r="T193" i="1"/>
  <c r="T214" i="1"/>
  <c r="V214" i="1" s="1"/>
  <c r="R214" i="1"/>
  <c r="S214" i="1" s="1"/>
  <c r="W214" i="1"/>
  <c r="Y214" i="1" s="1"/>
  <c r="K214" i="1"/>
  <c r="W318" i="1"/>
  <c r="Y318" i="1" s="1"/>
  <c r="R318" i="1"/>
  <c r="S318" i="1" s="1"/>
  <c r="T318" i="1"/>
  <c r="V318" i="1" s="1"/>
  <c r="J113" i="1"/>
  <c r="W113" i="1" s="1"/>
  <c r="Y113" i="1" s="1"/>
  <c r="N113" i="1"/>
  <c r="O113" i="1" s="1"/>
  <c r="Z113" i="1" s="1"/>
  <c r="I113" i="1"/>
  <c r="R5" i="1"/>
  <c r="S5" i="1" s="1"/>
  <c r="W5" i="1"/>
  <c r="Y5" i="1" s="1"/>
  <c r="I15" i="1"/>
  <c r="N10" i="1"/>
  <c r="O10" i="1" s="1"/>
  <c r="Z10" i="1" s="1"/>
  <c r="J16" i="1"/>
  <c r="W16" i="1" s="1"/>
  <c r="Y16" i="1" s="1"/>
  <c r="N29" i="1"/>
  <c r="O29" i="1" s="1"/>
  <c r="Z29" i="1" s="1"/>
  <c r="T129" i="1"/>
  <c r="V129" i="1" s="1"/>
  <c r="AA6" i="1"/>
  <c r="AA7" i="1"/>
  <c r="N15" i="1"/>
  <c r="O15" i="1" s="1"/>
  <c r="Z15" i="1" s="1"/>
  <c r="N17" i="1"/>
  <c r="O17" i="1" s="1"/>
  <c r="Z17" i="1" s="1"/>
  <c r="I18" i="1"/>
  <c r="AA22" i="1"/>
  <c r="J30" i="1"/>
  <c r="R30" i="1" s="1"/>
  <c r="S30" i="1" s="1"/>
  <c r="I42" i="1"/>
  <c r="J44" i="1"/>
  <c r="L44" i="1" s="1"/>
  <c r="M44" i="1" s="1"/>
  <c r="P46" i="1"/>
  <c r="J49" i="1"/>
  <c r="K49" i="1" s="1"/>
  <c r="I63" i="1"/>
  <c r="AA74" i="1"/>
  <c r="N74" i="1"/>
  <c r="O74" i="1" s="1"/>
  <c r="Z74" i="1" s="1"/>
  <c r="AA77" i="1"/>
  <c r="J77" i="1"/>
  <c r="T77" i="1" s="1"/>
  <c r="Q90" i="1"/>
  <c r="D90" i="1"/>
  <c r="L90" i="1" s="1"/>
  <c r="M90" i="1" s="1"/>
  <c r="I94" i="1"/>
  <c r="AA143" i="1"/>
  <c r="Q152" i="1"/>
  <c r="D152" i="1"/>
  <c r="L152" i="1" s="1"/>
  <c r="M152" i="1" s="1"/>
  <c r="K180" i="1"/>
  <c r="D180" i="1"/>
  <c r="L180" i="1" s="1"/>
  <c r="M180" i="1" s="1"/>
  <c r="Q180" i="1"/>
  <c r="P180" i="1"/>
  <c r="I218" i="1"/>
  <c r="AA218" i="1"/>
  <c r="N218" i="1"/>
  <c r="O218" i="1" s="1"/>
  <c r="Z218" i="1" s="1"/>
  <c r="J218" i="1"/>
  <c r="R218" i="1" s="1"/>
  <c r="S218" i="1" s="1"/>
  <c r="AA78" i="1"/>
  <c r="N78" i="1"/>
  <c r="O78" i="1" s="1"/>
  <c r="Z78" i="1" s="1"/>
  <c r="I78" i="1"/>
  <c r="P79" i="1"/>
  <c r="I34" i="1"/>
  <c r="AA4" i="1"/>
  <c r="AA16" i="1"/>
  <c r="AA24" i="1"/>
  <c r="I24" i="1"/>
  <c r="Q26" i="1"/>
  <c r="I33" i="1"/>
  <c r="J34" i="1"/>
  <c r="T34" i="1" s="1"/>
  <c r="N35" i="1"/>
  <c r="O35" i="1" s="1"/>
  <c r="Z35" i="1" s="1"/>
  <c r="AA35" i="1"/>
  <c r="N42" i="1"/>
  <c r="O42" i="1" s="1"/>
  <c r="Z42" i="1" s="1"/>
  <c r="R43" i="1"/>
  <c r="S43" i="1" s="1"/>
  <c r="I52" i="1"/>
  <c r="Q54" i="1"/>
  <c r="D54" i="1"/>
  <c r="L54" i="1" s="1"/>
  <c r="M54" i="1" s="1"/>
  <c r="D55" i="1"/>
  <c r="P59" i="1"/>
  <c r="I62" i="1"/>
  <c r="J63" i="1"/>
  <c r="R63" i="1" s="1"/>
  <c r="S63" i="1" s="1"/>
  <c r="P71" i="1"/>
  <c r="I74" i="1"/>
  <c r="I77" i="1"/>
  <c r="AA93" i="1"/>
  <c r="N93" i="1"/>
  <c r="O93" i="1" s="1"/>
  <c r="Z93" i="1" s="1"/>
  <c r="P95" i="1"/>
  <c r="P101" i="1"/>
  <c r="W117" i="1"/>
  <c r="Y117" i="1" s="1"/>
  <c r="T152" i="1"/>
  <c r="U152" i="1" s="1"/>
  <c r="W152" i="1"/>
  <c r="Y152" i="1" s="1"/>
  <c r="Q170" i="1"/>
  <c r="D170" i="1"/>
  <c r="L170" i="1" s="1"/>
  <c r="M170" i="1" s="1"/>
  <c r="K170" i="1"/>
  <c r="Q173" i="1"/>
  <c r="D173" i="1"/>
  <c r="L173" i="1" s="1"/>
  <c r="M173" i="1" s="1"/>
  <c r="P173" i="1"/>
  <c r="AA10" i="1"/>
  <c r="AA21" i="1"/>
  <c r="N21" i="1"/>
  <c r="O21" i="1" s="1"/>
  <c r="Z21" i="1" s="1"/>
  <c r="R42" i="1"/>
  <c r="S42" i="1" s="1"/>
  <c r="P44" i="1"/>
  <c r="K50" i="1"/>
  <c r="J62" i="1"/>
  <c r="T62" i="1" s="1"/>
  <c r="N63" i="1"/>
  <c r="O63" i="1" s="1"/>
  <c r="Z63" i="1" s="1"/>
  <c r="K69" i="1"/>
  <c r="J74" i="1"/>
  <c r="L74" i="1" s="1"/>
  <c r="M74" i="1" s="1"/>
  <c r="N77" i="1"/>
  <c r="O77" i="1" s="1"/>
  <c r="Z77" i="1" s="1"/>
  <c r="N142" i="1"/>
  <c r="O142" i="1" s="1"/>
  <c r="Z142" i="1" s="1"/>
  <c r="I142" i="1"/>
  <c r="AA49" i="1"/>
  <c r="I49" i="1"/>
  <c r="Q74" i="1"/>
  <c r="P74" i="1"/>
  <c r="AA94" i="1"/>
  <c r="N94" i="1"/>
  <c r="O94" i="1" s="1"/>
  <c r="Z94" i="1" s="1"/>
  <c r="I3" i="1"/>
  <c r="K24" i="1"/>
  <c r="N34" i="1"/>
  <c r="O34" i="1" s="1"/>
  <c r="Z34" i="1" s="1"/>
  <c r="N41" i="1"/>
  <c r="O41" i="1" s="1"/>
  <c r="Z41" i="1" s="1"/>
  <c r="T42" i="1"/>
  <c r="P49" i="1"/>
  <c r="P50" i="1"/>
  <c r="K52" i="1"/>
  <c r="I53" i="1"/>
  <c r="I54" i="1"/>
  <c r="N62" i="1"/>
  <c r="O62" i="1" s="1"/>
  <c r="Z62" i="1" s="1"/>
  <c r="D80" i="1"/>
  <c r="AA89" i="1"/>
  <c r="I89" i="1"/>
  <c r="T93" i="1"/>
  <c r="V93" i="1" s="1"/>
  <c r="W99" i="1"/>
  <c r="Y99" i="1" s="1"/>
  <c r="T99" i="1"/>
  <c r="Q109" i="1"/>
  <c r="P109" i="1"/>
  <c r="Q124" i="1"/>
  <c r="D124" i="1"/>
  <c r="P124" i="1"/>
  <c r="L133" i="1"/>
  <c r="M133" i="1" s="1"/>
  <c r="I17" i="1"/>
  <c r="Q7" i="1"/>
  <c r="P7" i="1"/>
  <c r="J12" i="1"/>
  <c r="L12" i="1" s="1"/>
  <c r="M12" i="1" s="1"/>
  <c r="N12" i="1"/>
  <c r="O12" i="1" s="1"/>
  <c r="Z12" i="1" s="1"/>
  <c r="Q19" i="1"/>
  <c r="D19" i="1"/>
  <c r="AA30" i="1"/>
  <c r="Q61" i="1"/>
  <c r="P61" i="1"/>
  <c r="Q84" i="1"/>
  <c r="D84" i="1"/>
  <c r="L84" i="1" s="1"/>
  <c r="M84" i="1" s="1"/>
  <c r="J88" i="1"/>
  <c r="I88" i="1"/>
  <c r="AA88" i="1"/>
  <c r="AA109" i="1"/>
  <c r="N109" i="1"/>
  <c r="O109" i="1" s="1"/>
  <c r="Z109" i="1" s="1"/>
  <c r="I109" i="1"/>
  <c r="I138" i="1"/>
  <c r="AA138" i="1"/>
  <c r="J138" i="1"/>
  <c r="Q209" i="1"/>
  <c r="P209" i="1"/>
  <c r="D209" i="1"/>
  <c r="N11" i="1"/>
  <c r="O11" i="1" s="1"/>
  <c r="Z11" i="1" s="1"/>
  <c r="I11" i="1"/>
  <c r="J11" i="1"/>
  <c r="W11" i="1" s="1"/>
  <c r="Y11" i="1" s="1"/>
  <c r="I27" i="1"/>
  <c r="I29" i="1"/>
  <c r="I8" i="1"/>
  <c r="I12" i="1"/>
  <c r="W28" i="1"/>
  <c r="Y28" i="1" s="1"/>
  <c r="T28" i="1"/>
  <c r="V28" i="1" s="1"/>
  <c r="Q29" i="1"/>
  <c r="AA42" i="1"/>
  <c r="R52" i="1"/>
  <c r="S52" i="1" s="1"/>
  <c r="N53" i="1"/>
  <c r="O53" i="1" s="1"/>
  <c r="Z53" i="1" s="1"/>
  <c r="K54" i="1"/>
  <c r="D79" i="1"/>
  <c r="L79" i="1" s="1"/>
  <c r="M79" i="1" s="1"/>
  <c r="N80" i="1"/>
  <c r="O80" i="1" s="1"/>
  <c r="Z80" i="1" s="1"/>
  <c r="I80" i="1"/>
  <c r="N88" i="1"/>
  <c r="O88" i="1" s="1"/>
  <c r="Z88" i="1" s="1"/>
  <c r="N89" i="1"/>
  <c r="O89" i="1" s="1"/>
  <c r="Z89" i="1" s="1"/>
  <c r="D96" i="1"/>
  <c r="J109" i="1"/>
  <c r="K109" i="1" s="1"/>
  <c r="D121" i="1"/>
  <c r="Q121" i="1"/>
  <c r="N138" i="1"/>
  <c r="O138" i="1" s="1"/>
  <c r="Z138" i="1" s="1"/>
  <c r="N151" i="1"/>
  <c r="O151" i="1" s="1"/>
  <c r="Z151" i="1" s="1"/>
  <c r="I151" i="1"/>
  <c r="AA151" i="1"/>
  <c r="J151" i="1"/>
  <c r="W151" i="1" s="1"/>
  <c r="Y151" i="1" s="1"/>
  <c r="AA131" i="1"/>
  <c r="D135" i="1"/>
  <c r="I150" i="1"/>
  <c r="I152" i="1"/>
  <c r="K168" i="1"/>
  <c r="AA181" i="1"/>
  <c r="P182" i="1"/>
  <c r="W185" i="1"/>
  <c r="Y185" i="1" s="1"/>
  <c r="T203" i="1"/>
  <c r="P208" i="1"/>
  <c r="P217" i="1"/>
  <c r="T264" i="1"/>
  <c r="W264" i="1"/>
  <c r="Y264" i="1" s="1"/>
  <c r="Q276" i="1"/>
  <c r="D276" i="1"/>
  <c r="J299" i="1"/>
  <c r="K299" i="1" s="1"/>
  <c r="AA299" i="1"/>
  <c r="I299" i="1"/>
  <c r="AA309" i="1"/>
  <c r="J309" i="1"/>
  <c r="T309" i="1" s="1"/>
  <c r="N309" i="1"/>
  <c r="O309" i="1" s="1"/>
  <c r="Z309" i="1" s="1"/>
  <c r="U326" i="1"/>
  <c r="V326" i="1"/>
  <c r="AA381" i="1"/>
  <c r="N381" i="1"/>
  <c r="O381" i="1" s="1"/>
  <c r="Z381" i="1" s="1"/>
  <c r="J381" i="1"/>
  <c r="T381" i="1" s="1"/>
  <c r="I381" i="1"/>
  <c r="R115" i="1"/>
  <c r="S115" i="1" s="1"/>
  <c r="I123" i="1"/>
  <c r="P167" i="1"/>
  <c r="I169" i="1"/>
  <c r="N170" i="1"/>
  <c r="O170" i="1" s="1"/>
  <c r="Z170" i="1" s="1"/>
  <c r="P174" i="1"/>
  <c r="N180" i="1"/>
  <c r="O180" i="1" s="1"/>
  <c r="Z180" i="1" s="1"/>
  <c r="Q182" i="1"/>
  <c r="I185" i="1"/>
  <c r="N186" i="1"/>
  <c r="O186" i="1" s="1"/>
  <c r="Z186" i="1" s="1"/>
  <c r="I191" i="1"/>
  <c r="T194" i="1"/>
  <c r="W194" i="1"/>
  <c r="Y194" i="1" s="1"/>
  <c r="AA198" i="1"/>
  <c r="J201" i="1"/>
  <c r="W201" i="1" s="1"/>
  <c r="Y201" i="1" s="1"/>
  <c r="D203" i="1"/>
  <c r="L203" i="1" s="1"/>
  <c r="M203" i="1" s="1"/>
  <c r="I213" i="1"/>
  <c r="R217" i="1"/>
  <c r="S217" i="1" s="1"/>
  <c r="N222" i="1"/>
  <c r="O222" i="1" s="1"/>
  <c r="Z222" i="1" s="1"/>
  <c r="AA243" i="1"/>
  <c r="D245" i="1"/>
  <c r="L245" i="1" s="1"/>
  <c r="M245" i="1" s="1"/>
  <c r="D248" i="1"/>
  <c r="K264" i="1"/>
  <c r="D272" i="1"/>
  <c r="D275" i="1"/>
  <c r="Q281" i="1"/>
  <c r="D281" i="1"/>
  <c r="N299" i="1"/>
  <c r="O299" i="1" s="1"/>
  <c r="Z299" i="1" s="1"/>
  <c r="D302" i="1"/>
  <c r="I309" i="1"/>
  <c r="R326" i="1"/>
  <c r="S326" i="1" s="1"/>
  <c r="Q356" i="1"/>
  <c r="Q386" i="1"/>
  <c r="P386" i="1"/>
  <c r="Q420" i="1"/>
  <c r="P420" i="1"/>
  <c r="D420" i="1"/>
  <c r="P239" i="1"/>
  <c r="K258" i="1"/>
  <c r="D260" i="1"/>
  <c r="L260" i="1" s="1"/>
  <c r="M260" i="1" s="1"/>
  <c r="P260" i="1"/>
  <c r="P284" i="1"/>
  <c r="D284" i="1"/>
  <c r="Q316" i="1"/>
  <c r="D316" i="1"/>
  <c r="J325" i="1"/>
  <c r="R325" i="1" s="1"/>
  <c r="S325" i="1" s="1"/>
  <c r="AA325" i="1"/>
  <c r="I325" i="1"/>
  <c r="J329" i="1"/>
  <c r="K329" i="1" s="1"/>
  <c r="N329" i="1"/>
  <c r="O329" i="1" s="1"/>
  <c r="Z329" i="1" s="1"/>
  <c r="I329" i="1"/>
  <c r="K348" i="1"/>
  <c r="P348" i="1"/>
  <c r="Q348" i="1"/>
  <c r="R368" i="1"/>
  <c r="S368" i="1" s="1"/>
  <c r="T368" i="1"/>
  <c r="AA371" i="1"/>
  <c r="N371" i="1"/>
  <c r="O371" i="1" s="1"/>
  <c r="Z371" i="1" s="1"/>
  <c r="I371" i="1"/>
  <c r="J371" i="1"/>
  <c r="J403" i="1"/>
  <c r="K403" i="1" s="1"/>
  <c r="N403" i="1"/>
  <c r="O403" i="1" s="1"/>
  <c r="Z403" i="1" s="1"/>
  <c r="AA403" i="1"/>
  <c r="I403" i="1"/>
  <c r="W413" i="1"/>
  <c r="Y413" i="1" s="1"/>
  <c r="R413" i="1"/>
  <c r="S413" i="1" s="1"/>
  <c r="T413" i="1"/>
  <c r="V413" i="1" s="1"/>
  <c r="AA67" i="1"/>
  <c r="P94" i="1"/>
  <c r="D98" i="1"/>
  <c r="L98" i="1" s="1"/>
  <c r="M98" i="1" s="1"/>
  <c r="J108" i="1"/>
  <c r="R108" i="1" s="1"/>
  <c r="S108" i="1" s="1"/>
  <c r="D111" i="1"/>
  <c r="D115" i="1"/>
  <c r="L115" i="1" s="1"/>
  <c r="M115" i="1" s="1"/>
  <c r="J119" i="1"/>
  <c r="W119" i="1" s="1"/>
  <c r="Y119" i="1" s="1"/>
  <c r="P125" i="1"/>
  <c r="P133" i="1"/>
  <c r="J134" i="1"/>
  <c r="R134" i="1" s="1"/>
  <c r="S134" i="1" s="1"/>
  <c r="N136" i="1"/>
  <c r="O136" i="1" s="1"/>
  <c r="Z136" i="1" s="1"/>
  <c r="D149" i="1"/>
  <c r="L149" i="1" s="1"/>
  <c r="M149" i="1" s="1"/>
  <c r="J153" i="1"/>
  <c r="L153" i="1" s="1"/>
  <c r="M153" i="1" s="1"/>
  <c r="AA153" i="1"/>
  <c r="R155" i="1"/>
  <c r="S155" i="1" s="1"/>
  <c r="J156" i="1"/>
  <c r="K162" i="1"/>
  <c r="Q169" i="1"/>
  <c r="J181" i="1"/>
  <c r="R181" i="1" s="1"/>
  <c r="S181" i="1" s="1"/>
  <c r="W182" i="1"/>
  <c r="Y182" i="1" s="1"/>
  <c r="AA185" i="1"/>
  <c r="Q188" i="1"/>
  <c r="K191" i="1"/>
  <c r="AA203" i="1"/>
  <c r="I203" i="1"/>
  <c r="D210" i="1"/>
  <c r="N213" i="1"/>
  <c r="O213" i="1" s="1"/>
  <c r="Z213" i="1" s="1"/>
  <c r="K215" i="1"/>
  <c r="AA215" i="1"/>
  <c r="D217" i="1"/>
  <c r="L217" i="1" s="1"/>
  <c r="M217" i="1" s="1"/>
  <c r="K219" i="1"/>
  <c r="D224" i="1"/>
  <c r="J226" i="1"/>
  <c r="R226" i="1" s="1"/>
  <c r="S226" i="1" s="1"/>
  <c r="I227" i="1"/>
  <c r="I250" i="1"/>
  <c r="R264" i="1"/>
  <c r="S264" i="1" s="1"/>
  <c r="L273" i="1"/>
  <c r="M273" i="1" s="1"/>
  <c r="P276" i="1"/>
  <c r="I279" i="1"/>
  <c r="AA279" i="1"/>
  <c r="N279" i="1"/>
  <c r="O279" i="1" s="1"/>
  <c r="Z279" i="1" s="1"/>
  <c r="J280" i="1"/>
  <c r="J281" i="1"/>
  <c r="Q287" i="1"/>
  <c r="Q292" i="1"/>
  <c r="W306" i="1"/>
  <c r="Y306" i="1" s="1"/>
  <c r="R321" i="1"/>
  <c r="S321" i="1" s="1"/>
  <c r="N325" i="1"/>
  <c r="O325" i="1" s="1"/>
  <c r="Z325" i="1" s="1"/>
  <c r="T333" i="1"/>
  <c r="U333" i="1" s="1"/>
  <c r="Q336" i="1"/>
  <c r="K336" i="1"/>
  <c r="D336" i="1"/>
  <c r="L336" i="1" s="1"/>
  <c r="M336" i="1" s="1"/>
  <c r="W348" i="1"/>
  <c r="Y348" i="1" s="1"/>
  <c r="T348" i="1"/>
  <c r="V348" i="1" s="1"/>
  <c r="P356" i="1"/>
  <c r="Q376" i="1"/>
  <c r="D376" i="1"/>
  <c r="P376" i="1"/>
  <c r="L378" i="1"/>
  <c r="M378" i="1" s="1"/>
  <c r="Q123" i="1"/>
  <c r="L129" i="1"/>
  <c r="M129" i="1" s="1"/>
  <c r="P168" i="1"/>
  <c r="W190" i="1"/>
  <c r="Y190" i="1" s="1"/>
  <c r="AA193" i="1"/>
  <c r="K208" i="1"/>
  <c r="Q208" i="1"/>
  <c r="L222" i="1"/>
  <c r="M222" i="1" s="1"/>
  <c r="J227" i="1"/>
  <c r="R227" i="1" s="1"/>
  <c r="S227" i="1" s="1"/>
  <c r="D271" i="1"/>
  <c r="P274" i="1"/>
  <c r="P275" i="1"/>
  <c r="J279" i="1"/>
  <c r="W279" i="1" s="1"/>
  <c r="Y279" i="1" s="1"/>
  <c r="N280" i="1"/>
  <c r="O280" i="1" s="1"/>
  <c r="Z280" i="1" s="1"/>
  <c r="I282" i="1"/>
  <c r="D283" i="1"/>
  <c r="L283" i="1" s="1"/>
  <c r="M283" i="1" s="1"/>
  <c r="N284" i="1"/>
  <c r="O284" i="1" s="1"/>
  <c r="Z284" i="1" s="1"/>
  <c r="Q286" i="1"/>
  <c r="D286" i="1"/>
  <c r="Q291" i="1"/>
  <c r="D291" i="1"/>
  <c r="D297" i="1"/>
  <c r="Q302" i="1"/>
  <c r="Q309" i="1"/>
  <c r="D311" i="1"/>
  <c r="J314" i="1"/>
  <c r="N314" i="1"/>
  <c r="O314" i="1" s="1"/>
  <c r="Z314" i="1" s="1"/>
  <c r="AA314" i="1"/>
  <c r="P316" i="1"/>
  <c r="W319" i="1"/>
  <c r="Y319" i="1" s="1"/>
  <c r="V321" i="1"/>
  <c r="P325" i="1"/>
  <c r="R348" i="1"/>
  <c r="S348" i="1" s="1"/>
  <c r="W368" i="1"/>
  <c r="Y368" i="1" s="1"/>
  <c r="J399" i="1"/>
  <c r="T399" i="1" s="1"/>
  <c r="I399" i="1"/>
  <c r="N399" i="1"/>
  <c r="O399" i="1" s="1"/>
  <c r="Z399" i="1" s="1"/>
  <c r="I104" i="1"/>
  <c r="W112" i="1"/>
  <c r="Y112" i="1" s="1"/>
  <c r="I114" i="1"/>
  <c r="P119" i="1"/>
  <c r="J131" i="1"/>
  <c r="P134" i="1"/>
  <c r="D155" i="1"/>
  <c r="L155" i="1" s="1"/>
  <c r="M155" i="1" s="1"/>
  <c r="W155" i="1"/>
  <c r="Y155" i="1" s="1"/>
  <c r="N156" i="1"/>
  <c r="O156" i="1" s="1"/>
  <c r="Z156" i="1" s="1"/>
  <c r="P162" i="1"/>
  <c r="D168" i="1"/>
  <c r="L168" i="1" s="1"/>
  <c r="M168" i="1" s="1"/>
  <c r="AA170" i="1"/>
  <c r="P177" i="1"/>
  <c r="W180" i="1"/>
  <c r="Y180" i="1" s="1"/>
  <c r="N181" i="1"/>
  <c r="O181" i="1" s="1"/>
  <c r="Z181" i="1" s="1"/>
  <c r="N185" i="1"/>
  <c r="O185" i="1" s="1"/>
  <c r="Z185" i="1" s="1"/>
  <c r="K195" i="1"/>
  <c r="I198" i="1"/>
  <c r="D204" i="1"/>
  <c r="D207" i="1"/>
  <c r="I215" i="1"/>
  <c r="W219" i="1"/>
  <c r="Y219" i="1" s="1"/>
  <c r="P220" i="1"/>
  <c r="K225" i="1"/>
  <c r="I228" i="1"/>
  <c r="Q245" i="1"/>
  <c r="D253" i="1"/>
  <c r="P257" i="1"/>
  <c r="J259" i="1"/>
  <c r="K259" i="1" s="1"/>
  <c r="I261" i="1"/>
  <c r="Q274" i="1"/>
  <c r="Q284" i="1"/>
  <c r="N294" i="1"/>
  <c r="O294" i="1" s="1"/>
  <c r="Z294" i="1" s="1"/>
  <c r="AA294" i="1"/>
  <c r="N305" i="1"/>
  <c r="O305" i="1" s="1"/>
  <c r="Z305" i="1" s="1"/>
  <c r="AA305" i="1"/>
  <c r="AA329" i="1"/>
  <c r="D331" i="1"/>
  <c r="L331" i="1" s="1"/>
  <c r="M331" i="1" s="1"/>
  <c r="D341" i="1"/>
  <c r="J342" i="1"/>
  <c r="T342" i="1" s="1"/>
  <c r="N342" i="1"/>
  <c r="O342" i="1" s="1"/>
  <c r="Z342" i="1" s="1"/>
  <c r="AA342" i="1"/>
  <c r="Q351" i="1"/>
  <c r="P351" i="1"/>
  <c r="Q366" i="1"/>
  <c r="D366" i="1"/>
  <c r="P366" i="1"/>
  <c r="AA190" i="1"/>
  <c r="N198" i="1"/>
  <c r="O198" i="1" s="1"/>
  <c r="Z198" i="1" s="1"/>
  <c r="T213" i="1"/>
  <c r="U213" i="1" s="1"/>
  <c r="L218" i="1"/>
  <c r="M218" i="1" s="1"/>
  <c r="Q220" i="1"/>
  <c r="AA222" i="1"/>
  <c r="P225" i="1"/>
  <c r="Q229" i="1"/>
  <c r="P229" i="1"/>
  <c r="Q257" i="1"/>
  <c r="N259" i="1"/>
  <c r="O259" i="1" s="1"/>
  <c r="Z259" i="1" s="1"/>
  <c r="K261" i="1"/>
  <c r="P281" i="1"/>
  <c r="I294" i="1"/>
  <c r="I304" i="1"/>
  <c r="N304" i="1"/>
  <c r="O304" i="1" s="1"/>
  <c r="Z304" i="1" s="1"/>
  <c r="N360" i="1"/>
  <c r="O360" i="1" s="1"/>
  <c r="Z360" i="1" s="1"/>
  <c r="I360" i="1"/>
  <c r="P363" i="1"/>
  <c r="Q363" i="1"/>
  <c r="D363" i="1"/>
  <c r="L363" i="1" s="1"/>
  <c r="M363" i="1" s="1"/>
  <c r="Q395" i="1"/>
  <c r="P395" i="1"/>
  <c r="D395" i="1"/>
  <c r="L395" i="1" s="1"/>
  <c r="M395" i="1" s="1"/>
  <c r="N104" i="1"/>
  <c r="O104" i="1" s="1"/>
  <c r="Z104" i="1" s="1"/>
  <c r="P153" i="1"/>
  <c r="I160" i="1"/>
  <c r="W162" i="1"/>
  <c r="Y162" i="1" s="1"/>
  <c r="I190" i="1"/>
  <c r="I193" i="1"/>
  <c r="R194" i="1"/>
  <c r="S194" i="1" s="1"/>
  <c r="L197" i="1"/>
  <c r="M197" i="1" s="1"/>
  <c r="I202" i="1"/>
  <c r="P203" i="1"/>
  <c r="N215" i="1"/>
  <c r="O215" i="1" s="1"/>
  <c r="Z215" i="1" s="1"/>
  <c r="K217" i="1"/>
  <c r="K218" i="1"/>
  <c r="P223" i="1"/>
  <c r="J243" i="1"/>
  <c r="P244" i="1"/>
  <c r="J247" i="1"/>
  <c r="R247" i="1" s="1"/>
  <c r="S247" i="1" s="1"/>
  <c r="Q248" i="1"/>
  <c r="I252" i="1"/>
  <c r="J254" i="1"/>
  <c r="K254" i="1" s="1"/>
  <c r="Q258" i="1"/>
  <c r="Q260" i="1"/>
  <c r="D270" i="1"/>
  <c r="P271" i="1"/>
  <c r="P272" i="1"/>
  <c r="J304" i="1"/>
  <c r="R304" i="1" s="1"/>
  <c r="S304" i="1" s="1"/>
  <c r="J305" i="1"/>
  <c r="R305" i="1" s="1"/>
  <c r="S305" i="1" s="1"/>
  <c r="P311" i="1"/>
  <c r="L313" i="1"/>
  <c r="M313" i="1" s="1"/>
  <c r="D334" i="1"/>
  <c r="Q357" i="1"/>
  <c r="N382" i="1"/>
  <c r="O382" i="1" s="1"/>
  <c r="Z382" i="1" s="1"/>
  <c r="J382" i="1"/>
  <c r="T382" i="1" s="1"/>
  <c r="V382" i="1" s="1"/>
  <c r="I382" i="1"/>
  <c r="AA382" i="1"/>
  <c r="N402" i="1"/>
  <c r="O402" i="1" s="1"/>
  <c r="Z402" i="1" s="1"/>
  <c r="AA402" i="1"/>
  <c r="I251" i="1"/>
  <c r="AA251" i="1"/>
  <c r="J252" i="1"/>
  <c r="N254" i="1"/>
  <c r="O254" i="1" s="1"/>
  <c r="Z254" i="1" s="1"/>
  <c r="P256" i="1"/>
  <c r="R261" i="1"/>
  <c r="S261" i="1" s="1"/>
  <c r="P267" i="1"/>
  <c r="AA280" i="1"/>
  <c r="P282" i="1"/>
  <c r="Q283" i="1"/>
  <c r="P297" i="1"/>
  <c r="AA300" i="1"/>
  <c r="N300" i="1"/>
  <c r="O300" i="1" s="1"/>
  <c r="Z300" i="1" s="1"/>
  <c r="Q307" i="1"/>
  <c r="D307" i="1"/>
  <c r="L307" i="1" s="1"/>
  <c r="M307" i="1" s="1"/>
  <c r="P315" i="1"/>
  <c r="Q330" i="1"/>
  <c r="P330" i="1"/>
  <c r="P331" i="1"/>
  <c r="N357" i="1"/>
  <c r="O357" i="1" s="1"/>
  <c r="Z357" i="1" s="1"/>
  <c r="J357" i="1"/>
  <c r="T357" i="1" s="1"/>
  <c r="I357" i="1"/>
  <c r="AA357" i="1"/>
  <c r="Q411" i="1"/>
  <c r="P411" i="1"/>
  <c r="D411" i="1"/>
  <c r="D424" i="1"/>
  <c r="Q424" i="1"/>
  <c r="P424" i="1"/>
  <c r="L123" i="1"/>
  <c r="M123" i="1" s="1"/>
  <c r="K155" i="1"/>
  <c r="Q175" i="1"/>
  <c r="V185" i="1"/>
  <c r="N190" i="1"/>
  <c r="O190" i="1" s="1"/>
  <c r="Z190" i="1" s="1"/>
  <c r="AA194" i="1"/>
  <c r="D220" i="1"/>
  <c r="L220" i="1" s="1"/>
  <c r="M220" i="1" s="1"/>
  <c r="K222" i="1"/>
  <c r="J232" i="1"/>
  <c r="W232" i="1" s="1"/>
  <c r="Y232" i="1" s="1"/>
  <c r="P234" i="1"/>
  <c r="D239" i="1"/>
  <c r="K240" i="1"/>
  <c r="AA248" i="1"/>
  <c r="J251" i="1"/>
  <c r="R251" i="1" s="1"/>
  <c r="S251" i="1" s="1"/>
  <c r="P252" i="1"/>
  <c r="N253" i="1"/>
  <c r="O253" i="1" s="1"/>
  <c r="Z253" i="1" s="1"/>
  <c r="AA259" i="1"/>
  <c r="J263" i="1"/>
  <c r="K263" i="1" s="1"/>
  <c r="Q282" i="1"/>
  <c r="Q296" i="1"/>
  <c r="P296" i="1"/>
  <c r="K306" i="1"/>
  <c r="K317" i="1"/>
  <c r="P335" i="1"/>
  <c r="P341" i="1"/>
  <c r="K389" i="1"/>
  <c r="P389" i="1"/>
  <c r="D389" i="1"/>
  <c r="L389" i="1" s="1"/>
  <c r="M389" i="1" s="1"/>
  <c r="L290" i="1"/>
  <c r="M290" i="1" s="1"/>
  <c r="N330" i="1"/>
  <c r="O330" i="1" s="1"/>
  <c r="Z330" i="1" s="1"/>
  <c r="N347" i="1"/>
  <c r="O347" i="1" s="1"/>
  <c r="Z347" i="1" s="1"/>
  <c r="I350" i="1"/>
  <c r="AA369" i="1"/>
  <c r="N372" i="1"/>
  <c r="O372" i="1" s="1"/>
  <c r="Z372" i="1" s="1"/>
  <c r="K398" i="1"/>
  <c r="Q398" i="1"/>
  <c r="P398" i="1"/>
  <c r="D403" i="1"/>
  <c r="Q403" i="1"/>
  <c r="AA438" i="1"/>
  <c r="N438" i="1"/>
  <c r="O438" i="1" s="1"/>
  <c r="Z438" i="1" s="1"/>
  <c r="P422" i="1"/>
  <c r="Q422" i="1"/>
  <c r="D431" i="1"/>
  <c r="P431" i="1"/>
  <c r="V432" i="1"/>
  <c r="U432" i="1"/>
  <c r="D449" i="1"/>
  <c r="P449" i="1"/>
  <c r="J453" i="1"/>
  <c r="R453" i="1" s="1"/>
  <c r="S453" i="1" s="1"/>
  <c r="AA453" i="1"/>
  <c r="N453" i="1"/>
  <c r="O453" i="1" s="1"/>
  <c r="Z453" i="1" s="1"/>
  <c r="J456" i="1"/>
  <c r="L456" i="1" s="1"/>
  <c r="M456" i="1" s="1"/>
  <c r="I456" i="1"/>
  <c r="AA456" i="1"/>
  <c r="T498" i="1"/>
  <c r="V498" i="1" s="1"/>
  <c r="R498" i="1"/>
  <c r="S498" i="1" s="1"/>
  <c r="W498" i="1"/>
  <c r="Y498" i="1" s="1"/>
  <c r="J334" i="1"/>
  <c r="W334" i="1" s="1"/>
  <c r="Y334" i="1" s="1"/>
  <c r="AA334" i="1"/>
  <c r="T404" i="1"/>
  <c r="P408" i="1"/>
  <c r="D408" i="1"/>
  <c r="Q408" i="1"/>
  <c r="P412" i="1"/>
  <c r="D412" i="1"/>
  <c r="L412" i="1" s="1"/>
  <c r="M412" i="1" s="1"/>
  <c r="I418" i="1"/>
  <c r="N418" i="1"/>
  <c r="O418" i="1" s="1"/>
  <c r="Z418" i="1" s="1"/>
  <c r="J418" i="1"/>
  <c r="K418" i="1" s="1"/>
  <c r="I449" i="1"/>
  <c r="AA449" i="1"/>
  <c r="J449" i="1"/>
  <c r="T449" i="1" s="1"/>
  <c r="V449" i="1" s="1"/>
  <c r="I453" i="1"/>
  <c r="J478" i="1"/>
  <c r="K478" i="1" s="1"/>
  <c r="I478" i="1"/>
  <c r="N478" i="1"/>
  <c r="O478" i="1" s="1"/>
  <c r="Z478" i="1" s="1"/>
  <c r="J505" i="1"/>
  <c r="W505" i="1" s="1"/>
  <c r="Y505" i="1" s="1"/>
  <c r="I505" i="1"/>
  <c r="N505" i="1"/>
  <c r="O505" i="1" s="1"/>
  <c r="Z505" i="1" s="1"/>
  <c r="Q526" i="1"/>
  <c r="P526" i="1"/>
  <c r="K526" i="1"/>
  <c r="D526" i="1"/>
  <c r="L526" i="1" s="1"/>
  <c r="M526" i="1" s="1"/>
  <c r="I344" i="1"/>
  <c r="Q368" i="1"/>
  <c r="D368" i="1"/>
  <c r="N408" i="1"/>
  <c r="O408" i="1" s="1"/>
  <c r="Z408" i="1" s="1"/>
  <c r="J408" i="1"/>
  <c r="T408" i="1" s="1"/>
  <c r="AA421" i="1"/>
  <c r="N421" i="1"/>
  <c r="O421" i="1" s="1"/>
  <c r="Z421" i="1" s="1"/>
  <c r="J426" i="1"/>
  <c r="K426" i="1" s="1"/>
  <c r="AA426" i="1"/>
  <c r="P443" i="1"/>
  <c r="D443" i="1"/>
  <c r="Q443" i="1"/>
  <c r="N449" i="1"/>
  <c r="O449" i="1" s="1"/>
  <c r="Z449" i="1" s="1"/>
  <c r="W489" i="1"/>
  <c r="Y489" i="1" s="1"/>
  <c r="T489" i="1"/>
  <c r="U489" i="1" s="1"/>
  <c r="V493" i="1"/>
  <c r="Q290" i="1"/>
  <c r="L319" i="1"/>
  <c r="M319" i="1" s="1"/>
  <c r="P326" i="1"/>
  <c r="J335" i="1"/>
  <c r="K335" i="1" s="1"/>
  <c r="N344" i="1"/>
  <c r="O344" i="1" s="1"/>
  <c r="Z344" i="1" s="1"/>
  <c r="N345" i="1"/>
  <c r="O345" i="1" s="1"/>
  <c r="Z345" i="1" s="1"/>
  <c r="AA348" i="1"/>
  <c r="P359" i="1"/>
  <c r="Q359" i="1"/>
  <c r="D374" i="1"/>
  <c r="Q374" i="1"/>
  <c r="R398" i="1"/>
  <c r="S398" i="1" s="1"/>
  <c r="I421" i="1"/>
  <c r="I426" i="1"/>
  <c r="J429" i="1"/>
  <c r="L429" i="1" s="1"/>
  <c r="M429" i="1" s="1"/>
  <c r="I429" i="1"/>
  <c r="AA434" i="1"/>
  <c r="J434" i="1"/>
  <c r="K434" i="1" s="1"/>
  <c r="I434" i="1"/>
  <c r="I437" i="1"/>
  <c r="J437" i="1"/>
  <c r="R437" i="1" s="1"/>
  <c r="S437" i="1" s="1"/>
  <c r="AA437" i="1"/>
  <c r="N437" i="1"/>
  <c r="O437" i="1" s="1"/>
  <c r="Z437" i="1" s="1"/>
  <c r="AA452" i="1"/>
  <c r="J452" i="1"/>
  <c r="R452" i="1" s="1"/>
  <c r="S452" i="1" s="1"/>
  <c r="N452" i="1"/>
  <c r="O452" i="1" s="1"/>
  <c r="Z452" i="1" s="1"/>
  <c r="N465" i="1"/>
  <c r="O465" i="1" s="1"/>
  <c r="Z465" i="1" s="1"/>
  <c r="J465" i="1"/>
  <c r="W465" i="1" s="1"/>
  <c r="Y465" i="1" s="1"/>
  <c r="AA465" i="1"/>
  <c r="D485" i="1"/>
  <c r="L485" i="1" s="1"/>
  <c r="M485" i="1" s="1"/>
  <c r="Q485" i="1"/>
  <c r="I514" i="1"/>
  <c r="J514" i="1"/>
  <c r="T514" i="1" s="1"/>
  <c r="AA514" i="1"/>
  <c r="N514" i="1"/>
  <c r="O514" i="1" s="1"/>
  <c r="Z514" i="1" s="1"/>
  <c r="P425" i="1"/>
  <c r="D425" i="1"/>
  <c r="Q425" i="1"/>
  <c r="N481" i="1"/>
  <c r="O481" i="1" s="1"/>
  <c r="Z481" i="1" s="1"/>
  <c r="J481" i="1"/>
  <c r="K481" i="1" s="1"/>
  <c r="AA481" i="1"/>
  <c r="I481" i="1"/>
  <c r="J545" i="1"/>
  <c r="T545" i="1" s="1"/>
  <c r="I545" i="1"/>
  <c r="AA545" i="1"/>
  <c r="N545" i="1"/>
  <c r="O545" i="1" s="1"/>
  <c r="Z545" i="1" s="1"/>
  <c r="T448" i="1"/>
  <c r="W448" i="1"/>
  <c r="Y448" i="1" s="1"/>
  <c r="L464" i="1"/>
  <c r="M464" i="1" s="1"/>
  <c r="AA356" i="1"/>
  <c r="N356" i="1"/>
  <c r="O356" i="1" s="1"/>
  <c r="Z356" i="1" s="1"/>
  <c r="I358" i="1"/>
  <c r="J358" i="1"/>
  <c r="K358" i="1" s="1"/>
  <c r="P368" i="1"/>
  <c r="Q383" i="1"/>
  <c r="P383" i="1"/>
  <c r="J386" i="1"/>
  <c r="AA386" i="1"/>
  <c r="I386" i="1"/>
  <c r="D406" i="1"/>
  <c r="Q406" i="1"/>
  <c r="P406" i="1"/>
  <c r="Q407" i="1"/>
  <c r="AA416" i="1"/>
  <c r="I416" i="1"/>
  <c r="N433" i="1"/>
  <c r="O433" i="1" s="1"/>
  <c r="Z433" i="1" s="1"/>
  <c r="J433" i="1"/>
  <c r="I433" i="1"/>
  <c r="I477" i="1"/>
  <c r="J477" i="1"/>
  <c r="R477" i="1" s="1"/>
  <c r="S477" i="1" s="1"/>
  <c r="I504" i="1"/>
  <c r="J504" i="1"/>
  <c r="L504" i="1" s="1"/>
  <c r="M504" i="1" s="1"/>
  <c r="AA504" i="1"/>
  <c r="N504" i="1"/>
  <c r="O504" i="1" s="1"/>
  <c r="Z504" i="1" s="1"/>
  <c r="Q539" i="1"/>
  <c r="D539" i="1"/>
  <c r="P539" i="1"/>
  <c r="Q308" i="1"/>
  <c r="D346" i="1"/>
  <c r="I347" i="1"/>
  <c r="K349" i="1"/>
  <c r="Q349" i="1"/>
  <c r="I356" i="1"/>
  <c r="Q367" i="1"/>
  <c r="N386" i="1"/>
  <c r="O386" i="1" s="1"/>
  <c r="Z386" i="1" s="1"/>
  <c r="I387" i="1"/>
  <c r="D410" i="1"/>
  <c r="Q410" i="1"/>
  <c r="D414" i="1"/>
  <c r="L414" i="1" s="1"/>
  <c r="M414" i="1" s="1"/>
  <c r="P414" i="1"/>
  <c r="N416" i="1"/>
  <c r="O416" i="1" s="1"/>
  <c r="Z416" i="1" s="1"/>
  <c r="AA429" i="1"/>
  <c r="N454" i="1"/>
  <c r="O454" i="1" s="1"/>
  <c r="Z454" i="1" s="1"/>
  <c r="J454" i="1"/>
  <c r="R454" i="1" s="1"/>
  <c r="S454" i="1" s="1"/>
  <c r="I454" i="1"/>
  <c r="N459" i="1"/>
  <c r="O459" i="1" s="1"/>
  <c r="Z459" i="1" s="1"/>
  <c r="I459" i="1"/>
  <c r="AA459" i="1"/>
  <c r="J459" i="1"/>
  <c r="K459" i="1" s="1"/>
  <c r="R464" i="1"/>
  <c r="S464" i="1" s="1"/>
  <c r="T464" i="1"/>
  <c r="V464" i="1" s="1"/>
  <c r="N468" i="1"/>
  <c r="O468" i="1" s="1"/>
  <c r="Z468" i="1" s="1"/>
  <c r="J468" i="1"/>
  <c r="R468" i="1" s="1"/>
  <c r="S468" i="1" s="1"/>
  <c r="AA468" i="1"/>
  <c r="W533" i="1"/>
  <c r="Y533" i="1" s="1"/>
  <c r="R533" i="1"/>
  <c r="S533" i="1" s="1"/>
  <c r="Q564" i="1"/>
  <c r="P564" i="1"/>
  <c r="D564" i="1"/>
  <c r="AA344" i="1"/>
  <c r="J347" i="1"/>
  <c r="T347" i="1" s="1"/>
  <c r="V347" i="1" s="1"/>
  <c r="J356" i="1"/>
  <c r="W356" i="1" s="1"/>
  <c r="Y356" i="1" s="1"/>
  <c r="I372" i="1"/>
  <c r="Q404" i="1"/>
  <c r="K404" i="1"/>
  <c r="D409" i="1"/>
  <c r="L409" i="1" s="1"/>
  <c r="M409" i="1" s="1"/>
  <c r="AA415" i="1"/>
  <c r="J415" i="1"/>
  <c r="T415" i="1" s="1"/>
  <c r="N423" i="1"/>
  <c r="O423" i="1" s="1"/>
  <c r="Z423" i="1" s="1"/>
  <c r="P445" i="1"/>
  <c r="Q445" i="1"/>
  <c r="N439" i="1"/>
  <c r="O439" i="1" s="1"/>
  <c r="Z439" i="1" s="1"/>
  <c r="W451" i="1"/>
  <c r="Y451" i="1" s="1"/>
  <c r="AA482" i="1"/>
  <c r="Q483" i="1"/>
  <c r="I484" i="1"/>
  <c r="N487" i="1"/>
  <c r="O487" i="1" s="1"/>
  <c r="Z487" i="1" s="1"/>
  <c r="AA487" i="1"/>
  <c r="P493" i="1"/>
  <c r="D493" i="1"/>
  <c r="L493" i="1" s="1"/>
  <c r="M493" i="1" s="1"/>
  <c r="K497" i="1"/>
  <c r="AA499" i="1"/>
  <c r="Q501" i="1"/>
  <c r="D501" i="1"/>
  <c r="J522" i="1"/>
  <c r="R522" i="1" s="1"/>
  <c r="S522" i="1" s="1"/>
  <c r="N522" i="1"/>
  <c r="O522" i="1" s="1"/>
  <c r="Z522" i="1" s="1"/>
  <c r="I522" i="1"/>
  <c r="N486" i="1"/>
  <c r="O486" i="1" s="1"/>
  <c r="Z486" i="1" s="1"/>
  <c r="Q491" i="1"/>
  <c r="P491" i="1"/>
  <c r="AA508" i="1"/>
  <c r="D519" i="1"/>
  <c r="L519" i="1" s="1"/>
  <c r="M519" i="1" s="1"/>
  <c r="P519" i="1"/>
  <c r="AA544" i="1"/>
  <c r="J544" i="1"/>
  <c r="K544" i="1" s="1"/>
  <c r="I544" i="1"/>
  <c r="N544" i="1"/>
  <c r="O544" i="1" s="1"/>
  <c r="Z544" i="1" s="1"/>
  <c r="AA566" i="1"/>
  <c r="J566" i="1"/>
  <c r="K566" i="1" s="1"/>
  <c r="V609" i="1"/>
  <c r="U609" i="1"/>
  <c r="P391" i="1"/>
  <c r="T394" i="1"/>
  <c r="V394" i="1" s="1"/>
  <c r="AA424" i="1"/>
  <c r="W436" i="1"/>
  <c r="Y436" i="1" s="1"/>
  <c r="J447" i="1"/>
  <c r="R447" i="1" s="1"/>
  <c r="S447" i="1" s="1"/>
  <c r="J450" i="1"/>
  <c r="K450" i="1" s="1"/>
  <c r="L451" i="1"/>
  <c r="M451" i="1" s="1"/>
  <c r="P453" i="1"/>
  <c r="Q466" i="1"/>
  <c r="N467" i="1"/>
  <c r="O467" i="1" s="1"/>
  <c r="Z467" i="1" s="1"/>
  <c r="AA494" i="1"/>
  <c r="I494" i="1"/>
  <c r="Q511" i="1"/>
  <c r="P511" i="1"/>
  <c r="AA520" i="1"/>
  <c r="N520" i="1"/>
  <c r="O520" i="1" s="1"/>
  <c r="Z520" i="1" s="1"/>
  <c r="I389" i="1"/>
  <c r="I400" i="1"/>
  <c r="N404" i="1"/>
  <c r="O404" i="1" s="1"/>
  <c r="Z404" i="1" s="1"/>
  <c r="I409" i="1"/>
  <c r="N410" i="1"/>
  <c r="O410" i="1" s="1"/>
  <c r="Z410" i="1" s="1"/>
  <c r="I414" i="1"/>
  <c r="I436" i="1"/>
  <c r="N447" i="1"/>
  <c r="O447" i="1" s="1"/>
  <c r="Z447" i="1" s="1"/>
  <c r="AA451" i="1"/>
  <c r="I479" i="1"/>
  <c r="D483" i="1"/>
  <c r="L483" i="1" s="1"/>
  <c r="M483" i="1" s="1"/>
  <c r="W483" i="1"/>
  <c r="Y483" i="1" s="1"/>
  <c r="T484" i="1"/>
  <c r="V484" i="1" s="1"/>
  <c r="J494" i="1"/>
  <c r="K494" i="1" s="1"/>
  <c r="AA509" i="1"/>
  <c r="I513" i="1"/>
  <c r="N513" i="1"/>
  <c r="O513" i="1" s="1"/>
  <c r="Z513" i="1" s="1"/>
  <c r="T523" i="1"/>
  <c r="V523" i="1" s="1"/>
  <c r="N529" i="1"/>
  <c r="O529" i="1" s="1"/>
  <c r="Z529" i="1" s="1"/>
  <c r="I529" i="1"/>
  <c r="J535" i="1"/>
  <c r="T535" i="1" s="1"/>
  <c r="U535" i="1" s="1"/>
  <c r="I535" i="1"/>
  <c r="AA535" i="1"/>
  <c r="Q547" i="1"/>
  <c r="D547" i="1"/>
  <c r="P547" i="1"/>
  <c r="D550" i="1"/>
  <c r="L550" i="1" s="1"/>
  <c r="M550" i="1" s="1"/>
  <c r="P550" i="1"/>
  <c r="J563" i="1"/>
  <c r="I563" i="1"/>
  <c r="AA563" i="1"/>
  <c r="R591" i="1"/>
  <c r="S591" i="1" s="1"/>
  <c r="W591" i="1"/>
  <c r="Y591" i="1" s="1"/>
  <c r="T591" i="1"/>
  <c r="V591" i="1" s="1"/>
  <c r="AA444" i="1"/>
  <c r="AA464" i="1"/>
  <c r="N472" i="1"/>
  <c r="O472" i="1" s="1"/>
  <c r="Z472" i="1" s="1"/>
  <c r="I472" i="1"/>
  <c r="Q506" i="1"/>
  <c r="D506" i="1"/>
  <c r="K509" i="1"/>
  <c r="D509" i="1"/>
  <c r="L509" i="1" s="1"/>
  <c r="M509" i="1" s="1"/>
  <c r="Q509" i="1"/>
  <c r="AA560" i="1"/>
  <c r="N560" i="1"/>
  <c r="O560" i="1" s="1"/>
  <c r="Z560" i="1" s="1"/>
  <c r="J560" i="1"/>
  <c r="T560" i="1" s="1"/>
  <c r="U594" i="1"/>
  <c r="V594" i="1"/>
  <c r="K373" i="1"/>
  <c r="P429" i="1"/>
  <c r="I451" i="1"/>
  <c r="D453" i="1"/>
  <c r="D466" i="1"/>
  <c r="L466" i="1" s="1"/>
  <c r="M466" i="1" s="1"/>
  <c r="AA483" i="1"/>
  <c r="J502" i="1"/>
  <c r="W502" i="1" s="1"/>
  <c r="Y502" i="1" s="1"/>
  <c r="I560" i="1"/>
  <c r="I572" i="1"/>
  <c r="J572" i="1"/>
  <c r="K572" i="1" s="1"/>
  <c r="K464" i="1"/>
  <c r="Q486" i="1"/>
  <c r="D486" i="1"/>
  <c r="P497" i="1"/>
  <c r="D497" i="1"/>
  <c r="L497" i="1" s="1"/>
  <c r="M497" i="1" s="1"/>
  <c r="Q537" i="1"/>
  <c r="D537" i="1"/>
  <c r="J540" i="1"/>
  <c r="T540" i="1" s="1"/>
  <c r="U540" i="1" s="1"/>
  <c r="I540" i="1"/>
  <c r="AA540" i="1"/>
  <c r="N540" i="1"/>
  <c r="O540" i="1" s="1"/>
  <c r="Z540" i="1" s="1"/>
  <c r="AA559" i="1"/>
  <c r="N559" i="1"/>
  <c r="O559" i="1" s="1"/>
  <c r="Z559" i="1" s="1"/>
  <c r="J559" i="1"/>
  <c r="L559" i="1" s="1"/>
  <c r="M559" i="1" s="1"/>
  <c r="I567" i="1"/>
  <c r="N567" i="1"/>
  <c r="O567" i="1" s="1"/>
  <c r="Z567" i="1" s="1"/>
  <c r="J567" i="1"/>
  <c r="T567" i="1" s="1"/>
  <c r="V567" i="1" s="1"/>
  <c r="AA489" i="1"/>
  <c r="I489" i="1"/>
  <c r="Q496" i="1"/>
  <c r="D496" i="1"/>
  <c r="L496" i="1" s="1"/>
  <c r="M496" i="1" s="1"/>
  <c r="W509" i="1"/>
  <c r="Y509" i="1" s="1"/>
  <c r="T509" i="1"/>
  <c r="D514" i="1"/>
  <c r="P514" i="1"/>
  <c r="R515" i="1"/>
  <c r="S515" i="1" s="1"/>
  <c r="T515" i="1"/>
  <c r="U515" i="1" s="1"/>
  <c r="I533" i="1"/>
  <c r="N533" i="1"/>
  <c r="O533" i="1" s="1"/>
  <c r="Z533" i="1" s="1"/>
  <c r="N569" i="1"/>
  <c r="O569" i="1" s="1"/>
  <c r="Z569" i="1" s="1"/>
  <c r="J569" i="1"/>
  <c r="I569" i="1"/>
  <c r="AA569" i="1"/>
  <c r="D418" i="1"/>
  <c r="AA450" i="1"/>
  <c r="V451" i="1"/>
  <c r="D454" i="1"/>
  <c r="P461" i="1"/>
  <c r="P463" i="1"/>
  <c r="D463" i="1"/>
  <c r="N464" i="1"/>
  <c r="O464" i="1" s="1"/>
  <c r="Z464" i="1" s="1"/>
  <c r="Q476" i="1"/>
  <c r="K476" i="1"/>
  <c r="P483" i="1"/>
  <c r="N489" i="1"/>
  <c r="O489" i="1" s="1"/>
  <c r="Z489" i="1" s="1"/>
  <c r="Q508" i="1"/>
  <c r="P509" i="1"/>
  <c r="Q521" i="1"/>
  <c r="D521" i="1"/>
  <c r="L521" i="1" s="1"/>
  <c r="M521" i="1" s="1"/>
  <c r="P521" i="1"/>
  <c r="D522" i="1"/>
  <c r="Q522" i="1"/>
  <c r="Q523" i="1"/>
  <c r="K523" i="1"/>
  <c r="Q527" i="1"/>
  <c r="AA552" i="1"/>
  <c r="K499" i="1"/>
  <c r="N511" i="1"/>
  <c r="O511" i="1" s="1"/>
  <c r="Z511" i="1" s="1"/>
  <c r="J528" i="1"/>
  <c r="T528" i="1" s="1"/>
  <c r="J538" i="1"/>
  <c r="W538" i="1" s="1"/>
  <c r="Y538" i="1" s="1"/>
  <c r="P560" i="1"/>
  <c r="Q567" i="1"/>
  <c r="P570" i="1"/>
  <c r="D575" i="1"/>
  <c r="D582" i="1"/>
  <c r="D587" i="1"/>
  <c r="AA587" i="1"/>
  <c r="K591" i="1"/>
  <c r="Q612" i="1"/>
  <c r="Q613" i="1"/>
  <c r="N616" i="1"/>
  <c r="O616" i="1" s="1"/>
  <c r="Z616" i="1" s="1"/>
  <c r="D620" i="1"/>
  <c r="I622" i="1"/>
  <c r="R628" i="1"/>
  <c r="S628" i="1" s="1"/>
  <c r="AA632" i="1"/>
  <c r="AA636" i="1"/>
  <c r="AA601" i="1"/>
  <c r="AA618" i="1"/>
  <c r="AA625" i="1"/>
  <c r="N528" i="1"/>
  <c r="O528" i="1" s="1"/>
  <c r="Z528" i="1" s="1"/>
  <c r="D562" i="1"/>
  <c r="D566" i="1"/>
  <c r="D567" i="1"/>
  <c r="D569" i="1"/>
  <c r="D572" i="1"/>
  <c r="R584" i="1"/>
  <c r="S584" i="1" s="1"/>
  <c r="D597" i="1"/>
  <c r="J600" i="1"/>
  <c r="T600" i="1" s="1"/>
  <c r="I601" i="1"/>
  <c r="I604" i="1"/>
  <c r="I605" i="1"/>
  <c r="L611" i="1"/>
  <c r="M611" i="1" s="1"/>
  <c r="D579" i="1"/>
  <c r="L579" i="1" s="1"/>
  <c r="M579" i="1" s="1"/>
  <c r="D581" i="1"/>
  <c r="N600" i="1"/>
  <c r="O600" i="1" s="1"/>
  <c r="Z600" i="1" s="1"/>
  <c r="J601" i="1"/>
  <c r="N604" i="1"/>
  <c r="O604" i="1" s="1"/>
  <c r="Z604" i="1" s="1"/>
  <c r="J605" i="1"/>
  <c r="K605" i="1" s="1"/>
  <c r="D608" i="1"/>
  <c r="L608" i="1" s="1"/>
  <c r="M608" i="1" s="1"/>
  <c r="D610" i="1"/>
  <c r="Q616" i="1"/>
  <c r="I618" i="1"/>
  <c r="I625" i="1"/>
  <c r="I630" i="1"/>
  <c r="AA631" i="1"/>
  <c r="D637" i="1"/>
  <c r="J630" i="1"/>
  <c r="T630" i="1" s="1"/>
  <c r="V630" i="1" s="1"/>
  <c r="I631" i="1"/>
  <c r="N550" i="1"/>
  <c r="O550" i="1" s="1"/>
  <c r="Z550" i="1" s="1"/>
  <c r="P562" i="1"/>
  <c r="J565" i="1"/>
  <c r="K565" i="1" s="1"/>
  <c r="Q574" i="1"/>
  <c r="J596" i="1"/>
  <c r="R596" i="1" s="1"/>
  <c r="S596" i="1" s="1"/>
  <c r="Q597" i="1"/>
  <c r="U599" i="1"/>
  <c r="N603" i="1"/>
  <c r="O603" i="1" s="1"/>
  <c r="Z603" i="1" s="1"/>
  <c r="Q607" i="1"/>
  <c r="AA614" i="1"/>
  <c r="N618" i="1"/>
  <c r="O618" i="1" s="1"/>
  <c r="Z618" i="1" s="1"/>
  <c r="R624" i="1"/>
  <c r="S624" i="1" s="1"/>
  <c r="K625" i="1"/>
  <c r="N630" i="1"/>
  <c r="O630" i="1" s="1"/>
  <c r="Z630" i="1" s="1"/>
  <c r="J631" i="1"/>
  <c r="K631" i="1" s="1"/>
  <c r="I633" i="1"/>
  <c r="R521" i="1"/>
  <c r="S521" i="1" s="1"/>
  <c r="AA528" i="1"/>
  <c r="J548" i="1"/>
  <c r="K548" i="1" s="1"/>
  <c r="D555" i="1"/>
  <c r="D570" i="1"/>
  <c r="P572" i="1"/>
  <c r="I579" i="1"/>
  <c r="Q581" i="1"/>
  <c r="K585" i="1"/>
  <c r="L591" i="1"/>
  <c r="M591" i="1" s="1"/>
  <c r="AA591" i="1"/>
  <c r="N596" i="1"/>
  <c r="O596" i="1" s="1"/>
  <c r="Z596" i="1" s="1"/>
  <c r="AA600" i="1"/>
  <c r="I602" i="1"/>
  <c r="P603" i="1"/>
  <c r="N606" i="1"/>
  <c r="O606" i="1" s="1"/>
  <c r="Z606" i="1" s="1"/>
  <c r="T607" i="1"/>
  <c r="I608" i="1"/>
  <c r="D613" i="1"/>
  <c r="I614" i="1"/>
  <c r="Q617" i="1"/>
  <c r="R618" i="1"/>
  <c r="S618" i="1" s="1"/>
  <c r="T624" i="1"/>
  <c r="U624" i="1" s="1"/>
  <c r="N565" i="1"/>
  <c r="O565" i="1" s="1"/>
  <c r="Z565" i="1" s="1"/>
  <c r="P566" i="1"/>
  <c r="P587" i="1"/>
  <c r="P595" i="1"/>
  <c r="J602" i="1"/>
  <c r="R602" i="1" s="1"/>
  <c r="S602" i="1" s="1"/>
  <c r="AA604" i="1"/>
  <c r="Q608" i="1"/>
  <c r="K609" i="1"/>
  <c r="P610" i="1"/>
  <c r="U618" i="1"/>
  <c r="J511" i="1"/>
  <c r="K511" i="1" s="1"/>
  <c r="P515" i="1"/>
  <c r="J516" i="1"/>
  <c r="K516" i="1" s="1"/>
  <c r="W521" i="1"/>
  <c r="Y521" i="1" s="1"/>
  <c r="D531" i="1"/>
  <c r="L531" i="1" s="1"/>
  <c r="M531" i="1" s="1"/>
  <c r="N534" i="1"/>
  <c r="O534" i="1" s="1"/>
  <c r="Z534" i="1" s="1"/>
  <c r="D541" i="1"/>
  <c r="P565" i="1"/>
  <c r="P569" i="1"/>
  <c r="D576" i="1"/>
  <c r="L576" i="1" s="1"/>
  <c r="M576" i="1" s="1"/>
  <c r="P579" i="1"/>
  <c r="J580" i="1"/>
  <c r="L580" i="1" s="1"/>
  <c r="M580" i="1" s="1"/>
  <c r="N585" i="1"/>
  <c r="O585" i="1" s="1"/>
  <c r="Z585" i="1" s="1"/>
  <c r="I591" i="1"/>
  <c r="Q595" i="1"/>
  <c r="W607" i="1"/>
  <c r="Y607" i="1" s="1"/>
  <c r="R608" i="1"/>
  <c r="S608" i="1" s="1"/>
  <c r="Q611" i="1"/>
  <c r="J616" i="1"/>
  <c r="K616" i="1" s="1"/>
  <c r="AA624" i="1"/>
  <c r="R625" i="1"/>
  <c r="S625" i="1" s="1"/>
  <c r="K626" i="1"/>
  <c r="I628" i="1"/>
  <c r="D635" i="1"/>
  <c r="L635" i="1" s="1"/>
  <c r="M635" i="1" s="1"/>
  <c r="N584" i="1"/>
  <c r="O584" i="1" s="1"/>
  <c r="Z584" i="1" s="1"/>
  <c r="W608" i="1"/>
  <c r="Y608" i="1" s="1"/>
  <c r="W611" i="1"/>
  <c r="Y611" i="1" s="1"/>
  <c r="W618" i="1"/>
  <c r="Y618" i="1" s="1"/>
  <c r="W625" i="1"/>
  <c r="Y625" i="1" s="1"/>
  <c r="AA633" i="1"/>
  <c r="U84" i="1"/>
  <c r="U37" i="1"/>
  <c r="T14" i="1"/>
  <c r="R14" i="1"/>
  <c r="S14" i="1" s="1"/>
  <c r="W14" i="1"/>
  <c r="Y14" i="1" s="1"/>
  <c r="K7" i="1"/>
  <c r="T7" i="1"/>
  <c r="R7" i="1"/>
  <c r="S7" i="1" s="1"/>
  <c r="W7" i="1"/>
  <c r="Y7" i="1" s="1"/>
  <c r="W22" i="1"/>
  <c r="Y22" i="1" s="1"/>
  <c r="T22" i="1"/>
  <c r="R22" i="1"/>
  <c r="S22" i="1" s="1"/>
  <c r="U90" i="1"/>
  <c r="V90" i="1"/>
  <c r="T9" i="1"/>
  <c r="R9" i="1"/>
  <c r="S9" i="1" s="1"/>
  <c r="W9" i="1"/>
  <c r="Y9" i="1" s="1"/>
  <c r="K4" i="1"/>
  <c r="U6" i="1"/>
  <c r="T12" i="1"/>
  <c r="W4" i="1"/>
  <c r="Y4" i="1" s="1"/>
  <c r="T4" i="1"/>
  <c r="R4" i="1"/>
  <c r="S4" i="1" s="1"/>
  <c r="Q3" i="1"/>
  <c r="Q8" i="1"/>
  <c r="Q13" i="1"/>
  <c r="Q18" i="1"/>
  <c r="N4" i="1"/>
  <c r="O4" i="1" s="1"/>
  <c r="Z4" i="1" s="1"/>
  <c r="T5" i="1"/>
  <c r="D6" i="1"/>
  <c r="P6" i="1"/>
  <c r="N9" i="1"/>
  <c r="O9" i="1" s="1"/>
  <c r="Z9" i="1" s="1"/>
  <c r="D11" i="1"/>
  <c r="L11" i="1" s="1"/>
  <c r="M11" i="1" s="1"/>
  <c r="P11" i="1"/>
  <c r="N14" i="1"/>
  <c r="O14" i="1" s="1"/>
  <c r="Z14" i="1" s="1"/>
  <c r="T15" i="1"/>
  <c r="D16" i="1"/>
  <c r="P16" i="1"/>
  <c r="P20" i="1"/>
  <c r="AA20" i="1"/>
  <c r="N22" i="1"/>
  <c r="O22" i="1" s="1"/>
  <c r="Z22" i="1" s="1"/>
  <c r="P23" i="1"/>
  <c r="Q25" i="1"/>
  <c r="P30" i="1"/>
  <c r="Q31" i="1"/>
  <c r="P32" i="1"/>
  <c r="D32" i="1"/>
  <c r="L32" i="1" s="1"/>
  <c r="M32" i="1" s="1"/>
  <c r="T32" i="1"/>
  <c r="P36" i="1"/>
  <c r="D45" i="1"/>
  <c r="L45" i="1" s="1"/>
  <c r="M45" i="1" s="1"/>
  <c r="T45" i="1"/>
  <c r="T48" i="1"/>
  <c r="W50" i="1"/>
  <c r="Y50" i="1" s="1"/>
  <c r="T50" i="1"/>
  <c r="K57" i="1"/>
  <c r="L59" i="1"/>
  <c r="M59" i="1" s="1"/>
  <c r="T59" i="1"/>
  <c r="I68" i="1"/>
  <c r="K72" i="1"/>
  <c r="K78" i="1"/>
  <c r="W78" i="1"/>
  <c r="Y78" i="1" s="1"/>
  <c r="K79" i="1"/>
  <c r="J81" i="1"/>
  <c r="L81" i="1" s="1"/>
  <c r="M81" i="1" s="1"/>
  <c r="I81" i="1"/>
  <c r="AA81" i="1"/>
  <c r="I92" i="1"/>
  <c r="J92" i="1"/>
  <c r="L95" i="1"/>
  <c r="M95" i="1" s="1"/>
  <c r="Q96" i="1"/>
  <c r="W102" i="1"/>
  <c r="Y102" i="1" s="1"/>
  <c r="W125" i="1"/>
  <c r="Y125" i="1" s="1"/>
  <c r="R125" i="1"/>
  <c r="S125" i="1" s="1"/>
  <c r="K125" i="1"/>
  <c r="Q127" i="1"/>
  <c r="D127" i="1"/>
  <c r="P127" i="1"/>
  <c r="AA137" i="1"/>
  <c r="J137" i="1"/>
  <c r="I137" i="1"/>
  <c r="J140" i="1"/>
  <c r="N140" i="1"/>
  <c r="O140" i="1" s="1"/>
  <c r="Z140" i="1" s="1"/>
  <c r="AA140" i="1"/>
  <c r="I140" i="1"/>
  <c r="K148" i="1"/>
  <c r="Q148" i="1"/>
  <c r="D148" i="1"/>
  <c r="L148" i="1" s="1"/>
  <c r="M148" i="1" s="1"/>
  <c r="P148" i="1"/>
  <c r="R163" i="1"/>
  <c r="S163" i="1" s="1"/>
  <c r="W163" i="1"/>
  <c r="Y163" i="1" s="1"/>
  <c r="K163" i="1"/>
  <c r="T163" i="1"/>
  <c r="Q6" i="1"/>
  <c r="Q11" i="1"/>
  <c r="Q16" i="1"/>
  <c r="P41" i="1"/>
  <c r="K48" i="1"/>
  <c r="P48" i="1"/>
  <c r="P52" i="1"/>
  <c r="D52" i="1"/>
  <c r="L52" i="1" s="1"/>
  <c r="M52" i="1" s="1"/>
  <c r="V53" i="1"/>
  <c r="U53" i="1"/>
  <c r="J56" i="1"/>
  <c r="K56" i="1" s="1"/>
  <c r="I56" i="1"/>
  <c r="D63" i="1"/>
  <c r="R64" i="1"/>
  <c r="S64" i="1" s="1"/>
  <c r="W64" i="1"/>
  <c r="Y64" i="1" s="1"/>
  <c r="K64" i="1"/>
  <c r="Q66" i="1"/>
  <c r="P67" i="1"/>
  <c r="D67" i="1"/>
  <c r="L67" i="1" s="1"/>
  <c r="M67" i="1" s="1"/>
  <c r="Q67" i="1"/>
  <c r="U67" i="1"/>
  <c r="Q70" i="1"/>
  <c r="J76" i="1"/>
  <c r="I76" i="1"/>
  <c r="N76" i="1"/>
  <c r="O76" i="1" s="1"/>
  <c r="Z76" i="1" s="1"/>
  <c r="AA76" i="1"/>
  <c r="P85" i="1"/>
  <c r="P88" i="1"/>
  <c r="L93" i="1"/>
  <c r="M93" i="1" s="1"/>
  <c r="T97" i="1"/>
  <c r="R97" i="1"/>
  <c r="S97" i="1" s="1"/>
  <c r="W110" i="1"/>
  <c r="Y110" i="1" s="1"/>
  <c r="K110" i="1"/>
  <c r="T110" i="1"/>
  <c r="N120" i="1"/>
  <c r="O120" i="1" s="1"/>
  <c r="Z120" i="1" s="1"/>
  <c r="AA120" i="1"/>
  <c r="I120" i="1"/>
  <c r="V123" i="1"/>
  <c r="U123" i="1"/>
  <c r="L125" i="1"/>
  <c r="M125" i="1" s="1"/>
  <c r="J126" i="1"/>
  <c r="I126" i="1"/>
  <c r="N126" i="1"/>
  <c r="O126" i="1" s="1"/>
  <c r="Z126" i="1" s="1"/>
  <c r="AA126" i="1"/>
  <c r="AA127" i="1"/>
  <c r="J127" i="1"/>
  <c r="I127" i="1"/>
  <c r="U129" i="1"/>
  <c r="N137" i="1"/>
  <c r="O137" i="1" s="1"/>
  <c r="Z137" i="1" s="1"/>
  <c r="R141" i="1"/>
  <c r="S141" i="1" s="1"/>
  <c r="Q20" i="1"/>
  <c r="Q23" i="1"/>
  <c r="Q30" i="1"/>
  <c r="P37" i="1"/>
  <c r="D37" i="1"/>
  <c r="J3" i="1"/>
  <c r="D4" i="1"/>
  <c r="L4" i="1" s="1"/>
  <c r="M4" i="1" s="1"/>
  <c r="P4" i="1"/>
  <c r="J8" i="1"/>
  <c r="D9" i="1"/>
  <c r="L9" i="1" s="1"/>
  <c r="M9" i="1" s="1"/>
  <c r="P9" i="1"/>
  <c r="J13" i="1"/>
  <c r="D14" i="1"/>
  <c r="L14" i="1" s="1"/>
  <c r="M14" i="1" s="1"/>
  <c r="P14" i="1"/>
  <c r="J18" i="1"/>
  <c r="D20" i="1"/>
  <c r="Q21" i="1"/>
  <c r="D25" i="1"/>
  <c r="J27" i="1"/>
  <c r="D31" i="1"/>
  <c r="I32" i="1"/>
  <c r="J33" i="1"/>
  <c r="D40" i="1"/>
  <c r="J41" i="1"/>
  <c r="L41" i="1" s="1"/>
  <c r="M41" i="1" s="1"/>
  <c r="I41" i="1"/>
  <c r="N45" i="1"/>
  <c r="O45" i="1" s="1"/>
  <c r="Z45" i="1" s="1"/>
  <c r="I45" i="1"/>
  <c r="AA45" i="1"/>
  <c r="N57" i="1"/>
  <c r="O57" i="1" s="1"/>
  <c r="Z57" i="1" s="1"/>
  <c r="J60" i="1"/>
  <c r="N61" i="1"/>
  <c r="O61" i="1" s="1"/>
  <c r="Z61" i="1" s="1"/>
  <c r="L64" i="1"/>
  <c r="M64" i="1" s="1"/>
  <c r="N68" i="1"/>
  <c r="O68" i="1" s="1"/>
  <c r="Z68" i="1" s="1"/>
  <c r="AA68" i="1"/>
  <c r="R70" i="1"/>
  <c r="S70" i="1" s="1"/>
  <c r="P73" i="1"/>
  <c r="N81" i="1"/>
  <c r="O81" i="1" s="1"/>
  <c r="Z81" i="1" s="1"/>
  <c r="Q86" i="1"/>
  <c r="K93" i="1"/>
  <c r="Q93" i="1"/>
  <c r="N95" i="1"/>
  <c r="O95" i="1" s="1"/>
  <c r="Z95" i="1" s="1"/>
  <c r="AA95" i="1"/>
  <c r="K97" i="1"/>
  <c r="AA102" i="1"/>
  <c r="L110" i="1"/>
  <c r="M110" i="1" s="1"/>
  <c r="I117" i="1"/>
  <c r="AA117" i="1"/>
  <c r="J120" i="1"/>
  <c r="L120" i="1" s="1"/>
  <c r="M120" i="1" s="1"/>
  <c r="R128" i="1"/>
  <c r="S128" i="1" s="1"/>
  <c r="T128" i="1"/>
  <c r="L128" i="1"/>
  <c r="M128" i="1" s="1"/>
  <c r="J26" i="1"/>
  <c r="L26" i="1" s="1"/>
  <c r="M26" i="1" s="1"/>
  <c r="I26" i="1"/>
  <c r="N26" i="1"/>
  <c r="O26" i="1" s="1"/>
  <c r="Z26" i="1" s="1"/>
  <c r="W32" i="1"/>
  <c r="Y32" i="1" s="1"/>
  <c r="D36" i="1"/>
  <c r="P38" i="1"/>
  <c r="W59" i="1"/>
  <c r="Y59" i="1" s="1"/>
  <c r="R72" i="1"/>
  <c r="S72" i="1" s="1"/>
  <c r="AA73" i="1"/>
  <c r="I73" i="1"/>
  <c r="V78" i="1"/>
  <c r="U78" i="1"/>
  <c r="P81" i="1"/>
  <c r="AA82" i="1"/>
  <c r="J86" i="1"/>
  <c r="I86" i="1"/>
  <c r="N86" i="1"/>
  <c r="O86" i="1" s="1"/>
  <c r="Z86" i="1" s="1"/>
  <c r="P112" i="1"/>
  <c r="D112" i="1"/>
  <c r="L112" i="1" s="1"/>
  <c r="M112" i="1" s="1"/>
  <c r="R114" i="1"/>
  <c r="S114" i="1" s="1"/>
  <c r="K114" i="1"/>
  <c r="W114" i="1"/>
  <c r="Y114" i="1" s="1"/>
  <c r="T114" i="1"/>
  <c r="D118" i="1"/>
  <c r="Q118" i="1"/>
  <c r="P118" i="1"/>
  <c r="P122" i="1"/>
  <c r="D122" i="1"/>
  <c r="Q9" i="1"/>
  <c r="Q14" i="1"/>
  <c r="N40" i="1"/>
  <c r="O40" i="1" s="1"/>
  <c r="Z40" i="1" s="1"/>
  <c r="J40" i="1"/>
  <c r="K40" i="1" s="1"/>
  <c r="K43" i="1"/>
  <c r="Q43" i="1"/>
  <c r="K45" i="1"/>
  <c r="P47" i="1"/>
  <c r="D47" i="1"/>
  <c r="R57" i="1"/>
  <c r="S57" i="1" s="1"/>
  <c r="D70" i="1"/>
  <c r="L70" i="1" s="1"/>
  <c r="M70" i="1" s="1"/>
  <c r="T70" i="1"/>
  <c r="J73" i="1"/>
  <c r="K73" i="1" s="1"/>
  <c r="P77" i="1"/>
  <c r="D77" i="1"/>
  <c r="Q81" i="1"/>
  <c r="I82" i="1"/>
  <c r="R89" i="1"/>
  <c r="S89" i="1" s="1"/>
  <c r="K89" i="1"/>
  <c r="T89" i="1"/>
  <c r="V94" i="1"/>
  <c r="W95" i="1"/>
  <c r="Y95" i="1" s="1"/>
  <c r="K95" i="1"/>
  <c r="T95" i="1"/>
  <c r="P108" i="1"/>
  <c r="N118" i="1"/>
  <c r="O118" i="1" s="1"/>
  <c r="Z118" i="1" s="1"/>
  <c r="I118" i="1"/>
  <c r="I122" i="1"/>
  <c r="N122" i="1"/>
  <c r="O122" i="1" s="1"/>
  <c r="Z122" i="1" s="1"/>
  <c r="AA122" i="1"/>
  <c r="J122" i="1"/>
  <c r="K122" i="1" s="1"/>
  <c r="K123" i="1"/>
  <c r="P123" i="1"/>
  <c r="U125" i="1"/>
  <c r="V125" i="1"/>
  <c r="N147" i="1"/>
  <c r="O147" i="1" s="1"/>
  <c r="Z147" i="1" s="1"/>
  <c r="J147" i="1"/>
  <c r="K147" i="1" s="1"/>
  <c r="AA147" i="1"/>
  <c r="I147" i="1"/>
  <c r="Q4" i="1"/>
  <c r="P22" i="1"/>
  <c r="D22" i="1"/>
  <c r="L22" i="1" s="1"/>
  <c r="M22" i="1" s="1"/>
  <c r="J31" i="1"/>
  <c r="I31" i="1"/>
  <c r="K32" i="1"/>
  <c r="W37" i="1"/>
  <c r="Y37" i="1" s="1"/>
  <c r="R37" i="1"/>
  <c r="S37" i="1" s="1"/>
  <c r="I4" i="1"/>
  <c r="I9" i="1"/>
  <c r="I14" i="1"/>
  <c r="J21" i="1"/>
  <c r="I21" i="1"/>
  <c r="I22" i="1"/>
  <c r="I23" i="1"/>
  <c r="AA32" i="1"/>
  <c r="D35" i="1"/>
  <c r="J36" i="1"/>
  <c r="K36" i="1" s="1"/>
  <c r="I36" i="1"/>
  <c r="I40" i="1"/>
  <c r="I47" i="1"/>
  <c r="N47" i="1"/>
  <c r="O47" i="1" s="1"/>
  <c r="Z47" i="1" s="1"/>
  <c r="T57" i="1"/>
  <c r="P60" i="1"/>
  <c r="P62" i="1"/>
  <c r="D62" i="1"/>
  <c r="P66" i="1"/>
  <c r="R68" i="1"/>
  <c r="S68" i="1" s="1"/>
  <c r="T72" i="1"/>
  <c r="J82" i="1"/>
  <c r="R84" i="1"/>
  <c r="S84" i="1" s="1"/>
  <c r="W84" i="1"/>
  <c r="Y84" i="1" s="1"/>
  <c r="P87" i="1"/>
  <c r="D87" i="1"/>
  <c r="N100" i="1"/>
  <c r="O100" i="1" s="1"/>
  <c r="Z100" i="1" s="1"/>
  <c r="AA100" i="1"/>
  <c r="J100" i="1"/>
  <c r="N105" i="1"/>
  <c r="O105" i="1" s="1"/>
  <c r="Z105" i="1" s="1"/>
  <c r="AA105" i="1"/>
  <c r="J105" i="1"/>
  <c r="I105" i="1"/>
  <c r="J118" i="1"/>
  <c r="AA132" i="1"/>
  <c r="J132" i="1"/>
  <c r="K132" i="1" s="1"/>
  <c r="I132" i="1"/>
  <c r="N132" i="1"/>
  <c r="O132" i="1" s="1"/>
  <c r="Z132" i="1" s="1"/>
  <c r="N144" i="1"/>
  <c r="O144" i="1" s="1"/>
  <c r="Z144" i="1" s="1"/>
  <c r="I144" i="1"/>
  <c r="AA144" i="1"/>
  <c r="J144" i="1"/>
  <c r="T11" i="1"/>
  <c r="I20" i="1"/>
  <c r="I25" i="1"/>
  <c r="P33" i="1"/>
  <c r="D5" i="1"/>
  <c r="L5" i="1" s="1"/>
  <c r="M5" i="1" s="1"/>
  <c r="P5" i="1"/>
  <c r="D10" i="1"/>
  <c r="P10" i="1"/>
  <c r="D15" i="1"/>
  <c r="P15" i="1"/>
  <c r="N18" i="1"/>
  <c r="O18" i="1" s="1"/>
  <c r="Z18" i="1" s="1"/>
  <c r="W19" i="1"/>
  <c r="Y19" i="1" s="1"/>
  <c r="J20" i="1"/>
  <c r="J23" i="1"/>
  <c r="K23" i="1" s="1"/>
  <c r="J25" i="1"/>
  <c r="K25" i="1" s="1"/>
  <c r="AA26" i="1"/>
  <c r="D28" i="1"/>
  <c r="L28" i="1" s="1"/>
  <c r="M28" i="1" s="1"/>
  <c r="I30" i="1"/>
  <c r="Q33" i="1"/>
  <c r="T38" i="1"/>
  <c r="I43" i="1"/>
  <c r="J47" i="1"/>
  <c r="K47" i="1" s="1"/>
  <c r="J51" i="1"/>
  <c r="I51" i="1"/>
  <c r="N51" i="1"/>
  <c r="O51" i="1" s="1"/>
  <c r="Z51" i="1" s="1"/>
  <c r="R53" i="1"/>
  <c r="S53" i="1" s="1"/>
  <c r="J55" i="1"/>
  <c r="P56" i="1"/>
  <c r="I58" i="1"/>
  <c r="D65" i="1"/>
  <c r="J66" i="1"/>
  <c r="K66" i="1" s="1"/>
  <c r="I66" i="1"/>
  <c r="N70" i="1"/>
  <c r="O70" i="1" s="1"/>
  <c r="Z70" i="1" s="1"/>
  <c r="AA70" i="1"/>
  <c r="I70" i="1"/>
  <c r="N73" i="1"/>
  <c r="O73" i="1" s="1"/>
  <c r="Z73" i="1" s="1"/>
  <c r="P78" i="1"/>
  <c r="J80" i="1"/>
  <c r="AA80" i="1"/>
  <c r="L83" i="1"/>
  <c r="M83" i="1" s="1"/>
  <c r="P86" i="1"/>
  <c r="AA87" i="1"/>
  <c r="J87" i="1"/>
  <c r="P93" i="1"/>
  <c r="I100" i="1"/>
  <c r="N102" i="1"/>
  <c r="O102" i="1" s="1"/>
  <c r="Z102" i="1" s="1"/>
  <c r="P106" i="1"/>
  <c r="D106" i="1"/>
  <c r="Q111" i="1"/>
  <c r="K112" i="1"/>
  <c r="AA113" i="1"/>
  <c r="R117" i="1"/>
  <c r="S117" i="1" s="1"/>
  <c r="Q122" i="1"/>
  <c r="W128" i="1"/>
  <c r="Y128" i="1" s="1"/>
  <c r="J130" i="1"/>
  <c r="K130" i="1" s="1"/>
  <c r="I130" i="1"/>
  <c r="N130" i="1"/>
  <c r="O130" i="1" s="1"/>
  <c r="Z130" i="1" s="1"/>
  <c r="AA130" i="1"/>
  <c r="R133" i="1"/>
  <c r="S133" i="1" s="1"/>
  <c r="W133" i="1"/>
  <c r="Y133" i="1" s="1"/>
  <c r="T133" i="1"/>
  <c r="W39" i="1"/>
  <c r="Y39" i="1" s="1"/>
  <c r="AA40" i="1"/>
  <c r="Q41" i="1"/>
  <c r="P42" i="1"/>
  <c r="D42" i="1"/>
  <c r="L42" i="1" s="1"/>
  <c r="M42" i="1" s="1"/>
  <c r="Q42" i="1"/>
  <c r="Q45" i="1"/>
  <c r="AA47" i="1"/>
  <c r="Q48" i="1"/>
  <c r="L53" i="1"/>
  <c r="M53" i="1" s="1"/>
  <c r="AA55" i="1"/>
  <c r="Q56" i="1"/>
  <c r="J58" i="1"/>
  <c r="AA58" i="1"/>
  <c r="P63" i="1"/>
  <c r="L68" i="1"/>
  <c r="M68" i="1" s="1"/>
  <c r="T68" i="1"/>
  <c r="P72" i="1"/>
  <c r="D72" i="1"/>
  <c r="L72" i="1" s="1"/>
  <c r="M72" i="1" s="1"/>
  <c r="D85" i="1"/>
  <c r="K88" i="1"/>
  <c r="D88" i="1"/>
  <c r="W90" i="1"/>
  <c r="Y90" i="1" s="1"/>
  <c r="R90" i="1"/>
  <c r="S90" i="1" s="1"/>
  <c r="D91" i="1"/>
  <c r="Q91" i="1"/>
  <c r="P91" i="1"/>
  <c r="R93" i="1"/>
  <c r="S93" i="1" s="1"/>
  <c r="R95" i="1"/>
  <c r="S95" i="1" s="1"/>
  <c r="W97" i="1"/>
  <c r="Y97" i="1" s="1"/>
  <c r="I103" i="1"/>
  <c r="N103" i="1"/>
  <c r="O103" i="1" s="1"/>
  <c r="Z103" i="1" s="1"/>
  <c r="J106" i="1"/>
  <c r="I106" i="1"/>
  <c r="AA106" i="1"/>
  <c r="N106" i="1"/>
  <c r="O106" i="1" s="1"/>
  <c r="Z106" i="1" s="1"/>
  <c r="P107" i="1"/>
  <c r="D107" i="1"/>
  <c r="Q107" i="1"/>
  <c r="Q112" i="1"/>
  <c r="T113" i="1"/>
  <c r="R113" i="1"/>
  <c r="S113" i="1" s="1"/>
  <c r="T117" i="1"/>
  <c r="R123" i="1"/>
  <c r="S123" i="1" s="1"/>
  <c r="W123" i="1"/>
  <c r="Y123" i="1" s="1"/>
  <c r="K22" i="1"/>
  <c r="U28" i="1"/>
  <c r="N31" i="1"/>
  <c r="O31" i="1" s="1"/>
  <c r="Z31" i="1" s="1"/>
  <c r="AA31" i="1"/>
  <c r="K38" i="1"/>
  <c r="D38" i="1"/>
  <c r="L38" i="1" s="1"/>
  <c r="M38" i="1" s="1"/>
  <c r="D3" i="1"/>
  <c r="D8" i="1"/>
  <c r="D13" i="1"/>
  <c r="D18" i="1"/>
  <c r="AA25" i="1"/>
  <c r="J35" i="1"/>
  <c r="K35" i="1" s="1"/>
  <c r="N36" i="1"/>
  <c r="O36" i="1" s="1"/>
  <c r="Z36" i="1" s="1"/>
  <c r="AA36" i="1"/>
  <c r="Q37" i="1"/>
  <c r="N43" i="1"/>
  <c r="O43" i="1" s="1"/>
  <c r="Z43" i="1" s="1"/>
  <c r="AA43" i="1"/>
  <c r="R45" i="1"/>
  <c r="S45" i="1" s="1"/>
  <c r="R48" i="1"/>
  <c r="S48" i="1" s="1"/>
  <c r="Q52" i="1"/>
  <c r="K53" i="1"/>
  <c r="W53" i="1"/>
  <c r="Y53" i="1" s="1"/>
  <c r="R54" i="1"/>
  <c r="S54" i="1" s="1"/>
  <c r="T54" i="1"/>
  <c r="Q63" i="1"/>
  <c r="T64" i="1"/>
  <c r="N65" i="1"/>
  <c r="O65" i="1" s="1"/>
  <c r="Z65" i="1" s="1"/>
  <c r="J65" i="1"/>
  <c r="K68" i="1"/>
  <c r="Q68" i="1"/>
  <c r="K70" i="1"/>
  <c r="N72" i="1"/>
  <c r="O72" i="1" s="1"/>
  <c r="Z72" i="1" s="1"/>
  <c r="AA72" i="1"/>
  <c r="I72" i="1"/>
  <c r="R78" i="1"/>
  <c r="S78" i="1" s="1"/>
  <c r="AA83" i="1"/>
  <c r="N85" i="1"/>
  <c r="O85" i="1" s="1"/>
  <c r="Z85" i="1" s="1"/>
  <c r="J85" i="1"/>
  <c r="K85" i="1" s="1"/>
  <c r="AA85" i="1"/>
  <c r="K90" i="1"/>
  <c r="J91" i="1"/>
  <c r="K91" i="1" s="1"/>
  <c r="I91" i="1"/>
  <c r="AA92" i="1"/>
  <c r="J103" i="1"/>
  <c r="L103" i="1" s="1"/>
  <c r="M103" i="1" s="1"/>
  <c r="I107" i="1"/>
  <c r="N107" i="1"/>
  <c r="O107" i="1" s="1"/>
  <c r="Z107" i="1" s="1"/>
  <c r="J107" i="1"/>
  <c r="T112" i="1"/>
  <c r="J135" i="1"/>
  <c r="I135" i="1"/>
  <c r="N135" i="1"/>
  <c r="O135" i="1" s="1"/>
  <c r="Z135" i="1" s="1"/>
  <c r="AA135" i="1"/>
  <c r="AA146" i="1"/>
  <c r="J146" i="1"/>
  <c r="K146" i="1" s="1"/>
  <c r="N146" i="1"/>
  <c r="O146" i="1" s="1"/>
  <c r="Z146" i="1" s="1"/>
  <c r="I146" i="1"/>
  <c r="D179" i="1"/>
  <c r="Q179" i="1"/>
  <c r="P179" i="1"/>
  <c r="P27" i="1"/>
  <c r="D27" i="1"/>
  <c r="D60" i="1"/>
  <c r="J61" i="1"/>
  <c r="L61" i="1" s="1"/>
  <c r="M61" i="1" s="1"/>
  <c r="I61" i="1"/>
  <c r="R79" i="1"/>
  <c r="S79" i="1" s="1"/>
  <c r="T79" i="1"/>
  <c r="P97" i="1"/>
  <c r="D97" i="1"/>
  <c r="L97" i="1" s="1"/>
  <c r="M97" i="1" s="1"/>
  <c r="J101" i="1"/>
  <c r="I101" i="1"/>
  <c r="AA101" i="1"/>
  <c r="N101" i="1"/>
  <c r="O101" i="1" s="1"/>
  <c r="Z101" i="1" s="1"/>
  <c r="D108" i="1"/>
  <c r="Q132" i="1"/>
  <c r="D132" i="1"/>
  <c r="P132" i="1"/>
  <c r="Q138" i="1"/>
  <c r="D138" i="1"/>
  <c r="L138" i="1" s="1"/>
  <c r="M138" i="1" s="1"/>
  <c r="P138" i="1"/>
  <c r="Q144" i="1"/>
  <c r="P144" i="1"/>
  <c r="R158" i="1"/>
  <c r="S158" i="1" s="1"/>
  <c r="T158" i="1"/>
  <c r="V162" i="1"/>
  <c r="U162" i="1"/>
  <c r="V171" i="1"/>
  <c r="U171" i="1"/>
  <c r="W161" i="1"/>
  <c r="Y161" i="1" s="1"/>
  <c r="T161" i="1"/>
  <c r="R161" i="1"/>
  <c r="S161" i="1" s="1"/>
  <c r="J71" i="1"/>
  <c r="I71" i="1"/>
  <c r="P82" i="1"/>
  <c r="D82" i="1"/>
  <c r="K83" i="1"/>
  <c r="N90" i="1"/>
  <c r="O90" i="1" s="1"/>
  <c r="Z90" i="1" s="1"/>
  <c r="AA90" i="1"/>
  <c r="J96" i="1"/>
  <c r="K96" i="1" s="1"/>
  <c r="I96" i="1"/>
  <c r="AA97" i="1"/>
  <c r="P98" i="1"/>
  <c r="Q116" i="1"/>
  <c r="P117" i="1"/>
  <c r="D117" i="1"/>
  <c r="L117" i="1" s="1"/>
  <c r="M117" i="1" s="1"/>
  <c r="P121" i="1"/>
  <c r="K124" i="1"/>
  <c r="D142" i="1"/>
  <c r="Q142" i="1"/>
  <c r="P142" i="1"/>
  <c r="AA142" i="1"/>
  <c r="Q145" i="1"/>
  <c r="D145" i="1"/>
  <c r="P145" i="1"/>
  <c r="L158" i="1"/>
  <c r="M158" i="1" s="1"/>
  <c r="K161" i="1"/>
  <c r="P183" i="1"/>
  <c r="D183" i="1"/>
  <c r="L183" i="1" s="1"/>
  <c r="M183" i="1" s="1"/>
  <c r="K183" i="1"/>
  <c r="K193" i="1"/>
  <c r="D193" i="1"/>
  <c r="L193" i="1" s="1"/>
  <c r="M193" i="1" s="1"/>
  <c r="Q193" i="1"/>
  <c r="P193" i="1"/>
  <c r="T136" i="1"/>
  <c r="R136" i="1"/>
  <c r="S136" i="1" s="1"/>
  <c r="J145" i="1"/>
  <c r="K145" i="1" s="1"/>
  <c r="AA145" i="1"/>
  <c r="N145" i="1"/>
  <c r="O145" i="1" s="1"/>
  <c r="Z145" i="1" s="1"/>
  <c r="P146" i="1"/>
  <c r="D146" i="1"/>
  <c r="Q146" i="1"/>
  <c r="D147" i="1"/>
  <c r="Q147" i="1"/>
  <c r="P147" i="1"/>
  <c r="N164" i="1"/>
  <c r="O164" i="1" s="1"/>
  <c r="Z164" i="1" s="1"/>
  <c r="J164" i="1"/>
  <c r="K164" i="1" s="1"/>
  <c r="I164" i="1"/>
  <c r="AA164" i="1"/>
  <c r="P176" i="1"/>
  <c r="D176" i="1"/>
  <c r="Q176" i="1"/>
  <c r="J111" i="1"/>
  <c r="I111" i="1"/>
  <c r="Q130" i="1"/>
  <c r="J142" i="1"/>
  <c r="Q143" i="1"/>
  <c r="D143" i="1"/>
  <c r="P143" i="1"/>
  <c r="Q149" i="1"/>
  <c r="P151" i="1"/>
  <c r="D151" i="1"/>
  <c r="K151" i="1"/>
  <c r="T159" i="1"/>
  <c r="R159" i="1"/>
  <c r="S159" i="1" s="1"/>
  <c r="R94" i="1"/>
  <c r="S94" i="1" s="1"/>
  <c r="K94" i="1"/>
  <c r="V98" i="1"/>
  <c r="U98" i="1"/>
  <c r="N110" i="1"/>
  <c r="O110" i="1" s="1"/>
  <c r="Z110" i="1" s="1"/>
  <c r="AA110" i="1"/>
  <c r="J116" i="1"/>
  <c r="I116" i="1"/>
  <c r="T131" i="1"/>
  <c r="R131" i="1"/>
  <c r="S131" i="1" s="1"/>
  <c r="W131" i="1"/>
  <c r="Y131" i="1" s="1"/>
  <c r="R152" i="1"/>
  <c r="S152" i="1" s="1"/>
  <c r="P166" i="1"/>
  <c r="D166" i="1"/>
  <c r="L166" i="1" s="1"/>
  <c r="M166" i="1" s="1"/>
  <c r="K166" i="1"/>
  <c r="Q166" i="1"/>
  <c r="P171" i="1"/>
  <c r="D171" i="1"/>
  <c r="L171" i="1" s="1"/>
  <c r="M171" i="1" s="1"/>
  <c r="K171" i="1"/>
  <c r="Q171" i="1"/>
  <c r="J46" i="1"/>
  <c r="I46" i="1"/>
  <c r="P57" i="1"/>
  <c r="D57" i="1"/>
  <c r="L57" i="1" s="1"/>
  <c r="M57" i="1" s="1"/>
  <c r="AA71" i="1"/>
  <c r="P92" i="1"/>
  <c r="D92" i="1"/>
  <c r="I93" i="1"/>
  <c r="L94" i="1"/>
  <c r="M94" i="1" s="1"/>
  <c r="R99" i="1"/>
  <c r="S99" i="1" s="1"/>
  <c r="K99" i="1"/>
  <c r="I110" i="1"/>
  <c r="N112" i="1"/>
  <c r="O112" i="1" s="1"/>
  <c r="Z112" i="1" s="1"/>
  <c r="N115" i="1"/>
  <c r="O115" i="1" s="1"/>
  <c r="Z115" i="1" s="1"/>
  <c r="AA115" i="1"/>
  <c r="J121" i="1"/>
  <c r="I121" i="1"/>
  <c r="W129" i="1"/>
  <c r="Y129" i="1" s="1"/>
  <c r="K129" i="1"/>
  <c r="K131" i="1"/>
  <c r="P137" i="1"/>
  <c r="D137" i="1"/>
  <c r="L137" i="1" s="1"/>
  <c r="M137" i="1" s="1"/>
  <c r="Q137" i="1"/>
  <c r="W158" i="1"/>
  <c r="Y158" i="1" s="1"/>
  <c r="J160" i="1"/>
  <c r="L160" i="1" s="1"/>
  <c r="M160" i="1" s="1"/>
  <c r="N160" i="1"/>
  <c r="O160" i="1" s="1"/>
  <c r="Z160" i="1" s="1"/>
  <c r="W166" i="1"/>
  <c r="Y166" i="1" s="1"/>
  <c r="R166" i="1"/>
  <c r="S166" i="1" s="1"/>
  <c r="W172" i="1"/>
  <c r="Y172" i="1" s="1"/>
  <c r="R172" i="1"/>
  <c r="S172" i="1" s="1"/>
  <c r="J175" i="1"/>
  <c r="AA175" i="1"/>
  <c r="N175" i="1"/>
  <c r="O175" i="1" s="1"/>
  <c r="Z175" i="1" s="1"/>
  <c r="I175" i="1"/>
  <c r="R178" i="1"/>
  <c r="S178" i="1" s="1"/>
  <c r="K178" i="1"/>
  <c r="W178" i="1"/>
  <c r="Y178" i="1" s="1"/>
  <c r="T178" i="1"/>
  <c r="Q183" i="1"/>
  <c r="N184" i="1"/>
  <c r="O184" i="1" s="1"/>
  <c r="Z184" i="1" s="1"/>
  <c r="J184" i="1"/>
  <c r="K184" i="1" s="1"/>
  <c r="I184" i="1"/>
  <c r="AA184" i="1"/>
  <c r="P102" i="1"/>
  <c r="D102" i="1"/>
  <c r="K113" i="1"/>
  <c r="N116" i="1"/>
  <c r="O116" i="1" s="1"/>
  <c r="Z116" i="1" s="1"/>
  <c r="AA116" i="1"/>
  <c r="N125" i="1"/>
  <c r="O125" i="1" s="1"/>
  <c r="Z125" i="1" s="1"/>
  <c r="AA125" i="1"/>
  <c r="D144" i="1"/>
  <c r="P152" i="1"/>
  <c r="K152" i="1"/>
  <c r="K165" i="1"/>
  <c r="D165" i="1"/>
  <c r="L165" i="1" s="1"/>
  <c r="M165" i="1" s="1"/>
  <c r="Q165" i="1"/>
  <c r="P165" i="1"/>
  <c r="V166" i="1"/>
  <c r="U166" i="1"/>
  <c r="K169" i="1"/>
  <c r="T169" i="1"/>
  <c r="R169" i="1"/>
  <c r="S169" i="1" s="1"/>
  <c r="R173" i="1"/>
  <c r="S173" i="1" s="1"/>
  <c r="T173" i="1"/>
  <c r="W173" i="1"/>
  <c r="Y173" i="1" s="1"/>
  <c r="K173" i="1"/>
  <c r="N174" i="1"/>
  <c r="O174" i="1" s="1"/>
  <c r="Z174" i="1" s="1"/>
  <c r="AA174" i="1"/>
  <c r="J174" i="1"/>
  <c r="L174" i="1" s="1"/>
  <c r="M174" i="1" s="1"/>
  <c r="I174" i="1"/>
  <c r="AA197" i="1"/>
  <c r="N197" i="1"/>
  <c r="O197" i="1" s="1"/>
  <c r="Z197" i="1" s="1"/>
  <c r="I197" i="1"/>
  <c r="K198" i="1"/>
  <c r="P198" i="1"/>
  <c r="T227" i="1"/>
  <c r="P156" i="1"/>
  <c r="D156" i="1"/>
  <c r="N165" i="1"/>
  <c r="O165" i="1" s="1"/>
  <c r="Z165" i="1" s="1"/>
  <c r="N166" i="1"/>
  <c r="O166" i="1" s="1"/>
  <c r="Z166" i="1" s="1"/>
  <c r="Q167" i="1"/>
  <c r="W171" i="1"/>
  <c r="Y171" i="1" s="1"/>
  <c r="N179" i="1"/>
  <c r="O179" i="1" s="1"/>
  <c r="Z179" i="1" s="1"/>
  <c r="J179" i="1"/>
  <c r="K179" i="1" s="1"/>
  <c r="I236" i="1"/>
  <c r="AA236" i="1"/>
  <c r="N236" i="1"/>
  <c r="O236" i="1" s="1"/>
  <c r="Z236" i="1" s="1"/>
  <c r="J236" i="1"/>
  <c r="P243" i="1"/>
  <c r="Q243" i="1"/>
  <c r="D243" i="1"/>
  <c r="K128" i="1"/>
  <c r="K133" i="1"/>
  <c r="I154" i="1"/>
  <c r="Q160" i="1"/>
  <c r="R162" i="1"/>
  <c r="S162" i="1" s="1"/>
  <c r="D163" i="1"/>
  <c r="L163" i="1" s="1"/>
  <c r="M163" i="1" s="1"/>
  <c r="P163" i="1"/>
  <c r="T168" i="1"/>
  <c r="D169" i="1"/>
  <c r="L169" i="1" s="1"/>
  <c r="M169" i="1" s="1"/>
  <c r="I171" i="1"/>
  <c r="I179" i="1"/>
  <c r="AA187" i="1"/>
  <c r="N187" i="1"/>
  <c r="O187" i="1" s="1"/>
  <c r="Z187" i="1" s="1"/>
  <c r="R197" i="1"/>
  <c r="S197" i="1" s="1"/>
  <c r="K205" i="1"/>
  <c r="D205" i="1"/>
  <c r="L205" i="1" s="1"/>
  <c r="M205" i="1" s="1"/>
  <c r="Q205" i="1"/>
  <c r="J207" i="1"/>
  <c r="K207" i="1" s="1"/>
  <c r="I207" i="1"/>
  <c r="AA207" i="1"/>
  <c r="N207" i="1"/>
  <c r="O207" i="1" s="1"/>
  <c r="Z207" i="1" s="1"/>
  <c r="U219" i="1"/>
  <c r="V219" i="1"/>
  <c r="R233" i="1"/>
  <c r="S233" i="1" s="1"/>
  <c r="T233" i="1"/>
  <c r="Q235" i="1"/>
  <c r="P235" i="1"/>
  <c r="K235" i="1"/>
  <c r="D235" i="1"/>
  <c r="L235" i="1" s="1"/>
  <c r="M235" i="1" s="1"/>
  <c r="N139" i="1"/>
  <c r="O139" i="1" s="1"/>
  <c r="Z139" i="1" s="1"/>
  <c r="J139" i="1"/>
  <c r="P141" i="1"/>
  <c r="D141" i="1"/>
  <c r="Q141" i="1"/>
  <c r="J154" i="1"/>
  <c r="Q159" i="1"/>
  <c r="D159" i="1"/>
  <c r="L159" i="1" s="1"/>
  <c r="M159" i="1" s="1"/>
  <c r="P161" i="1"/>
  <c r="D161" i="1"/>
  <c r="L161" i="1" s="1"/>
  <c r="M161" i="1" s="1"/>
  <c r="Q164" i="1"/>
  <c r="AA165" i="1"/>
  <c r="T170" i="1"/>
  <c r="W170" i="1"/>
  <c r="Y170" i="1" s="1"/>
  <c r="L177" i="1"/>
  <c r="M177" i="1" s="1"/>
  <c r="I206" i="1"/>
  <c r="J206" i="1"/>
  <c r="K206" i="1" s="1"/>
  <c r="AA206" i="1"/>
  <c r="N206" i="1"/>
  <c r="O206" i="1" s="1"/>
  <c r="Z206" i="1" s="1"/>
  <c r="V222" i="1"/>
  <c r="U222" i="1"/>
  <c r="AA234" i="1"/>
  <c r="N234" i="1"/>
  <c r="O234" i="1" s="1"/>
  <c r="Z234" i="1" s="1"/>
  <c r="J234" i="1"/>
  <c r="N159" i="1"/>
  <c r="O159" i="1" s="1"/>
  <c r="Z159" i="1" s="1"/>
  <c r="AA159" i="1"/>
  <c r="D164" i="1"/>
  <c r="I170" i="1"/>
  <c r="AA171" i="1"/>
  <c r="T177" i="1"/>
  <c r="W187" i="1"/>
  <c r="Y187" i="1" s="1"/>
  <c r="R187" i="1"/>
  <c r="S187" i="1" s="1"/>
  <c r="T197" i="1"/>
  <c r="AA204" i="1"/>
  <c r="N204" i="1"/>
  <c r="O204" i="1" s="1"/>
  <c r="Z204" i="1" s="1"/>
  <c r="J204" i="1"/>
  <c r="I204" i="1"/>
  <c r="T224" i="1"/>
  <c r="R224" i="1"/>
  <c r="S224" i="1" s="1"/>
  <c r="L224" i="1"/>
  <c r="M224" i="1" s="1"/>
  <c r="I234" i="1"/>
  <c r="Q242" i="1"/>
  <c r="P242" i="1"/>
  <c r="D242" i="1"/>
  <c r="R165" i="1"/>
  <c r="S165" i="1" s="1"/>
  <c r="J167" i="1"/>
  <c r="L167" i="1" s="1"/>
  <c r="M167" i="1" s="1"/>
  <c r="I167" i="1"/>
  <c r="W168" i="1"/>
  <c r="Y168" i="1" s="1"/>
  <c r="P201" i="1"/>
  <c r="D201" i="1"/>
  <c r="P205" i="1"/>
  <c r="K224" i="1"/>
  <c r="W233" i="1"/>
  <c r="Y233" i="1" s="1"/>
  <c r="P202" i="1"/>
  <c r="K213" i="1"/>
  <c r="Q213" i="1"/>
  <c r="D213" i="1"/>
  <c r="L213" i="1" s="1"/>
  <c r="M213" i="1" s="1"/>
  <c r="P213" i="1"/>
  <c r="V221" i="1"/>
  <c r="U221" i="1"/>
  <c r="W244" i="1"/>
  <c r="Y244" i="1" s="1"/>
  <c r="K244" i="1"/>
  <c r="T244" i="1"/>
  <c r="U165" i="1"/>
  <c r="L172" i="1"/>
  <c r="M172" i="1" s="1"/>
  <c r="J176" i="1"/>
  <c r="K176" i="1" s="1"/>
  <c r="I176" i="1"/>
  <c r="Q189" i="1"/>
  <c r="D189" i="1"/>
  <c r="AA196" i="1"/>
  <c r="N196" i="1"/>
  <c r="O196" i="1" s="1"/>
  <c r="Z196" i="1" s="1"/>
  <c r="J200" i="1"/>
  <c r="N200" i="1"/>
  <c r="O200" i="1" s="1"/>
  <c r="Z200" i="1" s="1"/>
  <c r="I200" i="1"/>
  <c r="AA200" i="1"/>
  <c r="K212" i="1"/>
  <c r="D212" i="1"/>
  <c r="L212" i="1" s="1"/>
  <c r="M212" i="1" s="1"/>
  <c r="Q212" i="1"/>
  <c r="R229" i="1"/>
  <c r="S229" i="1" s="1"/>
  <c r="J230" i="1"/>
  <c r="AA230" i="1"/>
  <c r="P241" i="1"/>
  <c r="D241" i="1"/>
  <c r="Q241" i="1"/>
  <c r="W148" i="1"/>
  <c r="Y148" i="1" s="1"/>
  <c r="AA154" i="1"/>
  <c r="N155" i="1"/>
  <c r="O155" i="1" s="1"/>
  <c r="Z155" i="1" s="1"/>
  <c r="AA155" i="1"/>
  <c r="N162" i="1"/>
  <c r="O162" i="1" s="1"/>
  <c r="Z162" i="1" s="1"/>
  <c r="I165" i="1"/>
  <c r="I166" i="1"/>
  <c r="N167" i="1"/>
  <c r="O167" i="1" s="1"/>
  <c r="Z167" i="1" s="1"/>
  <c r="AA167" i="1"/>
  <c r="AA169" i="1"/>
  <c r="P170" i="1"/>
  <c r="K177" i="1"/>
  <c r="R186" i="1"/>
  <c r="S186" i="1" s="1"/>
  <c r="T186" i="1"/>
  <c r="U187" i="1"/>
  <c r="P192" i="1"/>
  <c r="Q192" i="1"/>
  <c r="D192" i="1"/>
  <c r="I196" i="1"/>
  <c r="T198" i="1"/>
  <c r="Q201" i="1"/>
  <c r="P211" i="1"/>
  <c r="D211" i="1"/>
  <c r="Q211" i="1"/>
  <c r="W212" i="1"/>
  <c r="Y212" i="1" s="1"/>
  <c r="T212" i="1"/>
  <c r="R212" i="1"/>
  <c r="S212" i="1" s="1"/>
  <c r="I230" i="1"/>
  <c r="R231" i="1"/>
  <c r="S231" i="1" s="1"/>
  <c r="R244" i="1"/>
  <c r="S244" i="1" s="1"/>
  <c r="AA139" i="1"/>
  <c r="J150" i="1"/>
  <c r="L150" i="1" s="1"/>
  <c r="M150" i="1" s="1"/>
  <c r="AA150" i="1"/>
  <c r="Q156" i="1"/>
  <c r="P157" i="1"/>
  <c r="N161" i="1"/>
  <c r="O161" i="1" s="1"/>
  <c r="Z161" i="1" s="1"/>
  <c r="AA162" i="1"/>
  <c r="W165" i="1"/>
  <c r="Y165" i="1" s="1"/>
  <c r="P188" i="1"/>
  <c r="R191" i="1"/>
  <c r="S191" i="1" s="1"/>
  <c r="W191" i="1"/>
  <c r="Y191" i="1" s="1"/>
  <c r="AA192" i="1"/>
  <c r="N192" i="1"/>
  <c r="O192" i="1" s="1"/>
  <c r="Z192" i="1" s="1"/>
  <c r="J192" i="1"/>
  <c r="V193" i="1"/>
  <c r="U193" i="1"/>
  <c r="U194" i="1"/>
  <c r="V194" i="1"/>
  <c r="J196" i="1"/>
  <c r="P197" i="1"/>
  <c r="K197" i="1"/>
  <c r="Q197" i="1"/>
  <c r="D198" i="1"/>
  <c r="L198" i="1" s="1"/>
  <c r="M198" i="1" s="1"/>
  <c r="W198" i="1"/>
  <c r="Y198" i="1" s="1"/>
  <c r="Q202" i="1"/>
  <c r="U208" i="1"/>
  <c r="W224" i="1"/>
  <c r="Y224" i="1" s="1"/>
  <c r="N230" i="1"/>
  <c r="O230" i="1" s="1"/>
  <c r="Z230" i="1" s="1"/>
  <c r="AA237" i="1"/>
  <c r="N237" i="1"/>
  <c r="O237" i="1" s="1"/>
  <c r="Z237" i="1" s="1"/>
  <c r="J237" i="1"/>
  <c r="I237" i="1"/>
  <c r="Q178" i="1"/>
  <c r="P196" i="1"/>
  <c r="D196" i="1"/>
  <c r="N205" i="1"/>
  <c r="O205" i="1" s="1"/>
  <c r="Z205" i="1" s="1"/>
  <c r="W222" i="1"/>
  <c r="Y222" i="1" s="1"/>
  <c r="W223" i="1"/>
  <c r="Y223" i="1" s="1"/>
  <c r="W225" i="1"/>
  <c r="Y225" i="1" s="1"/>
  <c r="T225" i="1"/>
  <c r="AA229" i="1"/>
  <c r="N229" i="1"/>
  <c r="O229" i="1" s="1"/>
  <c r="Z229" i="1" s="1"/>
  <c r="P236" i="1"/>
  <c r="D236" i="1"/>
  <c r="K238" i="1"/>
  <c r="Q240" i="1"/>
  <c r="P245" i="1"/>
  <c r="Q247" i="1"/>
  <c r="Q250" i="1"/>
  <c r="P251" i="1"/>
  <c r="D251" i="1"/>
  <c r="P258" i="1"/>
  <c r="Q259" i="1"/>
  <c r="D259" i="1"/>
  <c r="L259" i="1" s="1"/>
  <c r="M259" i="1" s="1"/>
  <c r="W260" i="1"/>
  <c r="Y260" i="1" s="1"/>
  <c r="N265" i="1"/>
  <c r="O265" i="1" s="1"/>
  <c r="Z265" i="1" s="1"/>
  <c r="AA276" i="1"/>
  <c r="I276" i="1"/>
  <c r="J276" i="1"/>
  <c r="P288" i="1"/>
  <c r="Q288" i="1"/>
  <c r="AA290" i="1"/>
  <c r="I290" i="1"/>
  <c r="P293" i="1"/>
  <c r="K293" i="1"/>
  <c r="N297" i="1"/>
  <c r="O297" i="1" s="1"/>
  <c r="Z297" i="1" s="1"/>
  <c r="I297" i="1"/>
  <c r="D304" i="1"/>
  <c r="P304" i="1"/>
  <c r="R329" i="1"/>
  <c r="S329" i="1" s="1"/>
  <c r="W329" i="1"/>
  <c r="Y329" i="1" s="1"/>
  <c r="AA267" i="1"/>
  <c r="N267" i="1"/>
  <c r="O267" i="1" s="1"/>
  <c r="Z267" i="1" s="1"/>
  <c r="N269" i="1"/>
  <c r="O269" i="1" s="1"/>
  <c r="Z269" i="1" s="1"/>
  <c r="J269" i="1"/>
  <c r="AA271" i="1"/>
  <c r="I271" i="1"/>
  <c r="J271" i="1"/>
  <c r="P273" i="1"/>
  <c r="K273" i="1"/>
  <c r="I288" i="1"/>
  <c r="AA288" i="1"/>
  <c r="W297" i="1"/>
  <c r="Y297" i="1" s="1"/>
  <c r="R297" i="1"/>
  <c r="S297" i="1" s="1"/>
  <c r="K297" i="1"/>
  <c r="P298" i="1"/>
  <c r="K298" i="1"/>
  <c r="D298" i="1"/>
  <c r="L298" i="1" s="1"/>
  <c r="M298" i="1" s="1"/>
  <c r="AA301" i="1"/>
  <c r="I301" i="1"/>
  <c r="J301" i="1"/>
  <c r="L301" i="1" s="1"/>
  <c r="M301" i="1" s="1"/>
  <c r="L316" i="1"/>
  <c r="M316" i="1" s="1"/>
  <c r="W320" i="1"/>
  <c r="Y320" i="1" s="1"/>
  <c r="R320" i="1"/>
  <c r="S320" i="1" s="1"/>
  <c r="T320" i="1"/>
  <c r="AA332" i="1"/>
  <c r="N332" i="1"/>
  <c r="O332" i="1" s="1"/>
  <c r="Z332" i="1" s="1"/>
  <c r="I332" i="1"/>
  <c r="W335" i="1"/>
  <c r="Y335" i="1" s="1"/>
  <c r="K344" i="1"/>
  <c r="Q344" i="1"/>
  <c r="P344" i="1"/>
  <c r="D344" i="1"/>
  <c r="L344" i="1" s="1"/>
  <c r="M344" i="1" s="1"/>
  <c r="W235" i="1"/>
  <c r="Y235" i="1" s="1"/>
  <c r="T235" i="1"/>
  <c r="AA239" i="1"/>
  <c r="N239" i="1"/>
  <c r="O239" i="1" s="1"/>
  <c r="Z239" i="1" s="1"/>
  <c r="P246" i="1"/>
  <c r="D246" i="1"/>
  <c r="AA256" i="1"/>
  <c r="N256" i="1"/>
  <c r="O256" i="1" s="1"/>
  <c r="Z256" i="1" s="1"/>
  <c r="D262" i="1"/>
  <c r="W263" i="1"/>
  <c r="Y263" i="1" s="1"/>
  <c r="T263" i="1"/>
  <c r="I267" i="1"/>
  <c r="I269" i="1"/>
  <c r="AA269" i="1"/>
  <c r="W280" i="1"/>
  <c r="Y280" i="1" s="1"/>
  <c r="T280" i="1"/>
  <c r="I283" i="1"/>
  <c r="AA283" i="1"/>
  <c r="D285" i="1"/>
  <c r="Q285" i="1"/>
  <c r="J288" i="1"/>
  <c r="K288" i="1" s="1"/>
  <c r="N322" i="1"/>
  <c r="O322" i="1" s="1"/>
  <c r="Z322" i="1" s="1"/>
  <c r="J322" i="1"/>
  <c r="W330" i="1"/>
  <c r="Y330" i="1" s="1"/>
  <c r="R330" i="1"/>
  <c r="S330" i="1" s="1"/>
  <c r="T330" i="1"/>
  <c r="W332" i="1"/>
  <c r="Y332" i="1" s="1"/>
  <c r="R332" i="1"/>
  <c r="S332" i="1" s="1"/>
  <c r="T332" i="1"/>
  <c r="K332" i="1"/>
  <c r="J355" i="1"/>
  <c r="K355" i="1" s="1"/>
  <c r="AA355" i="1"/>
  <c r="N355" i="1"/>
  <c r="O355" i="1" s="1"/>
  <c r="Z355" i="1" s="1"/>
  <c r="I355" i="1"/>
  <c r="AA366" i="1"/>
  <c r="N366" i="1"/>
  <c r="O366" i="1" s="1"/>
  <c r="Z366" i="1" s="1"/>
  <c r="J366" i="1"/>
  <c r="L366" i="1" s="1"/>
  <c r="M366" i="1" s="1"/>
  <c r="I366" i="1"/>
  <c r="I235" i="1"/>
  <c r="I239" i="1"/>
  <c r="W240" i="1"/>
  <c r="Y240" i="1" s="1"/>
  <c r="T240" i="1"/>
  <c r="J241" i="1"/>
  <c r="K241" i="1" s="1"/>
  <c r="I242" i="1"/>
  <c r="AA244" i="1"/>
  <c r="N244" i="1"/>
  <c r="O244" i="1" s="1"/>
  <c r="Z244" i="1" s="1"/>
  <c r="I256" i="1"/>
  <c r="J267" i="1"/>
  <c r="N271" i="1"/>
  <c r="O271" i="1" s="1"/>
  <c r="Z271" i="1" s="1"/>
  <c r="D279" i="1"/>
  <c r="P279" i="1"/>
  <c r="T283" i="1"/>
  <c r="R283" i="1"/>
  <c r="S283" i="1" s="1"/>
  <c r="AA291" i="1"/>
  <c r="I291" i="1"/>
  <c r="N291" i="1"/>
  <c r="O291" i="1" s="1"/>
  <c r="Z291" i="1" s="1"/>
  <c r="J291" i="1"/>
  <c r="W298" i="1"/>
  <c r="Y298" i="1" s="1"/>
  <c r="R298" i="1"/>
  <c r="S298" i="1" s="1"/>
  <c r="D299" i="1"/>
  <c r="L299" i="1" s="1"/>
  <c r="M299" i="1" s="1"/>
  <c r="I322" i="1"/>
  <c r="Q324" i="1"/>
  <c r="P324" i="1"/>
  <c r="AA346" i="1"/>
  <c r="J346" i="1"/>
  <c r="I346" i="1"/>
  <c r="N346" i="1"/>
  <c r="O346" i="1" s="1"/>
  <c r="Z346" i="1" s="1"/>
  <c r="U382" i="1"/>
  <c r="J396" i="1"/>
  <c r="AA396" i="1"/>
  <c r="N396" i="1"/>
  <c r="O396" i="1" s="1"/>
  <c r="Z396" i="1" s="1"/>
  <c r="I396" i="1"/>
  <c r="K187" i="1"/>
  <c r="AA199" i="1"/>
  <c r="N199" i="1"/>
  <c r="O199" i="1" s="1"/>
  <c r="Z199" i="1" s="1"/>
  <c r="P206" i="1"/>
  <c r="D206" i="1"/>
  <c r="Q210" i="1"/>
  <c r="P218" i="1"/>
  <c r="N225" i="1"/>
  <c r="O225" i="1" s="1"/>
  <c r="Z225" i="1" s="1"/>
  <c r="N226" i="1"/>
  <c r="O226" i="1" s="1"/>
  <c r="Z226" i="1" s="1"/>
  <c r="AA226" i="1"/>
  <c r="N227" i="1"/>
  <c r="O227" i="1" s="1"/>
  <c r="Z227" i="1" s="1"/>
  <c r="J239" i="1"/>
  <c r="I240" i="1"/>
  <c r="J242" i="1"/>
  <c r="I244" i="1"/>
  <c r="W245" i="1"/>
  <c r="Y245" i="1" s="1"/>
  <c r="T245" i="1"/>
  <c r="J246" i="1"/>
  <c r="I247" i="1"/>
  <c r="AA249" i="1"/>
  <c r="N249" i="1"/>
  <c r="O249" i="1" s="1"/>
  <c r="Z249" i="1" s="1"/>
  <c r="W250" i="1"/>
  <c r="Y250" i="1" s="1"/>
  <c r="T250" i="1"/>
  <c r="Q254" i="1"/>
  <c r="D254" i="1"/>
  <c r="I255" i="1"/>
  <c r="J256" i="1"/>
  <c r="N262" i="1"/>
  <c r="O262" i="1" s="1"/>
  <c r="Z262" i="1" s="1"/>
  <c r="J262" i="1"/>
  <c r="K262" i="1" s="1"/>
  <c r="AA266" i="1"/>
  <c r="N266" i="1"/>
  <c r="O266" i="1" s="1"/>
  <c r="Z266" i="1" s="1"/>
  <c r="J275" i="1"/>
  <c r="I275" i="1"/>
  <c r="K283" i="1"/>
  <c r="I285" i="1"/>
  <c r="I287" i="1"/>
  <c r="N288" i="1"/>
  <c r="O288" i="1" s="1"/>
  <c r="Z288" i="1" s="1"/>
  <c r="Q289" i="1"/>
  <c r="P289" i="1"/>
  <c r="R290" i="1"/>
  <c r="S290" i="1" s="1"/>
  <c r="Q293" i="1"/>
  <c r="T299" i="1"/>
  <c r="R299" i="1"/>
  <c r="S299" i="1" s="1"/>
  <c r="I310" i="1"/>
  <c r="T316" i="1"/>
  <c r="R316" i="1"/>
  <c r="S316" i="1" s="1"/>
  <c r="K316" i="1"/>
  <c r="W316" i="1"/>
  <c r="Y316" i="1" s="1"/>
  <c r="P318" i="1"/>
  <c r="K318" i="1"/>
  <c r="Q318" i="1"/>
  <c r="D318" i="1"/>
  <c r="L318" i="1" s="1"/>
  <c r="M318" i="1" s="1"/>
  <c r="T324" i="1"/>
  <c r="R324" i="1"/>
  <c r="S324" i="1" s="1"/>
  <c r="P340" i="1"/>
  <c r="D340" i="1"/>
  <c r="Q340" i="1"/>
  <c r="R353" i="1"/>
  <c r="S353" i="1" s="1"/>
  <c r="K353" i="1"/>
  <c r="W353" i="1"/>
  <c r="Y353" i="1" s="1"/>
  <c r="T353" i="1"/>
  <c r="L353" i="1"/>
  <c r="M353" i="1" s="1"/>
  <c r="J255" i="1"/>
  <c r="K255" i="1" s="1"/>
  <c r="J277" i="1"/>
  <c r="L277" i="1" s="1"/>
  <c r="M277" i="1" s="1"/>
  <c r="I277" i="1"/>
  <c r="T279" i="1"/>
  <c r="J285" i="1"/>
  <c r="K285" i="1" s="1"/>
  <c r="J287" i="1"/>
  <c r="AA289" i="1"/>
  <c r="J289" i="1"/>
  <c r="R293" i="1"/>
  <c r="S293" i="1" s="1"/>
  <c r="T297" i="1"/>
  <c r="J302" i="1"/>
  <c r="I302" i="1"/>
  <c r="AA302" i="1"/>
  <c r="T308" i="1"/>
  <c r="R308" i="1"/>
  <c r="S308" i="1" s="1"/>
  <c r="J310" i="1"/>
  <c r="L310" i="1" s="1"/>
  <c r="M310" i="1" s="1"/>
  <c r="AA311" i="1"/>
  <c r="I311" i="1"/>
  <c r="N311" i="1"/>
  <c r="O311" i="1" s="1"/>
  <c r="Z311" i="1" s="1"/>
  <c r="P343" i="1"/>
  <c r="D343" i="1"/>
  <c r="Q343" i="1"/>
  <c r="N379" i="1"/>
  <c r="O379" i="1" s="1"/>
  <c r="Z379" i="1" s="1"/>
  <c r="J379" i="1"/>
  <c r="AA379" i="1"/>
  <c r="I379" i="1"/>
  <c r="N191" i="1"/>
  <c r="O191" i="1" s="1"/>
  <c r="Z191" i="1" s="1"/>
  <c r="J199" i="1"/>
  <c r="J202" i="1"/>
  <c r="L202" i="1" s="1"/>
  <c r="M202" i="1" s="1"/>
  <c r="W203" i="1"/>
  <c r="Y203" i="1" s="1"/>
  <c r="W205" i="1"/>
  <c r="Y205" i="1" s="1"/>
  <c r="T205" i="1"/>
  <c r="AA209" i="1"/>
  <c r="N209" i="1"/>
  <c r="O209" i="1" s="1"/>
  <c r="Z209" i="1" s="1"/>
  <c r="P216" i="1"/>
  <c r="D216" i="1"/>
  <c r="R219" i="1"/>
  <c r="S219" i="1" s="1"/>
  <c r="N235" i="1"/>
  <c r="O235" i="1" s="1"/>
  <c r="Z235" i="1" s="1"/>
  <c r="J249" i="1"/>
  <c r="K250" i="1"/>
  <c r="Q252" i="1"/>
  <c r="R253" i="1"/>
  <c r="S253" i="1" s="1"/>
  <c r="W258" i="1"/>
  <c r="Y258" i="1" s="1"/>
  <c r="T258" i="1"/>
  <c r="L261" i="1"/>
  <c r="M261" i="1" s="1"/>
  <c r="T261" i="1"/>
  <c r="AA262" i="1"/>
  <c r="P263" i="1"/>
  <c r="Q264" i="1"/>
  <c r="D264" i="1"/>
  <c r="L264" i="1" s="1"/>
  <c r="M264" i="1" s="1"/>
  <c r="I265" i="1"/>
  <c r="J266" i="1"/>
  <c r="P268" i="1"/>
  <c r="K270" i="1"/>
  <c r="D274" i="1"/>
  <c r="L274" i="1" s="1"/>
  <c r="M274" i="1" s="1"/>
  <c r="N275" i="1"/>
  <c r="O275" i="1" s="1"/>
  <c r="Z275" i="1" s="1"/>
  <c r="AA277" i="1"/>
  <c r="W282" i="1"/>
  <c r="Y282" i="1" s="1"/>
  <c r="T282" i="1"/>
  <c r="N283" i="1"/>
  <c r="O283" i="1" s="1"/>
  <c r="Z283" i="1" s="1"/>
  <c r="N285" i="1"/>
  <c r="O285" i="1" s="1"/>
  <c r="Z285" i="1" s="1"/>
  <c r="AA287" i="1"/>
  <c r="I289" i="1"/>
  <c r="T290" i="1"/>
  <c r="T293" i="1"/>
  <c r="Q294" i="1"/>
  <c r="Q298" i="1"/>
  <c r="Q304" i="1"/>
  <c r="K308" i="1"/>
  <c r="N310" i="1"/>
  <c r="O310" i="1" s="1"/>
  <c r="Z310" i="1" s="1"/>
  <c r="J311" i="1"/>
  <c r="W317" i="1"/>
  <c r="Y317" i="1" s="1"/>
  <c r="R317" i="1"/>
  <c r="S317" i="1" s="1"/>
  <c r="T317" i="1"/>
  <c r="K324" i="1"/>
  <c r="P181" i="1"/>
  <c r="D181" i="1"/>
  <c r="I189" i="1"/>
  <c r="D190" i="1"/>
  <c r="L190" i="1" s="1"/>
  <c r="M190" i="1" s="1"/>
  <c r="P195" i="1"/>
  <c r="AA195" i="1"/>
  <c r="I205" i="1"/>
  <c r="W208" i="1"/>
  <c r="Y208" i="1" s="1"/>
  <c r="I209" i="1"/>
  <c r="W210" i="1"/>
  <c r="Y210" i="1" s="1"/>
  <c r="T210" i="1"/>
  <c r="J211" i="1"/>
  <c r="K211" i="1" s="1"/>
  <c r="I212" i="1"/>
  <c r="AA214" i="1"/>
  <c r="N214" i="1"/>
  <c r="O214" i="1" s="1"/>
  <c r="Z214" i="1" s="1"/>
  <c r="T217" i="1"/>
  <c r="T218" i="1"/>
  <c r="P221" i="1"/>
  <c r="D221" i="1"/>
  <c r="L221" i="1" s="1"/>
  <c r="M221" i="1" s="1"/>
  <c r="K223" i="1"/>
  <c r="Q225" i="1"/>
  <c r="P230" i="1"/>
  <c r="Q232" i="1"/>
  <c r="P233" i="1"/>
  <c r="AA235" i="1"/>
  <c r="P237" i="1"/>
  <c r="N240" i="1"/>
  <c r="O240" i="1" s="1"/>
  <c r="Z240" i="1" s="1"/>
  <c r="N241" i="1"/>
  <c r="O241" i="1" s="1"/>
  <c r="Z241" i="1" s="1"/>
  <c r="AA241" i="1"/>
  <c r="N242" i="1"/>
  <c r="O242" i="1" s="1"/>
  <c r="Z242" i="1" s="1"/>
  <c r="N250" i="1"/>
  <c r="O250" i="1" s="1"/>
  <c r="Z250" i="1" s="1"/>
  <c r="AA250" i="1"/>
  <c r="AA255" i="1"/>
  <c r="P259" i="1"/>
  <c r="J265" i="1"/>
  <c r="K265" i="1" s="1"/>
  <c r="I268" i="1"/>
  <c r="AA268" i="1"/>
  <c r="N268" i="1"/>
  <c r="O268" i="1" s="1"/>
  <c r="Z268" i="1" s="1"/>
  <c r="N270" i="1"/>
  <c r="O270" i="1" s="1"/>
  <c r="Z270" i="1" s="1"/>
  <c r="I270" i="1"/>
  <c r="Q273" i="1"/>
  <c r="R280" i="1"/>
  <c r="S280" i="1" s="1"/>
  <c r="P285" i="1"/>
  <c r="AA286" i="1"/>
  <c r="I286" i="1"/>
  <c r="N286" i="1"/>
  <c r="O286" i="1" s="1"/>
  <c r="Z286" i="1" s="1"/>
  <c r="AA292" i="1"/>
  <c r="N292" i="1"/>
  <c r="O292" i="1" s="1"/>
  <c r="Z292" i="1" s="1"/>
  <c r="I292" i="1"/>
  <c r="AA295" i="1"/>
  <c r="N295" i="1"/>
  <c r="O295" i="1" s="1"/>
  <c r="Z295" i="1" s="1"/>
  <c r="I295" i="1"/>
  <c r="T298" i="1"/>
  <c r="P299" i="1"/>
  <c r="N302" i="1"/>
  <c r="O302" i="1" s="1"/>
  <c r="Z302" i="1" s="1"/>
  <c r="L308" i="1"/>
  <c r="M308" i="1" s="1"/>
  <c r="W325" i="1"/>
  <c r="Y325" i="1" s="1"/>
  <c r="R363" i="1"/>
  <c r="S363" i="1" s="1"/>
  <c r="K363" i="1"/>
  <c r="W363" i="1"/>
  <c r="Y363" i="1" s="1"/>
  <c r="T363" i="1"/>
  <c r="N385" i="1"/>
  <c r="O385" i="1" s="1"/>
  <c r="Z385" i="1" s="1"/>
  <c r="J385" i="1"/>
  <c r="K385" i="1" s="1"/>
  <c r="I385" i="1"/>
  <c r="AA385" i="1"/>
  <c r="I180" i="1"/>
  <c r="U180" i="1"/>
  <c r="L182" i="1"/>
  <c r="M182" i="1" s="1"/>
  <c r="P186" i="1"/>
  <c r="D186" i="1"/>
  <c r="L186" i="1" s="1"/>
  <c r="M186" i="1" s="1"/>
  <c r="P187" i="1"/>
  <c r="J189" i="1"/>
  <c r="R190" i="1"/>
  <c r="S190" i="1" s="1"/>
  <c r="W193" i="1"/>
  <c r="Y193" i="1" s="1"/>
  <c r="D195" i="1"/>
  <c r="L195" i="1" s="1"/>
  <c r="M195" i="1" s="1"/>
  <c r="J209" i="1"/>
  <c r="I210" i="1"/>
  <c r="W213" i="1"/>
  <c r="Y213" i="1" s="1"/>
  <c r="I214" i="1"/>
  <c r="W215" i="1"/>
  <c r="Y215" i="1" s="1"/>
  <c r="T215" i="1"/>
  <c r="J216" i="1"/>
  <c r="K216" i="1" s="1"/>
  <c r="AA219" i="1"/>
  <c r="N219" i="1"/>
  <c r="O219" i="1" s="1"/>
  <c r="Z219" i="1" s="1"/>
  <c r="T223" i="1"/>
  <c r="R225" i="1"/>
  <c r="S225" i="1" s="1"/>
  <c r="P226" i="1"/>
  <c r="D226" i="1"/>
  <c r="L226" i="1" s="1"/>
  <c r="M226" i="1" s="1"/>
  <c r="Q230" i="1"/>
  <c r="D233" i="1"/>
  <c r="L233" i="1" s="1"/>
  <c r="M233" i="1" s="1"/>
  <c r="Q236" i="1"/>
  <c r="Q237" i="1"/>
  <c r="P238" i="1"/>
  <c r="AA240" i="1"/>
  <c r="N245" i="1"/>
  <c r="O245" i="1" s="1"/>
  <c r="Z245" i="1" s="1"/>
  <c r="N246" i="1"/>
  <c r="O246" i="1" s="1"/>
  <c r="Z246" i="1" s="1"/>
  <c r="AA246" i="1"/>
  <c r="N247" i="1"/>
  <c r="O247" i="1" s="1"/>
  <c r="Z247" i="1" s="1"/>
  <c r="Q251" i="1"/>
  <c r="N257" i="1"/>
  <c r="O257" i="1" s="1"/>
  <c r="Z257" i="1" s="1"/>
  <c r="J257" i="1"/>
  <c r="R259" i="1"/>
  <c r="S259" i="1" s="1"/>
  <c r="T260" i="1"/>
  <c r="AA261" i="1"/>
  <c r="N261" i="1"/>
  <c r="O261" i="1" s="1"/>
  <c r="Z261" i="1" s="1"/>
  <c r="P262" i="1"/>
  <c r="R263" i="1"/>
  <c r="S263" i="1" s="1"/>
  <c r="J268" i="1"/>
  <c r="K268" i="1" s="1"/>
  <c r="J270" i="1"/>
  <c r="R273" i="1"/>
  <c r="S273" i="1" s="1"/>
  <c r="W274" i="1"/>
  <c r="Y274" i="1" s="1"/>
  <c r="T274" i="1"/>
  <c r="N277" i="1"/>
  <c r="O277" i="1" s="1"/>
  <c r="Z277" i="1" s="1"/>
  <c r="L280" i="1"/>
  <c r="M280" i="1" s="1"/>
  <c r="I284" i="1"/>
  <c r="J286" i="1"/>
  <c r="N289" i="1"/>
  <c r="O289" i="1" s="1"/>
  <c r="Z289" i="1" s="1"/>
  <c r="J292" i="1"/>
  <c r="J295" i="1"/>
  <c r="L295" i="1" s="1"/>
  <c r="M295" i="1" s="1"/>
  <c r="AA296" i="1"/>
  <c r="I296" i="1"/>
  <c r="N296" i="1"/>
  <c r="O296" i="1" s="1"/>
  <c r="Z296" i="1" s="1"/>
  <c r="J296" i="1"/>
  <c r="L296" i="1" s="1"/>
  <c r="M296" i="1" s="1"/>
  <c r="L297" i="1"/>
  <c r="M297" i="1" s="1"/>
  <c r="AA297" i="1"/>
  <c r="Q299" i="1"/>
  <c r="J300" i="1"/>
  <c r="K300" i="1" s="1"/>
  <c r="I300" i="1"/>
  <c r="P303" i="1"/>
  <c r="D303" i="1"/>
  <c r="N327" i="1"/>
  <c r="O327" i="1" s="1"/>
  <c r="Z327" i="1" s="1"/>
  <c r="J327" i="1"/>
  <c r="L327" i="1" s="1"/>
  <c r="M327" i="1" s="1"/>
  <c r="L329" i="1"/>
  <c r="M329" i="1" s="1"/>
  <c r="P333" i="1"/>
  <c r="K333" i="1"/>
  <c r="Q333" i="1"/>
  <c r="D333" i="1"/>
  <c r="L333" i="1" s="1"/>
  <c r="M333" i="1" s="1"/>
  <c r="J339" i="1"/>
  <c r="L339" i="1" s="1"/>
  <c r="M339" i="1" s="1"/>
  <c r="I339" i="1"/>
  <c r="AA339" i="1"/>
  <c r="N339" i="1"/>
  <c r="O339" i="1" s="1"/>
  <c r="Z339" i="1" s="1"/>
  <c r="D178" i="1"/>
  <c r="L178" i="1" s="1"/>
  <c r="M178" i="1" s="1"/>
  <c r="D187" i="1"/>
  <c r="L187" i="1" s="1"/>
  <c r="M187" i="1" s="1"/>
  <c r="P191" i="1"/>
  <c r="D191" i="1"/>
  <c r="L191" i="1" s="1"/>
  <c r="M191" i="1" s="1"/>
  <c r="R195" i="1"/>
  <c r="S195" i="1" s="1"/>
  <c r="Q196" i="1"/>
  <c r="N201" i="1"/>
  <c r="O201" i="1" s="1"/>
  <c r="Z201" i="1" s="1"/>
  <c r="AA201" i="1"/>
  <c r="N202" i="1"/>
  <c r="O202" i="1" s="1"/>
  <c r="Z202" i="1" s="1"/>
  <c r="W218" i="1"/>
  <c r="Y218" i="1" s="1"/>
  <c r="W220" i="1"/>
  <c r="Y220" i="1" s="1"/>
  <c r="T220" i="1"/>
  <c r="AA224" i="1"/>
  <c r="N224" i="1"/>
  <c r="O224" i="1" s="1"/>
  <c r="Z224" i="1" s="1"/>
  <c r="P231" i="1"/>
  <c r="D231" i="1"/>
  <c r="K233" i="1"/>
  <c r="D238" i="1"/>
  <c r="Q238" i="1"/>
  <c r="AA245" i="1"/>
  <c r="D263" i="1"/>
  <c r="L263" i="1" s="1"/>
  <c r="M263" i="1" s="1"/>
  <c r="T273" i="1"/>
  <c r="P278" i="1"/>
  <c r="D278" i="1"/>
  <c r="Q279" i="1"/>
  <c r="J284" i="1"/>
  <c r="D288" i="1"/>
  <c r="P290" i="1"/>
  <c r="D293" i="1"/>
  <c r="L293" i="1" s="1"/>
  <c r="M293" i="1" s="1"/>
  <c r="W307" i="1"/>
  <c r="Y307" i="1" s="1"/>
  <c r="R307" i="1"/>
  <c r="S307" i="1" s="1"/>
  <c r="T307" i="1"/>
  <c r="W312" i="1"/>
  <c r="Y312" i="1" s="1"/>
  <c r="R312" i="1"/>
  <c r="S312" i="1" s="1"/>
  <c r="T312" i="1"/>
  <c r="U318" i="1"/>
  <c r="AA322" i="1"/>
  <c r="W324" i="1"/>
  <c r="Y324" i="1" s="1"/>
  <c r="I327" i="1"/>
  <c r="AA340" i="1"/>
  <c r="N340" i="1"/>
  <c r="O340" i="1" s="1"/>
  <c r="Z340" i="1" s="1"/>
  <c r="J340" i="1"/>
  <c r="K340" i="1" s="1"/>
  <c r="I343" i="1"/>
  <c r="N343" i="1"/>
  <c r="O343" i="1" s="1"/>
  <c r="Z343" i="1" s="1"/>
  <c r="AA343" i="1"/>
  <c r="J343" i="1"/>
  <c r="N359" i="1"/>
  <c r="O359" i="1" s="1"/>
  <c r="Z359" i="1" s="1"/>
  <c r="J359" i="1"/>
  <c r="D379" i="1"/>
  <c r="Q379" i="1"/>
  <c r="P379" i="1"/>
  <c r="T395" i="1"/>
  <c r="R395" i="1"/>
  <c r="S395" i="1" s="1"/>
  <c r="K395" i="1"/>
  <c r="W395" i="1"/>
  <c r="Y395" i="1" s="1"/>
  <c r="W424" i="1"/>
  <c r="Y424" i="1" s="1"/>
  <c r="T424" i="1"/>
  <c r="R424" i="1"/>
  <c r="S424" i="1" s="1"/>
  <c r="I293" i="1"/>
  <c r="AA293" i="1"/>
  <c r="AA304" i="1"/>
  <c r="AA316" i="1"/>
  <c r="I316" i="1"/>
  <c r="N316" i="1"/>
  <c r="O316" i="1" s="1"/>
  <c r="Z316" i="1" s="1"/>
  <c r="K319" i="1"/>
  <c r="Q334" i="1"/>
  <c r="AA337" i="1"/>
  <c r="N337" i="1"/>
  <c r="O337" i="1" s="1"/>
  <c r="Z337" i="1" s="1"/>
  <c r="AA341" i="1"/>
  <c r="N341" i="1"/>
  <c r="O341" i="1" s="1"/>
  <c r="Z341" i="1" s="1"/>
  <c r="J341" i="1"/>
  <c r="D357" i="1"/>
  <c r="W367" i="1"/>
  <c r="Y367" i="1" s="1"/>
  <c r="T367" i="1"/>
  <c r="P382" i="1"/>
  <c r="W410" i="1"/>
  <c r="Y410" i="1" s="1"/>
  <c r="T410" i="1"/>
  <c r="R410" i="1"/>
  <c r="S410" i="1" s="1"/>
  <c r="D352" i="1"/>
  <c r="L352" i="1" s="1"/>
  <c r="M352" i="1" s="1"/>
  <c r="Q352" i="1"/>
  <c r="P352" i="1"/>
  <c r="D362" i="1"/>
  <c r="L362" i="1" s="1"/>
  <c r="M362" i="1" s="1"/>
  <c r="Q362" i="1"/>
  <c r="P362" i="1"/>
  <c r="N393" i="1"/>
  <c r="O393" i="1" s="1"/>
  <c r="Z393" i="1" s="1"/>
  <c r="J393" i="1"/>
  <c r="K393" i="1" s="1"/>
  <c r="I393" i="1"/>
  <c r="AA393" i="1"/>
  <c r="I273" i="1"/>
  <c r="AA273" i="1"/>
  <c r="J294" i="1"/>
  <c r="I298" i="1"/>
  <c r="AA298" i="1"/>
  <c r="R313" i="1"/>
  <c r="S313" i="1" s="1"/>
  <c r="I318" i="1"/>
  <c r="AA318" i="1"/>
  <c r="AA321" i="1"/>
  <c r="I321" i="1"/>
  <c r="N321" i="1"/>
  <c r="O321" i="1" s="1"/>
  <c r="Z321" i="1" s="1"/>
  <c r="W321" i="1"/>
  <c r="Y321" i="1" s="1"/>
  <c r="AA326" i="1"/>
  <c r="I326" i="1"/>
  <c r="N326" i="1"/>
  <c r="O326" i="1" s="1"/>
  <c r="Z326" i="1" s="1"/>
  <c r="W326" i="1"/>
  <c r="Y326" i="1" s="1"/>
  <c r="AA331" i="1"/>
  <c r="I331" i="1"/>
  <c r="N331" i="1"/>
  <c r="O331" i="1" s="1"/>
  <c r="Z331" i="1" s="1"/>
  <c r="I333" i="1"/>
  <c r="AA333" i="1"/>
  <c r="N333" i="1"/>
  <c r="O333" i="1" s="1"/>
  <c r="Z333" i="1" s="1"/>
  <c r="J337" i="1"/>
  <c r="P342" i="1"/>
  <c r="D348" i="1"/>
  <c r="L348" i="1" s="1"/>
  <c r="M348" i="1" s="1"/>
  <c r="AA351" i="1"/>
  <c r="N351" i="1"/>
  <c r="O351" i="1" s="1"/>
  <c r="Z351" i="1" s="1"/>
  <c r="J351" i="1"/>
  <c r="L351" i="1" s="1"/>
  <c r="M351" i="1" s="1"/>
  <c r="AA361" i="1"/>
  <c r="N361" i="1"/>
  <c r="O361" i="1" s="1"/>
  <c r="Z361" i="1" s="1"/>
  <c r="J361" i="1"/>
  <c r="Q372" i="1"/>
  <c r="R373" i="1"/>
  <c r="S373" i="1" s="1"/>
  <c r="W373" i="1"/>
  <c r="Y373" i="1" s="1"/>
  <c r="T373" i="1"/>
  <c r="K381" i="1"/>
  <c r="AA387" i="1"/>
  <c r="N387" i="1"/>
  <c r="O387" i="1" s="1"/>
  <c r="Z387" i="1" s="1"/>
  <c r="P388" i="1"/>
  <c r="Q388" i="1"/>
  <c r="J391" i="1"/>
  <c r="AA391" i="1"/>
  <c r="N391" i="1"/>
  <c r="O391" i="1" s="1"/>
  <c r="Z391" i="1" s="1"/>
  <c r="P310" i="1"/>
  <c r="T313" i="1"/>
  <c r="P319" i="1"/>
  <c r="P323" i="1"/>
  <c r="P328" i="1"/>
  <c r="T331" i="1"/>
  <c r="R331" i="1"/>
  <c r="S331" i="1" s="1"/>
  <c r="Q338" i="1"/>
  <c r="P347" i="1"/>
  <c r="V372" i="1"/>
  <c r="U372" i="1"/>
  <c r="J375" i="1"/>
  <c r="K375" i="1" s="1"/>
  <c r="I375" i="1"/>
  <c r="AA375" i="1"/>
  <c r="K377" i="1"/>
  <c r="D377" i="1"/>
  <c r="L377" i="1" s="1"/>
  <c r="M377" i="1" s="1"/>
  <c r="Q377" i="1"/>
  <c r="P377" i="1"/>
  <c r="P397" i="1"/>
  <c r="D397" i="1"/>
  <c r="Q397" i="1"/>
  <c r="T414" i="1"/>
  <c r="R414" i="1"/>
  <c r="S414" i="1" s="1"/>
  <c r="K414" i="1"/>
  <c r="I278" i="1"/>
  <c r="AA278" i="1"/>
  <c r="K280" i="1"/>
  <c r="I303" i="1"/>
  <c r="AA303" i="1"/>
  <c r="Q310" i="1"/>
  <c r="P313" i="1"/>
  <c r="K313" i="1"/>
  <c r="J315" i="1"/>
  <c r="K315" i="1" s="1"/>
  <c r="L317" i="1"/>
  <c r="M317" i="1" s="1"/>
  <c r="N318" i="1"/>
  <c r="O318" i="1" s="1"/>
  <c r="Z318" i="1" s="1"/>
  <c r="Q319" i="1"/>
  <c r="K321" i="1"/>
  <c r="I323" i="1"/>
  <c r="AA323" i="1"/>
  <c r="K326" i="1"/>
  <c r="I328" i="1"/>
  <c r="AA328" i="1"/>
  <c r="P329" i="1"/>
  <c r="K331" i="1"/>
  <c r="I338" i="1"/>
  <c r="N338" i="1"/>
  <c r="O338" i="1" s="1"/>
  <c r="Z338" i="1" s="1"/>
  <c r="P345" i="1"/>
  <c r="D345" i="1"/>
  <c r="Q347" i="1"/>
  <c r="R352" i="1"/>
  <c r="S352" i="1" s="1"/>
  <c r="T352" i="1"/>
  <c r="W362" i="1"/>
  <c r="Y362" i="1" s="1"/>
  <c r="R362" i="1"/>
  <c r="S362" i="1" s="1"/>
  <c r="T362" i="1"/>
  <c r="D369" i="1"/>
  <c r="Q369" i="1"/>
  <c r="P369" i="1"/>
  <c r="R387" i="1"/>
  <c r="S387" i="1" s="1"/>
  <c r="W387" i="1"/>
  <c r="Y387" i="1" s="1"/>
  <c r="T387" i="1"/>
  <c r="W392" i="1"/>
  <c r="Y392" i="1" s="1"/>
  <c r="T392" i="1"/>
  <c r="R392" i="1"/>
  <c r="S392" i="1" s="1"/>
  <c r="AA397" i="1"/>
  <c r="N397" i="1"/>
  <c r="O397" i="1" s="1"/>
  <c r="Z397" i="1" s="1"/>
  <c r="J397" i="1"/>
  <c r="K397" i="1" s="1"/>
  <c r="I397" i="1"/>
  <c r="K260" i="1"/>
  <c r="J278" i="1"/>
  <c r="AA281" i="1"/>
  <c r="I281" i="1"/>
  <c r="N293" i="1"/>
  <c r="O293" i="1" s="1"/>
  <c r="Z293" i="1" s="1"/>
  <c r="J303" i="1"/>
  <c r="K303" i="1" s="1"/>
  <c r="AA306" i="1"/>
  <c r="I306" i="1"/>
  <c r="U306" i="1"/>
  <c r="I313" i="1"/>
  <c r="AA313" i="1"/>
  <c r="J323" i="1"/>
  <c r="L323" i="1" s="1"/>
  <c r="M323" i="1" s="1"/>
  <c r="J328" i="1"/>
  <c r="L328" i="1" s="1"/>
  <c r="M328" i="1" s="1"/>
  <c r="L332" i="1"/>
  <c r="M332" i="1" s="1"/>
  <c r="AA336" i="1"/>
  <c r="I336" i="1"/>
  <c r="N336" i="1"/>
  <c r="O336" i="1" s="1"/>
  <c r="Z336" i="1" s="1"/>
  <c r="J338" i="1"/>
  <c r="K338" i="1" s="1"/>
  <c r="J345" i="1"/>
  <c r="I345" i="1"/>
  <c r="P358" i="1"/>
  <c r="K362" i="1"/>
  <c r="N369" i="1"/>
  <c r="O369" i="1" s="1"/>
  <c r="Z369" i="1" s="1"/>
  <c r="J369" i="1"/>
  <c r="K387" i="1"/>
  <c r="I308" i="1"/>
  <c r="AA308" i="1"/>
  <c r="T336" i="1"/>
  <c r="R336" i="1"/>
  <c r="S336" i="1" s="1"/>
  <c r="P339" i="1"/>
  <c r="P357" i="1"/>
  <c r="AA359" i="1"/>
  <c r="K372" i="1"/>
  <c r="P372" i="1"/>
  <c r="W377" i="1"/>
  <c r="Y377" i="1" s="1"/>
  <c r="R377" i="1"/>
  <c r="S377" i="1" s="1"/>
  <c r="T377" i="1"/>
  <c r="R383" i="1"/>
  <c r="S383" i="1" s="1"/>
  <c r="W383" i="1"/>
  <c r="Y383" i="1" s="1"/>
  <c r="T383" i="1"/>
  <c r="R400" i="1"/>
  <c r="S400" i="1" s="1"/>
  <c r="W400" i="1"/>
  <c r="Y400" i="1" s="1"/>
  <c r="T400" i="1"/>
  <c r="K400" i="1"/>
  <c r="D315" i="1"/>
  <c r="D320" i="1"/>
  <c r="D325" i="1"/>
  <c r="D330" i="1"/>
  <c r="L330" i="1" s="1"/>
  <c r="M330" i="1" s="1"/>
  <c r="D335" i="1"/>
  <c r="I348" i="1"/>
  <c r="N348" i="1"/>
  <c r="O348" i="1" s="1"/>
  <c r="Z348" i="1" s="1"/>
  <c r="AA388" i="1"/>
  <c r="N388" i="1"/>
  <c r="O388" i="1" s="1"/>
  <c r="Z388" i="1" s="1"/>
  <c r="J388" i="1"/>
  <c r="K388" i="1" s="1"/>
  <c r="P402" i="1"/>
  <c r="D402" i="1"/>
  <c r="K320" i="1"/>
  <c r="K330" i="1"/>
  <c r="N354" i="1"/>
  <c r="O354" i="1" s="1"/>
  <c r="Z354" i="1" s="1"/>
  <c r="J354" i="1"/>
  <c r="N364" i="1"/>
  <c r="O364" i="1" s="1"/>
  <c r="Z364" i="1" s="1"/>
  <c r="J364" i="1"/>
  <c r="K364" i="1" s="1"/>
  <c r="AA364" i="1"/>
  <c r="J370" i="1"/>
  <c r="K370" i="1" s="1"/>
  <c r="I370" i="1"/>
  <c r="AA370" i="1"/>
  <c r="J380" i="1"/>
  <c r="I380" i="1"/>
  <c r="AA380" i="1"/>
  <c r="P392" i="1"/>
  <c r="D392" i="1"/>
  <c r="L392" i="1" s="1"/>
  <c r="M392" i="1" s="1"/>
  <c r="Q392" i="1"/>
  <c r="K392" i="1"/>
  <c r="T403" i="1"/>
  <c r="N405" i="1"/>
  <c r="O405" i="1" s="1"/>
  <c r="Z405" i="1" s="1"/>
  <c r="AA405" i="1"/>
  <c r="W344" i="1"/>
  <c r="Y344" i="1" s="1"/>
  <c r="I349" i="1"/>
  <c r="J350" i="1"/>
  <c r="K350" i="1" s="1"/>
  <c r="I354" i="1"/>
  <c r="J360" i="1"/>
  <c r="K360" i="1" s="1"/>
  <c r="AA360" i="1"/>
  <c r="I364" i="1"/>
  <c r="K368" i="1"/>
  <c r="N374" i="1"/>
  <c r="O374" i="1" s="1"/>
  <c r="Z374" i="1" s="1"/>
  <c r="J374" i="1"/>
  <c r="AA374" i="1"/>
  <c r="J376" i="1"/>
  <c r="N384" i="1"/>
  <c r="O384" i="1" s="1"/>
  <c r="Z384" i="1" s="1"/>
  <c r="J384" i="1"/>
  <c r="AA384" i="1"/>
  <c r="AA392" i="1"/>
  <c r="N392" i="1"/>
  <c r="O392" i="1" s="1"/>
  <c r="Z392" i="1" s="1"/>
  <c r="P401" i="1"/>
  <c r="I405" i="1"/>
  <c r="W412" i="1"/>
  <c r="Y412" i="1" s="1"/>
  <c r="R412" i="1"/>
  <c r="S412" i="1" s="1"/>
  <c r="K412" i="1"/>
  <c r="T412" i="1"/>
  <c r="W349" i="1"/>
  <c r="Y349" i="1" s="1"/>
  <c r="AA354" i="1"/>
  <c r="J401" i="1"/>
  <c r="K401" i="1" s="1"/>
  <c r="AA401" i="1"/>
  <c r="N401" i="1"/>
  <c r="O401" i="1" s="1"/>
  <c r="Z401" i="1" s="1"/>
  <c r="I401" i="1"/>
  <c r="Q402" i="1"/>
  <c r="J405" i="1"/>
  <c r="W415" i="1"/>
  <c r="Y415" i="1" s="1"/>
  <c r="L424" i="1"/>
  <c r="M424" i="1" s="1"/>
  <c r="J365" i="1"/>
  <c r="I365" i="1"/>
  <c r="AA365" i="1"/>
  <c r="P374" i="1"/>
  <c r="P384" i="1"/>
  <c r="V407" i="1"/>
  <c r="U407" i="1"/>
  <c r="I422" i="1"/>
  <c r="AA422" i="1"/>
  <c r="N422" i="1"/>
  <c r="O422" i="1" s="1"/>
  <c r="Z422" i="1" s="1"/>
  <c r="J422" i="1"/>
  <c r="L422" i="1" s="1"/>
  <c r="M422" i="1" s="1"/>
  <c r="K409" i="1"/>
  <c r="Q396" i="1"/>
  <c r="D396" i="1"/>
  <c r="P396" i="1"/>
  <c r="W409" i="1"/>
  <c r="Y409" i="1" s="1"/>
  <c r="T409" i="1"/>
  <c r="R409" i="1"/>
  <c r="S409" i="1" s="1"/>
  <c r="L410" i="1"/>
  <c r="M410" i="1" s="1"/>
  <c r="V421" i="1"/>
  <c r="U421" i="1"/>
  <c r="Q446" i="1"/>
  <c r="D446" i="1"/>
  <c r="P446" i="1"/>
  <c r="Q448" i="1"/>
  <c r="D448" i="1"/>
  <c r="L448" i="1" s="1"/>
  <c r="M448" i="1" s="1"/>
  <c r="K448" i="1"/>
  <c r="N445" i="1"/>
  <c r="O445" i="1" s="1"/>
  <c r="Z445" i="1" s="1"/>
  <c r="I445" i="1"/>
  <c r="J445" i="1"/>
  <c r="D455" i="1"/>
  <c r="Q455" i="1"/>
  <c r="P455" i="1"/>
  <c r="AA406" i="1"/>
  <c r="J406" i="1"/>
  <c r="K406" i="1" s="1"/>
  <c r="I420" i="1"/>
  <c r="W421" i="1"/>
  <c r="Y421" i="1" s="1"/>
  <c r="K421" i="1"/>
  <c r="P426" i="1"/>
  <c r="N428" i="1"/>
  <c r="O428" i="1" s="1"/>
  <c r="Z428" i="1" s="1"/>
  <c r="I428" i="1"/>
  <c r="AA428" i="1"/>
  <c r="P434" i="1"/>
  <c r="D434" i="1"/>
  <c r="P438" i="1"/>
  <c r="D438" i="1"/>
  <c r="N442" i="1"/>
  <c r="O442" i="1" s="1"/>
  <c r="Z442" i="1" s="1"/>
  <c r="I442" i="1"/>
  <c r="AA442" i="1"/>
  <c r="P459" i="1"/>
  <c r="D459" i="1"/>
  <c r="Q459" i="1"/>
  <c r="D350" i="1"/>
  <c r="L350" i="1" s="1"/>
  <c r="M350" i="1" s="1"/>
  <c r="P350" i="1"/>
  <c r="N353" i="1"/>
  <c r="O353" i="1" s="1"/>
  <c r="Z353" i="1" s="1"/>
  <c r="D355" i="1"/>
  <c r="P355" i="1"/>
  <c r="N358" i="1"/>
  <c r="O358" i="1" s="1"/>
  <c r="Z358" i="1" s="1"/>
  <c r="D360" i="1"/>
  <c r="P360" i="1"/>
  <c r="N363" i="1"/>
  <c r="O363" i="1" s="1"/>
  <c r="Z363" i="1" s="1"/>
  <c r="D365" i="1"/>
  <c r="P365" i="1"/>
  <c r="N368" i="1"/>
  <c r="O368" i="1" s="1"/>
  <c r="Z368" i="1" s="1"/>
  <c r="D370" i="1"/>
  <c r="P370" i="1"/>
  <c r="N373" i="1"/>
  <c r="O373" i="1" s="1"/>
  <c r="Z373" i="1" s="1"/>
  <c r="D375" i="1"/>
  <c r="P375" i="1"/>
  <c r="N378" i="1"/>
  <c r="O378" i="1" s="1"/>
  <c r="Z378" i="1" s="1"/>
  <c r="D380" i="1"/>
  <c r="P380" i="1"/>
  <c r="N383" i="1"/>
  <c r="O383" i="1" s="1"/>
  <c r="Z383" i="1" s="1"/>
  <c r="D385" i="1"/>
  <c r="Q385" i="1"/>
  <c r="P390" i="1"/>
  <c r="D399" i="1"/>
  <c r="P399" i="1"/>
  <c r="I402" i="1"/>
  <c r="I406" i="1"/>
  <c r="Q413" i="1"/>
  <c r="Q414" i="1"/>
  <c r="D417" i="1"/>
  <c r="I419" i="1"/>
  <c r="J420" i="1"/>
  <c r="L421" i="1"/>
  <c r="M421" i="1" s="1"/>
  <c r="J428" i="1"/>
  <c r="L428" i="1" s="1"/>
  <c r="M428" i="1" s="1"/>
  <c r="J442" i="1"/>
  <c r="K442" i="1" s="1"/>
  <c r="Q350" i="1"/>
  <c r="Q355" i="1"/>
  <c r="Q360" i="1"/>
  <c r="Q365" i="1"/>
  <c r="Q370" i="1"/>
  <c r="Q375" i="1"/>
  <c r="Q380" i="1"/>
  <c r="T389" i="1"/>
  <c r="D390" i="1"/>
  <c r="AA390" i="1"/>
  <c r="Q399" i="1"/>
  <c r="J402" i="1"/>
  <c r="K402" i="1" s="1"/>
  <c r="D404" i="1"/>
  <c r="P404" i="1"/>
  <c r="I408" i="1"/>
  <c r="AA408" i="1"/>
  <c r="K410" i="1"/>
  <c r="D413" i="1"/>
  <c r="L413" i="1" s="1"/>
  <c r="M413" i="1" s="1"/>
  <c r="J419" i="1"/>
  <c r="L419" i="1" s="1"/>
  <c r="M419" i="1" s="1"/>
  <c r="J443" i="1"/>
  <c r="N443" i="1"/>
  <c r="O443" i="1" s="1"/>
  <c r="Z443" i="1" s="1"/>
  <c r="AA443" i="1"/>
  <c r="W407" i="1"/>
  <c r="Y407" i="1" s="1"/>
  <c r="R407" i="1"/>
  <c r="S407" i="1" s="1"/>
  <c r="AA411" i="1"/>
  <c r="I411" i="1"/>
  <c r="N420" i="1"/>
  <c r="O420" i="1" s="1"/>
  <c r="Z420" i="1" s="1"/>
  <c r="K424" i="1"/>
  <c r="T433" i="1"/>
  <c r="I443" i="1"/>
  <c r="P450" i="1"/>
  <c r="D450" i="1"/>
  <c r="Q450" i="1"/>
  <c r="AA373" i="1"/>
  <c r="AA378" i="1"/>
  <c r="AA383" i="1"/>
  <c r="D386" i="1"/>
  <c r="L386" i="1" s="1"/>
  <c r="M386" i="1" s="1"/>
  <c r="D400" i="1"/>
  <c r="L400" i="1" s="1"/>
  <c r="M400" i="1" s="1"/>
  <c r="K407" i="1"/>
  <c r="I410" i="1"/>
  <c r="J411" i="1"/>
  <c r="I412" i="1"/>
  <c r="I413" i="1"/>
  <c r="AA413" i="1"/>
  <c r="J417" i="1"/>
  <c r="N419" i="1"/>
  <c r="O419" i="1" s="1"/>
  <c r="Z419" i="1" s="1"/>
  <c r="I425" i="1"/>
  <c r="Q431" i="1"/>
  <c r="Q465" i="1"/>
  <c r="D465" i="1"/>
  <c r="P465" i="1"/>
  <c r="W389" i="1"/>
  <c r="Y389" i="1" s="1"/>
  <c r="I390" i="1"/>
  <c r="N406" i="1"/>
  <c r="O406" i="1" s="1"/>
  <c r="Z406" i="1" s="1"/>
  <c r="P419" i="1"/>
  <c r="R421" i="1"/>
  <c r="S421" i="1" s="1"/>
  <c r="J425" i="1"/>
  <c r="L425" i="1" s="1"/>
  <c r="M425" i="1" s="1"/>
  <c r="P427" i="1"/>
  <c r="D427" i="1"/>
  <c r="Q427" i="1"/>
  <c r="W432" i="1"/>
  <c r="Y432" i="1" s="1"/>
  <c r="K432" i="1"/>
  <c r="R432" i="1"/>
  <c r="S432" i="1" s="1"/>
  <c r="W433" i="1"/>
  <c r="Y433" i="1" s="1"/>
  <c r="Q438" i="1"/>
  <c r="AA445" i="1"/>
  <c r="AA458" i="1"/>
  <c r="N458" i="1"/>
  <c r="O458" i="1" s="1"/>
  <c r="Z458" i="1" s="1"/>
  <c r="I458" i="1"/>
  <c r="P387" i="1"/>
  <c r="D387" i="1"/>
  <c r="L387" i="1" s="1"/>
  <c r="M387" i="1" s="1"/>
  <c r="J390" i="1"/>
  <c r="W394" i="1"/>
  <c r="Y394" i="1" s="1"/>
  <c r="I395" i="1"/>
  <c r="K413" i="1"/>
  <c r="I415" i="1"/>
  <c r="J416" i="1"/>
  <c r="N417" i="1"/>
  <c r="O417" i="1" s="1"/>
  <c r="Z417" i="1" s="1"/>
  <c r="AA417" i="1"/>
  <c r="Q419" i="1"/>
  <c r="J423" i="1"/>
  <c r="L423" i="1" s="1"/>
  <c r="M423" i="1" s="1"/>
  <c r="AA425" i="1"/>
  <c r="Q426" i="1"/>
  <c r="I427" i="1"/>
  <c r="AA427" i="1"/>
  <c r="N427" i="1"/>
  <c r="O427" i="1" s="1"/>
  <c r="Z427" i="1" s="1"/>
  <c r="J427" i="1"/>
  <c r="J430" i="1"/>
  <c r="P435" i="1"/>
  <c r="D435" i="1"/>
  <c r="Q440" i="1"/>
  <c r="D440" i="1"/>
  <c r="P440" i="1"/>
  <c r="J458" i="1"/>
  <c r="J446" i="1"/>
  <c r="K446" i="1" s="1"/>
  <c r="I446" i="1"/>
  <c r="AA446" i="1"/>
  <c r="N446" i="1"/>
  <c r="O446" i="1" s="1"/>
  <c r="Z446" i="1" s="1"/>
  <c r="P447" i="1"/>
  <c r="D447" i="1"/>
  <c r="Q447" i="1"/>
  <c r="J461" i="1"/>
  <c r="K461" i="1" s="1"/>
  <c r="AA461" i="1"/>
  <c r="N461" i="1"/>
  <c r="O461" i="1" s="1"/>
  <c r="Z461" i="1" s="1"/>
  <c r="I461" i="1"/>
  <c r="Q439" i="1"/>
  <c r="D439" i="1"/>
  <c r="L439" i="1" s="1"/>
  <c r="M439" i="1" s="1"/>
  <c r="J441" i="1"/>
  <c r="L441" i="1" s="1"/>
  <c r="M441" i="1" s="1"/>
  <c r="N441" i="1"/>
  <c r="O441" i="1" s="1"/>
  <c r="Z441" i="1" s="1"/>
  <c r="I441" i="1"/>
  <c r="R444" i="1"/>
  <c r="S444" i="1" s="1"/>
  <c r="V448" i="1"/>
  <c r="U448" i="1"/>
  <c r="J431" i="1"/>
  <c r="I431" i="1"/>
  <c r="N431" i="1"/>
  <c r="O431" i="1" s="1"/>
  <c r="Z431" i="1" s="1"/>
  <c r="P442" i="1"/>
  <c r="D442" i="1"/>
  <c r="Q442" i="1"/>
  <c r="K444" i="1"/>
  <c r="AA457" i="1"/>
  <c r="I457" i="1"/>
  <c r="J457" i="1"/>
  <c r="P432" i="1"/>
  <c r="D432" i="1"/>
  <c r="L432" i="1" s="1"/>
  <c r="M432" i="1" s="1"/>
  <c r="Q433" i="1"/>
  <c r="D433" i="1"/>
  <c r="AA435" i="1"/>
  <c r="W452" i="1"/>
  <c r="Y452" i="1" s="1"/>
  <c r="W454" i="1"/>
  <c r="Y454" i="1" s="1"/>
  <c r="D458" i="1"/>
  <c r="Q458" i="1"/>
  <c r="AA462" i="1"/>
  <c r="N462" i="1"/>
  <c r="O462" i="1" s="1"/>
  <c r="Z462" i="1" s="1"/>
  <c r="J462" i="1"/>
  <c r="N490" i="1"/>
  <c r="O490" i="1" s="1"/>
  <c r="Z490" i="1" s="1"/>
  <c r="AA490" i="1"/>
  <c r="I490" i="1"/>
  <c r="J490" i="1"/>
  <c r="AA463" i="1"/>
  <c r="J463" i="1"/>
  <c r="N455" i="1"/>
  <c r="O455" i="1" s="1"/>
  <c r="Z455" i="1" s="1"/>
  <c r="I455" i="1"/>
  <c r="I463" i="1"/>
  <c r="J455" i="1"/>
  <c r="P458" i="1"/>
  <c r="N463" i="1"/>
  <c r="O463" i="1" s="1"/>
  <c r="Z463" i="1" s="1"/>
  <c r="T477" i="1"/>
  <c r="J435" i="1"/>
  <c r="K435" i="1" s="1"/>
  <c r="N440" i="1"/>
  <c r="O440" i="1" s="1"/>
  <c r="Z440" i="1" s="1"/>
  <c r="J440" i="1"/>
  <c r="AA440" i="1"/>
  <c r="N448" i="1"/>
  <c r="O448" i="1" s="1"/>
  <c r="Z448" i="1" s="1"/>
  <c r="I448" i="1"/>
  <c r="Q456" i="1"/>
  <c r="P456" i="1"/>
  <c r="Q451" i="1"/>
  <c r="P433" i="1"/>
  <c r="J438" i="1"/>
  <c r="R439" i="1"/>
  <c r="S439" i="1" s="1"/>
  <c r="T439" i="1"/>
  <c r="W439" i="1"/>
  <c r="Y439" i="1" s="1"/>
  <c r="AA448" i="1"/>
  <c r="N460" i="1"/>
  <c r="O460" i="1" s="1"/>
  <c r="Z460" i="1" s="1"/>
  <c r="AA460" i="1"/>
  <c r="J460" i="1"/>
  <c r="K460" i="1" s="1"/>
  <c r="D461" i="1"/>
  <c r="V479" i="1"/>
  <c r="U479" i="1"/>
  <c r="Q449" i="1"/>
  <c r="Q464" i="1"/>
  <c r="Q468" i="1"/>
  <c r="W471" i="1"/>
  <c r="Y471" i="1" s="1"/>
  <c r="J472" i="1"/>
  <c r="R476" i="1"/>
  <c r="S476" i="1" s="1"/>
  <c r="T476" i="1"/>
  <c r="P485" i="1"/>
  <c r="K485" i="1"/>
  <c r="P469" i="1"/>
  <c r="D469" i="1"/>
  <c r="P474" i="1"/>
  <c r="D474" i="1"/>
  <c r="L474" i="1" s="1"/>
  <c r="M474" i="1" s="1"/>
  <c r="AA485" i="1"/>
  <c r="N485" i="1"/>
  <c r="O485" i="1" s="1"/>
  <c r="Z485" i="1" s="1"/>
  <c r="I485" i="1"/>
  <c r="Q495" i="1"/>
  <c r="D495" i="1"/>
  <c r="P495" i="1"/>
  <c r="J469" i="1"/>
  <c r="I469" i="1"/>
  <c r="K471" i="1"/>
  <c r="R475" i="1"/>
  <c r="S475" i="1" s="1"/>
  <c r="W475" i="1"/>
  <c r="Y475" i="1" s="1"/>
  <c r="K475" i="1"/>
  <c r="D478" i="1"/>
  <c r="D481" i="1"/>
  <c r="Q481" i="1"/>
  <c r="W485" i="1"/>
  <c r="Y485" i="1" s="1"/>
  <c r="T485" i="1"/>
  <c r="N495" i="1"/>
  <c r="O495" i="1" s="1"/>
  <c r="Z495" i="1" s="1"/>
  <c r="AA495" i="1"/>
  <c r="I495" i="1"/>
  <c r="K470" i="1"/>
  <c r="J495" i="1"/>
  <c r="P437" i="1"/>
  <c r="D437" i="1"/>
  <c r="N456" i="1"/>
  <c r="O456" i="1" s="1"/>
  <c r="Z456" i="1" s="1"/>
  <c r="W464" i="1"/>
  <c r="Y464" i="1" s="1"/>
  <c r="I465" i="1"/>
  <c r="V466" i="1"/>
  <c r="I467" i="1"/>
  <c r="I468" i="1"/>
  <c r="R479" i="1"/>
  <c r="S479" i="1" s="1"/>
  <c r="W479" i="1"/>
  <c r="Y479" i="1" s="1"/>
  <c r="N482" i="1"/>
  <c r="O482" i="1" s="1"/>
  <c r="Z482" i="1" s="1"/>
  <c r="J482" i="1"/>
  <c r="K482" i="1" s="1"/>
  <c r="J488" i="1"/>
  <c r="K488" i="1" s="1"/>
  <c r="I488" i="1"/>
  <c r="Q489" i="1"/>
  <c r="D489" i="1"/>
  <c r="L489" i="1" s="1"/>
  <c r="M489" i="1" s="1"/>
  <c r="K489" i="1"/>
  <c r="T496" i="1"/>
  <c r="K496" i="1"/>
  <c r="N469" i="1"/>
  <c r="O469" i="1" s="1"/>
  <c r="Z469" i="1" s="1"/>
  <c r="D476" i="1"/>
  <c r="L476" i="1" s="1"/>
  <c r="M476" i="1" s="1"/>
  <c r="P476" i="1"/>
  <c r="Q477" i="1"/>
  <c r="D477" i="1"/>
  <c r="W492" i="1"/>
  <c r="Y492" i="1" s="1"/>
  <c r="P494" i="1"/>
  <c r="D494" i="1"/>
  <c r="K498" i="1"/>
  <c r="Q498" i="1"/>
  <c r="P498" i="1"/>
  <c r="D498" i="1"/>
  <c r="L498" i="1" s="1"/>
  <c r="M498" i="1" s="1"/>
  <c r="J473" i="1"/>
  <c r="L473" i="1" s="1"/>
  <c r="M473" i="1" s="1"/>
  <c r="I473" i="1"/>
  <c r="N477" i="1"/>
  <c r="O477" i="1" s="1"/>
  <c r="Z477" i="1" s="1"/>
  <c r="AA477" i="1"/>
  <c r="Q480" i="1"/>
  <c r="D480" i="1"/>
  <c r="P480" i="1"/>
  <c r="Q469" i="1"/>
  <c r="L470" i="1"/>
  <c r="M470" i="1" s="1"/>
  <c r="P471" i="1"/>
  <c r="D471" i="1"/>
  <c r="L471" i="1" s="1"/>
  <c r="M471" i="1" s="1"/>
  <c r="T471" i="1"/>
  <c r="T475" i="1"/>
  <c r="AA480" i="1"/>
  <c r="J480" i="1"/>
  <c r="R484" i="1"/>
  <c r="S484" i="1" s="1"/>
  <c r="K484" i="1"/>
  <c r="P487" i="1"/>
  <c r="D487" i="1"/>
  <c r="L487" i="1" s="1"/>
  <c r="M487" i="1" s="1"/>
  <c r="K487" i="1"/>
  <c r="R496" i="1"/>
  <c r="S496" i="1" s="1"/>
  <c r="Q500" i="1"/>
  <c r="D500" i="1"/>
  <c r="AA505" i="1"/>
  <c r="I508" i="1"/>
  <c r="J508" i="1"/>
  <c r="K508" i="1" s="1"/>
  <c r="Q510" i="1"/>
  <c r="D510" i="1"/>
  <c r="P482" i="1"/>
  <c r="R487" i="1"/>
  <c r="S487" i="1" s="1"/>
  <c r="Q488" i="1"/>
  <c r="R489" i="1"/>
  <c r="S489" i="1" s="1"/>
  <c r="AA491" i="1"/>
  <c r="N491" i="1"/>
  <c r="O491" i="1" s="1"/>
  <c r="Z491" i="1" s="1"/>
  <c r="I502" i="1"/>
  <c r="J510" i="1"/>
  <c r="K510" i="1" s="1"/>
  <c r="AA510" i="1"/>
  <c r="N510" i="1"/>
  <c r="O510" i="1" s="1"/>
  <c r="Z510" i="1" s="1"/>
  <c r="I510" i="1"/>
  <c r="W512" i="1"/>
  <c r="Y512" i="1" s="1"/>
  <c r="R512" i="1"/>
  <c r="S512" i="1" s="1"/>
  <c r="J513" i="1"/>
  <c r="K513" i="1" s="1"/>
  <c r="T487" i="1"/>
  <c r="I498" i="1"/>
  <c r="AA498" i="1"/>
  <c r="N502" i="1"/>
  <c r="O502" i="1" s="1"/>
  <c r="Z502" i="1" s="1"/>
  <c r="W507" i="1"/>
  <c r="Y507" i="1" s="1"/>
  <c r="T507" i="1"/>
  <c r="U512" i="1"/>
  <c r="AA517" i="1"/>
  <c r="N517" i="1"/>
  <c r="O517" i="1" s="1"/>
  <c r="Z517" i="1" s="1"/>
  <c r="I517" i="1"/>
  <c r="L491" i="1"/>
  <c r="M491" i="1" s="1"/>
  <c r="K493" i="1"/>
  <c r="Q493" i="1"/>
  <c r="Q499" i="1"/>
  <c r="R502" i="1"/>
  <c r="S502" i="1" s="1"/>
  <c r="P503" i="1"/>
  <c r="K507" i="1"/>
  <c r="AA507" i="1"/>
  <c r="J517" i="1"/>
  <c r="D452" i="1"/>
  <c r="P452" i="1"/>
  <c r="D457" i="1"/>
  <c r="P457" i="1"/>
  <c r="D462" i="1"/>
  <c r="P462" i="1"/>
  <c r="D467" i="1"/>
  <c r="P467" i="1"/>
  <c r="D475" i="1"/>
  <c r="L475" i="1" s="1"/>
  <c r="M475" i="1" s="1"/>
  <c r="P479" i="1"/>
  <c r="D479" i="1"/>
  <c r="L479" i="1" s="1"/>
  <c r="M479" i="1" s="1"/>
  <c r="R483" i="1"/>
  <c r="S483" i="1" s="1"/>
  <c r="I493" i="1"/>
  <c r="AA493" i="1"/>
  <c r="AA497" i="1"/>
  <c r="N497" i="1"/>
  <c r="O497" i="1" s="1"/>
  <c r="Z497" i="1" s="1"/>
  <c r="N498" i="1"/>
  <c r="O498" i="1" s="1"/>
  <c r="Z498" i="1" s="1"/>
  <c r="R499" i="1"/>
  <c r="S499" i="1" s="1"/>
  <c r="I500" i="1"/>
  <c r="I503" i="1"/>
  <c r="AA503" i="1"/>
  <c r="N507" i="1"/>
  <c r="O507" i="1" s="1"/>
  <c r="Z507" i="1" s="1"/>
  <c r="P484" i="1"/>
  <c r="D484" i="1"/>
  <c r="L484" i="1" s="1"/>
  <c r="M484" i="1" s="1"/>
  <c r="D492" i="1"/>
  <c r="P492" i="1"/>
  <c r="D499" i="1"/>
  <c r="T499" i="1"/>
  <c r="J500" i="1"/>
  <c r="K500" i="1" s="1"/>
  <c r="J503" i="1"/>
  <c r="L503" i="1" s="1"/>
  <c r="M503" i="1" s="1"/>
  <c r="P504" i="1"/>
  <c r="W506" i="1"/>
  <c r="Y506" i="1" s="1"/>
  <c r="AA513" i="1"/>
  <c r="AA496" i="1"/>
  <c r="N496" i="1"/>
  <c r="O496" i="1" s="1"/>
  <c r="Z496" i="1" s="1"/>
  <c r="T505" i="1"/>
  <c r="R505" i="1"/>
  <c r="S505" i="1" s="1"/>
  <c r="Q512" i="1"/>
  <c r="D512" i="1"/>
  <c r="L512" i="1" s="1"/>
  <c r="M512" i="1" s="1"/>
  <c r="P512" i="1"/>
  <c r="K512" i="1"/>
  <c r="Q502" i="1"/>
  <c r="D502" i="1"/>
  <c r="L502" i="1" s="1"/>
  <c r="M502" i="1" s="1"/>
  <c r="W519" i="1"/>
  <c r="Y519" i="1" s="1"/>
  <c r="T519" i="1"/>
  <c r="R531" i="1"/>
  <c r="S531" i="1" s="1"/>
  <c r="D532" i="1"/>
  <c r="Q532" i="1"/>
  <c r="P532" i="1"/>
  <c r="J537" i="1"/>
  <c r="K537" i="1" s="1"/>
  <c r="N537" i="1"/>
  <c r="O537" i="1" s="1"/>
  <c r="Z537" i="1" s="1"/>
  <c r="AA537" i="1"/>
  <c r="K531" i="1"/>
  <c r="J532" i="1"/>
  <c r="N532" i="1"/>
  <c r="O532" i="1" s="1"/>
  <c r="Z532" i="1" s="1"/>
  <c r="AA532" i="1"/>
  <c r="AA536" i="1"/>
  <c r="N536" i="1"/>
  <c r="O536" i="1" s="1"/>
  <c r="Z536" i="1" s="1"/>
  <c r="I536" i="1"/>
  <c r="J536" i="1"/>
  <c r="L536" i="1" s="1"/>
  <c r="M536" i="1" s="1"/>
  <c r="I537" i="1"/>
  <c r="J520" i="1"/>
  <c r="I520" i="1"/>
  <c r="R530" i="1"/>
  <c r="S530" i="1" s="1"/>
  <c r="T530" i="1"/>
  <c r="I532" i="1"/>
  <c r="T526" i="1"/>
  <c r="R526" i="1"/>
  <c r="S526" i="1" s="1"/>
  <c r="T531" i="1"/>
  <c r="W515" i="1"/>
  <c r="Y515" i="1" s="1"/>
  <c r="R519" i="1"/>
  <c r="S519" i="1" s="1"/>
  <c r="J527" i="1"/>
  <c r="L527" i="1" s="1"/>
  <c r="M527" i="1" s="1"/>
  <c r="AA527" i="1"/>
  <c r="N527" i="1"/>
  <c r="O527" i="1" s="1"/>
  <c r="Z527" i="1" s="1"/>
  <c r="P518" i="1"/>
  <c r="T524" i="1"/>
  <c r="R524" i="1"/>
  <c r="S524" i="1" s="1"/>
  <c r="I527" i="1"/>
  <c r="R486" i="1"/>
  <c r="S486" i="1" s="1"/>
  <c r="Q507" i="1"/>
  <c r="D507" i="1"/>
  <c r="L507" i="1" s="1"/>
  <c r="M507" i="1" s="1"/>
  <c r="P513" i="1"/>
  <c r="I515" i="1"/>
  <c r="I518" i="1"/>
  <c r="AA518" i="1"/>
  <c r="N518" i="1"/>
  <c r="O518" i="1" s="1"/>
  <c r="Z518" i="1" s="1"/>
  <c r="K524" i="1"/>
  <c r="W531" i="1"/>
  <c r="Y531" i="1" s="1"/>
  <c r="Q535" i="1"/>
  <c r="P535" i="1"/>
  <c r="Q513" i="1"/>
  <c r="J518" i="1"/>
  <c r="L518" i="1" s="1"/>
  <c r="M518" i="1" s="1"/>
  <c r="K519" i="1"/>
  <c r="Q490" i="1"/>
  <c r="D490" i="1"/>
  <c r="K505" i="1"/>
  <c r="Q505" i="1"/>
  <c r="D505" i="1"/>
  <c r="L505" i="1" s="1"/>
  <c r="M505" i="1" s="1"/>
  <c r="AA515" i="1"/>
  <c r="T525" i="1"/>
  <c r="AA531" i="1"/>
  <c r="N531" i="1"/>
  <c r="O531" i="1" s="1"/>
  <c r="Z531" i="1" s="1"/>
  <c r="D513" i="1"/>
  <c r="N515" i="1"/>
  <c r="O515" i="1" s="1"/>
  <c r="Z515" i="1" s="1"/>
  <c r="Q518" i="1"/>
  <c r="W524" i="1"/>
  <c r="Y524" i="1" s="1"/>
  <c r="I549" i="1"/>
  <c r="AA549" i="1"/>
  <c r="D551" i="1"/>
  <c r="Q551" i="1"/>
  <c r="R553" i="1"/>
  <c r="S553" i="1" s="1"/>
  <c r="W553" i="1"/>
  <c r="Y553" i="1" s="1"/>
  <c r="I554" i="1"/>
  <c r="AA554" i="1"/>
  <c r="D557" i="1"/>
  <c r="P557" i="1"/>
  <c r="W542" i="1"/>
  <c r="Y542" i="1" s="1"/>
  <c r="T542" i="1"/>
  <c r="AA543" i="1"/>
  <c r="J549" i="1"/>
  <c r="N551" i="1"/>
  <c r="O551" i="1" s="1"/>
  <c r="Z551" i="1" s="1"/>
  <c r="I551" i="1"/>
  <c r="J554" i="1"/>
  <c r="K554" i="1" s="1"/>
  <c r="Q561" i="1"/>
  <c r="K561" i="1"/>
  <c r="D561" i="1"/>
  <c r="L561" i="1" s="1"/>
  <c r="M561" i="1" s="1"/>
  <c r="D515" i="1"/>
  <c r="L515" i="1" s="1"/>
  <c r="M515" i="1" s="1"/>
  <c r="D520" i="1"/>
  <c r="P524" i="1"/>
  <c r="AA541" i="1"/>
  <c r="N541" i="1"/>
  <c r="O541" i="1" s="1"/>
  <c r="Z541" i="1" s="1"/>
  <c r="I541" i="1"/>
  <c r="I542" i="1"/>
  <c r="N543" i="1"/>
  <c r="O543" i="1" s="1"/>
  <c r="Z543" i="1" s="1"/>
  <c r="AA546" i="1"/>
  <c r="N546" i="1"/>
  <c r="O546" i="1" s="1"/>
  <c r="Z546" i="1" s="1"/>
  <c r="I546" i="1"/>
  <c r="R550" i="1"/>
  <c r="S550" i="1" s="1"/>
  <c r="J551" i="1"/>
  <c r="K551" i="1" s="1"/>
  <c r="N554" i="1"/>
  <c r="O554" i="1" s="1"/>
  <c r="Z554" i="1" s="1"/>
  <c r="P558" i="1"/>
  <c r="D558" i="1"/>
  <c r="K515" i="1"/>
  <c r="Q524" i="1"/>
  <c r="P525" i="1"/>
  <c r="J541" i="1"/>
  <c r="K542" i="1"/>
  <c r="R544" i="1"/>
  <c r="S544" i="1" s="1"/>
  <c r="J546" i="1"/>
  <c r="L546" i="1" s="1"/>
  <c r="M546" i="1" s="1"/>
  <c r="P548" i="1"/>
  <c r="D548" i="1"/>
  <c r="T550" i="1"/>
  <c r="I558" i="1"/>
  <c r="N558" i="1"/>
  <c r="O558" i="1" s="1"/>
  <c r="Z558" i="1" s="1"/>
  <c r="AA558" i="1"/>
  <c r="W561" i="1"/>
  <c r="Y561" i="1" s="1"/>
  <c r="T561" i="1"/>
  <c r="P563" i="1"/>
  <c r="D563" i="1"/>
  <c r="L563" i="1" s="1"/>
  <c r="M563" i="1" s="1"/>
  <c r="K563" i="1"/>
  <c r="Q563" i="1"/>
  <c r="D525" i="1"/>
  <c r="T533" i="1"/>
  <c r="R538" i="1"/>
  <c r="S538" i="1" s="1"/>
  <c r="AA542" i="1"/>
  <c r="L544" i="1"/>
  <c r="M544" i="1" s="1"/>
  <c r="N549" i="1"/>
  <c r="O549" i="1" s="1"/>
  <c r="Z549" i="1" s="1"/>
  <c r="P551" i="1"/>
  <c r="Q552" i="1"/>
  <c r="P552" i="1"/>
  <c r="T553" i="1"/>
  <c r="R555" i="1"/>
  <c r="S555" i="1" s="1"/>
  <c r="K555" i="1"/>
  <c r="J558" i="1"/>
  <c r="P568" i="1"/>
  <c r="D568" i="1"/>
  <c r="Q568" i="1"/>
  <c r="P517" i="1"/>
  <c r="P523" i="1"/>
  <c r="D523" i="1"/>
  <c r="L523" i="1" s="1"/>
  <c r="M523" i="1" s="1"/>
  <c r="P533" i="1"/>
  <c r="D533" i="1"/>
  <c r="L533" i="1" s="1"/>
  <c r="M533" i="1" s="1"/>
  <c r="K533" i="1"/>
  <c r="P537" i="1"/>
  <c r="T538" i="1"/>
  <c r="R540" i="1"/>
  <c r="S540" i="1" s="1"/>
  <c r="N542" i="1"/>
  <c r="O542" i="1" s="1"/>
  <c r="Z542" i="1" s="1"/>
  <c r="Q550" i="1"/>
  <c r="K550" i="1"/>
  <c r="Q557" i="1"/>
  <c r="P561" i="1"/>
  <c r="J568" i="1"/>
  <c r="K568" i="1" s="1"/>
  <c r="I568" i="1"/>
  <c r="AA568" i="1"/>
  <c r="N568" i="1"/>
  <c r="O568" i="1" s="1"/>
  <c r="Z568" i="1" s="1"/>
  <c r="D517" i="1"/>
  <c r="AA521" i="1"/>
  <c r="N521" i="1"/>
  <c r="O521" i="1" s="1"/>
  <c r="Z521" i="1" s="1"/>
  <c r="P528" i="1"/>
  <c r="D528" i="1"/>
  <c r="K530" i="1"/>
  <c r="J534" i="1"/>
  <c r="L534" i="1" s="1"/>
  <c r="M534" i="1" s="1"/>
  <c r="P538" i="1"/>
  <c r="D538" i="1"/>
  <c r="K538" i="1"/>
  <c r="I539" i="1"/>
  <c r="P542" i="1"/>
  <c r="Q558" i="1"/>
  <c r="R561" i="1"/>
  <c r="S561" i="1" s="1"/>
  <c r="AA586" i="1"/>
  <c r="I586" i="1"/>
  <c r="J586" i="1"/>
  <c r="L586" i="1" s="1"/>
  <c r="M586" i="1" s="1"/>
  <c r="N586" i="1"/>
  <c r="O586" i="1" s="1"/>
  <c r="Z586" i="1" s="1"/>
  <c r="AA526" i="1"/>
  <c r="N526" i="1"/>
  <c r="O526" i="1" s="1"/>
  <c r="Z526" i="1" s="1"/>
  <c r="J539" i="1"/>
  <c r="Q542" i="1"/>
  <c r="P543" i="1"/>
  <c r="D543" i="1"/>
  <c r="W544" i="1"/>
  <c r="Y544" i="1" s="1"/>
  <c r="N548" i="1"/>
  <c r="O548" i="1" s="1"/>
  <c r="Z548" i="1" s="1"/>
  <c r="R542" i="1"/>
  <c r="S542" i="1" s="1"/>
  <c r="P553" i="1"/>
  <c r="D553" i="1"/>
  <c r="L553" i="1" s="1"/>
  <c r="M553" i="1" s="1"/>
  <c r="Q553" i="1"/>
  <c r="K553" i="1"/>
  <c r="N556" i="1"/>
  <c r="O556" i="1" s="1"/>
  <c r="Z556" i="1" s="1"/>
  <c r="AA556" i="1"/>
  <c r="I556" i="1"/>
  <c r="AA564" i="1"/>
  <c r="J564" i="1"/>
  <c r="N564" i="1"/>
  <c r="O564" i="1" s="1"/>
  <c r="Z564" i="1" s="1"/>
  <c r="AA575" i="1"/>
  <c r="J575" i="1"/>
  <c r="N575" i="1"/>
  <c r="O575" i="1" s="1"/>
  <c r="Z575" i="1" s="1"/>
  <c r="P540" i="1"/>
  <c r="J543" i="1"/>
  <c r="J547" i="1"/>
  <c r="AA547" i="1"/>
  <c r="I553" i="1"/>
  <c r="AA553" i="1"/>
  <c r="D554" i="1"/>
  <c r="Q554" i="1"/>
  <c r="J556" i="1"/>
  <c r="J557" i="1"/>
  <c r="K557" i="1" s="1"/>
  <c r="I557" i="1"/>
  <c r="J571" i="1"/>
  <c r="K584" i="1"/>
  <c r="P584" i="1"/>
  <c r="Q593" i="1"/>
  <c r="D593" i="1"/>
  <c r="P593" i="1"/>
  <c r="J562" i="1"/>
  <c r="I562" i="1"/>
  <c r="AA581" i="1"/>
  <c r="N581" i="1"/>
  <c r="O581" i="1" s="1"/>
  <c r="Z581" i="1" s="1"/>
  <c r="I581" i="1"/>
  <c r="Q588" i="1"/>
  <c r="D588" i="1"/>
  <c r="N593" i="1"/>
  <c r="O593" i="1" s="1"/>
  <c r="Z593" i="1" s="1"/>
  <c r="I593" i="1"/>
  <c r="J593" i="1"/>
  <c r="K593" i="1" s="1"/>
  <c r="N561" i="1"/>
  <c r="O561" i="1" s="1"/>
  <c r="Z561" i="1" s="1"/>
  <c r="I561" i="1"/>
  <c r="I570" i="1"/>
  <c r="P578" i="1"/>
  <c r="J581" i="1"/>
  <c r="K581" i="1" s="1"/>
  <c r="N588" i="1"/>
  <c r="O588" i="1" s="1"/>
  <c r="Z588" i="1" s="1"/>
  <c r="J588" i="1"/>
  <c r="AA588" i="1"/>
  <c r="N566" i="1"/>
  <c r="O566" i="1" s="1"/>
  <c r="Z566" i="1" s="1"/>
  <c r="I566" i="1"/>
  <c r="J570" i="1"/>
  <c r="L572" i="1"/>
  <c r="M572" i="1" s="1"/>
  <c r="J573" i="1"/>
  <c r="L573" i="1" s="1"/>
  <c r="M573" i="1" s="1"/>
  <c r="I573" i="1"/>
  <c r="AA573" i="1"/>
  <c r="AA576" i="1"/>
  <c r="N576" i="1"/>
  <c r="O576" i="1" s="1"/>
  <c r="Z576" i="1" s="1"/>
  <c r="I576" i="1"/>
  <c r="J578" i="1"/>
  <c r="K578" i="1" s="1"/>
  <c r="I578" i="1"/>
  <c r="AA578" i="1"/>
  <c r="R585" i="1"/>
  <c r="S585" i="1" s="1"/>
  <c r="W585" i="1"/>
  <c r="Y585" i="1" s="1"/>
  <c r="I588" i="1"/>
  <c r="J589" i="1"/>
  <c r="L589" i="1" s="1"/>
  <c r="M589" i="1" s="1"/>
  <c r="AA589" i="1"/>
  <c r="N589" i="1"/>
  <c r="O589" i="1" s="1"/>
  <c r="Z589" i="1" s="1"/>
  <c r="AA593" i="1"/>
  <c r="K559" i="1"/>
  <c r="AA562" i="1"/>
  <c r="W576" i="1"/>
  <c r="Y576" i="1" s="1"/>
  <c r="T576" i="1"/>
  <c r="I582" i="1"/>
  <c r="AA582" i="1"/>
  <c r="N582" i="1"/>
  <c r="O582" i="1" s="1"/>
  <c r="Z582" i="1" s="1"/>
  <c r="U590" i="1"/>
  <c r="V590" i="1"/>
  <c r="P599" i="1"/>
  <c r="D599" i="1"/>
  <c r="L599" i="1" s="1"/>
  <c r="M599" i="1" s="1"/>
  <c r="K599" i="1"/>
  <c r="N562" i="1"/>
  <c r="O562" i="1" s="1"/>
  <c r="Z562" i="1" s="1"/>
  <c r="K576" i="1"/>
  <c r="I580" i="1"/>
  <c r="J582" i="1"/>
  <c r="P586" i="1"/>
  <c r="L587" i="1"/>
  <c r="M587" i="1" s="1"/>
  <c r="R606" i="1"/>
  <c r="S606" i="1" s="1"/>
  <c r="W606" i="1"/>
  <c r="Y606" i="1" s="1"/>
  <c r="T606" i="1"/>
  <c r="I577" i="1"/>
  <c r="N577" i="1"/>
  <c r="O577" i="1" s="1"/>
  <c r="Z577" i="1" s="1"/>
  <c r="J552" i="1"/>
  <c r="L552" i="1" s="1"/>
  <c r="M552" i="1" s="1"/>
  <c r="I552" i="1"/>
  <c r="N572" i="1"/>
  <c r="O572" i="1" s="1"/>
  <c r="Z572" i="1" s="1"/>
  <c r="AA572" i="1"/>
  <c r="Q573" i="1"/>
  <c r="R576" i="1"/>
  <c r="S576" i="1" s="1"/>
  <c r="J577" i="1"/>
  <c r="AA577" i="1"/>
  <c r="P583" i="1"/>
  <c r="Q583" i="1"/>
  <c r="T585" i="1"/>
  <c r="Q586" i="1"/>
  <c r="R566" i="1"/>
  <c r="S566" i="1" s="1"/>
  <c r="N571" i="1"/>
  <c r="O571" i="1" s="1"/>
  <c r="Z571" i="1" s="1"/>
  <c r="I571" i="1"/>
  <c r="N580" i="1"/>
  <c r="O580" i="1" s="1"/>
  <c r="Z580" i="1" s="1"/>
  <c r="N583" i="1"/>
  <c r="O583" i="1" s="1"/>
  <c r="Z583" i="1" s="1"/>
  <c r="J583" i="1"/>
  <c r="L583" i="1" s="1"/>
  <c r="M583" i="1" s="1"/>
  <c r="I583" i="1"/>
  <c r="R587" i="1"/>
  <c r="S587" i="1" s="1"/>
  <c r="K587" i="1"/>
  <c r="T587" i="1"/>
  <c r="W600" i="1"/>
  <c r="Y600" i="1" s="1"/>
  <c r="J595" i="1"/>
  <c r="K595" i="1" s="1"/>
  <c r="I595" i="1"/>
  <c r="AA595" i="1"/>
  <c r="D598" i="1"/>
  <c r="L598" i="1" s="1"/>
  <c r="M598" i="1" s="1"/>
  <c r="K598" i="1"/>
  <c r="D600" i="1"/>
  <c r="V608" i="1"/>
  <c r="U608" i="1"/>
  <c r="P609" i="1"/>
  <c r="D609" i="1"/>
  <c r="L609" i="1" s="1"/>
  <c r="M609" i="1" s="1"/>
  <c r="J613" i="1"/>
  <c r="AA613" i="1"/>
  <c r="I613" i="1"/>
  <c r="Q618" i="1"/>
  <c r="D618" i="1"/>
  <c r="L618" i="1" s="1"/>
  <c r="M618" i="1" s="1"/>
  <c r="P618" i="1"/>
  <c r="Q559" i="1"/>
  <c r="AA584" i="1"/>
  <c r="I590" i="1"/>
  <c r="W590" i="1"/>
  <c r="Y590" i="1" s="1"/>
  <c r="P596" i="1"/>
  <c r="D596" i="1"/>
  <c r="P606" i="1"/>
  <c r="D606" i="1"/>
  <c r="L606" i="1" s="1"/>
  <c r="M606" i="1" s="1"/>
  <c r="Q606" i="1"/>
  <c r="K606" i="1"/>
  <c r="P604" i="1"/>
  <c r="D604" i="1"/>
  <c r="L604" i="1" s="1"/>
  <c r="M604" i="1" s="1"/>
  <c r="Q604" i="1"/>
  <c r="D602" i="1"/>
  <c r="P602" i="1"/>
  <c r="N615" i="1"/>
  <c r="O615" i="1" s="1"/>
  <c r="Z615" i="1" s="1"/>
  <c r="J615" i="1"/>
  <c r="I615" i="1"/>
  <c r="U584" i="1"/>
  <c r="P591" i="1"/>
  <c r="K604" i="1"/>
  <c r="I584" i="1"/>
  <c r="I585" i="1"/>
  <c r="Q591" i="1"/>
  <c r="P592" i="1"/>
  <c r="D592" i="1"/>
  <c r="L592" i="1" s="1"/>
  <c r="M592" i="1" s="1"/>
  <c r="P594" i="1"/>
  <c r="D594" i="1"/>
  <c r="L594" i="1" s="1"/>
  <c r="M594" i="1" s="1"/>
  <c r="K594" i="1"/>
  <c r="Q598" i="1"/>
  <c r="Q600" i="1"/>
  <c r="Q605" i="1"/>
  <c r="D605" i="1"/>
  <c r="P605" i="1"/>
  <c r="W584" i="1"/>
  <c r="Y584" i="1" s="1"/>
  <c r="R590" i="1"/>
  <c r="S590" i="1" s="1"/>
  <c r="I594" i="1"/>
  <c r="AA594" i="1"/>
  <c r="N594" i="1"/>
  <c r="O594" i="1" s="1"/>
  <c r="Z594" i="1" s="1"/>
  <c r="N607" i="1"/>
  <c r="O607" i="1" s="1"/>
  <c r="Z607" i="1" s="1"/>
  <c r="I607" i="1"/>
  <c r="W594" i="1"/>
  <c r="Y594" i="1" s="1"/>
  <c r="R594" i="1"/>
  <c r="S594" i="1" s="1"/>
  <c r="N597" i="1"/>
  <c r="O597" i="1" s="1"/>
  <c r="Z597" i="1" s="1"/>
  <c r="I597" i="1"/>
  <c r="AA597" i="1"/>
  <c r="P590" i="1"/>
  <c r="D590" i="1"/>
  <c r="L590" i="1" s="1"/>
  <c r="M590" i="1" s="1"/>
  <c r="Q590" i="1"/>
  <c r="R592" i="1"/>
  <c r="S592" i="1" s="1"/>
  <c r="W592" i="1"/>
  <c r="Y592" i="1" s="1"/>
  <c r="T592" i="1"/>
  <c r="J597" i="1"/>
  <c r="Q602" i="1"/>
  <c r="J603" i="1"/>
  <c r="L603" i="1" s="1"/>
  <c r="M603" i="1" s="1"/>
  <c r="AA603" i="1"/>
  <c r="K607" i="1"/>
  <c r="AA615" i="1"/>
  <c r="W598" i="1"/>
  <c r="Y598" i="1" s="1"/>
  <c r="W599" i="1"/>
  <c r="Y599" i="1" s="1"/>
  <c r="T604" i="1"/>
  <c r="D607" i="1"/>
  <c r="L607" i="1" s="1"/>
  <c r="M607" i="1" s="1"/>
  <c r="R609" i="1"/>
  <c r="S609" i="1" s="1"/>
  <c r="P614" i="1"/>
  <c r="D614" i="1"/>
  <c r="Q614" i="1"/>
  <c r="P631" i="1"/>
  <c r="D631" i="1"/>
  <c r="N610" i="1"/>
  <c r="O610" i="1" s="1"/>
  <c r="Z610" i="1" s="1"/>
  <c r="AA610" i="1"/>
  <c r="V625" i="1"/>
  <c r="U625" i="1"/>
  <c r="R621" i="1"/>
  <c r="S621" i="1" s="1"/>
  <c r="T621" i="1"/>
  <c r="K621" i="1"/>
  <c r="K608" i="1"/>
  <c r="AA609" i="1"/>
  <c r="I609" i="1"/>
  <c r="J610" i="1"/>
  <c r="L621" i="1"/>
  <c r="M621" i="1" s="1"/>
  <c r="Q622" i="1"/>
  <c r="D622" i="1"/>
  <c r="P622" i="1"/>
  <c r="K633" i="1"/>
  <c r="P633" i="1"/>
  <c r="D633" i="1"/>
  <c r="L633" i="1" s="1"/>
  <c r="M633" i="1" s="1"/>
  <c r="Q633" i="1"/>
  <c r="W609" i="1"/>
  <c r="Y609" i="1" s="1"/>
  <c r="P585" i="1"/>
  <c r="D585" i="1"/>
  <c r="L585" i="1" s="1"/>
  <c r="M585" i="1" s="1"/>
  <c r="R598" i="1"/>
  <c r="S598" i="1" s="1"/>
  <c r="R599" i="1"/>
  <c r="S599" i="1" s="1"/>
  <c r="AA602" i="1"/>
  <c r="N617" i="1"/>
  <c r="O617" i="1" s="1"/>
  <c r="Z617" i="1" s="1"/>
  <c r="AA617" i="1"/>
  <c r="I617" i="1"/>
  <c r="I619" i="1"/>
  <c r="J623" i="1"/>
  <c r="L623" i="1" s="1"/>
  <c r="M623" i="1" s="1"/>
  <c r="N623" i="1"/>
  <c r="O623" i="1" s="1"/>
  <c r="Z623" i="1" s="1"/>
  <c r="I623" i="1"/>
  <c r="AA623" i="1"/>
  <c r="Q631" i="1"/>
  <c r="T611" i="1"/>
  <c r="R617" i="1"/>
  <c r="S617" i="1" s="1"/>
  <c r="T617" i="1"/>
  <c r="J619" i="1"/>
  <c r="K619" i="1" s="1"/>
  <c r="W621" i="1"/>
  <c r="Y621" i="1" s="1"/>
  <c r="P624" i="1"/>
  <c r="D624" i="1"/>
  <c r="L624" i="1" s="1"/>
  <c r="M624" i="1" s="1"/>
  <c r="K624" i="1"/>
  <c r="Q624" i="1"/>
  <c r="T601" i="1"/>
  <c r="N608" i="1"/>
  <c r="O608" i="1" s="1"/>
  <c r="Z608" i="1" s="1"/>
  <c r="N609" i="1"/>
  <c r="O609" i="1" s="1"/>
  <c r="Z609" i="1" s="1"/>
  <c r="K611" i="1"/>
  <c r="Q615" i="1"/>
  <c r="D615" i="1"/>
  <c r="N619" i="1"/>
  <c r="O619" i="1" s="1"/>
  <c r="Z619" i="1" s="1"/>
  <c r="Q625" i="1"/>
  <c r="D625" i="1"/>
  <c r="L625" i="1" s="1"/>
  <c r="M625" i="1" s="1"/>
  <c r="D627" i="1"/>
  <c r="Q627" i="1"/>
  <c r="P627" i="1"/>
  <c r="J620" i="1"/>
  <c r="K620" i="1" s="1"/>
  <c r="I620" i="1"/>
  <c r="AA620" i="1"/>
  <c r="N620" i="1"/>
  <c r="O620" i="1" s="1"/>
  <c r="Z620" i="1" s="1"/>
  <c r="P632" i="1"/>
  <c r="W635" i="1"/>
  <c r="Y635" i="1" s="1"/>
  <c r="R635" i="1"/>
  <c r="S635" i="1" s="1"/>
  <c r="J612" i="1"/>
  <c r="N624" i="1"/>
  <c r="O624" i="1" s="1"/>
  <c r="Z624" i="1" s="1"/>
  <c r="N627" i="1"/>
  <c r="O627" i="1" s="1"/>
  <c r="Z627" i="1" s="1"/>
  <c r="J627" i="1"/>
  <c r="N629" i="1"/>
  <c r="O629" i="1" s="1"/>
  <c r="Z629" i="1" s="1"/>
  <c r="Q630" i="1"/>
  <c r="Q632" i="1"/>
  <c r="I634" i="1"/>
  <c r="K635" i="1"/>
  <c r="K617" i="1"/>
  <c r="P619" i="1"/>
  <c r="D619" i="1"/>
  <c r="P620" i="1"/>
  <c r="J622" i="1"/>
  <c r="N628" i="1"/>
  <c r="O628" i="1" s="1"/>
  <c r="Z628" i="1" s="1"/>
  <c r="D632" i="1"/>
  <c r="W633" i="1"/>
  <c r="Y633" i="1" s="1"/>
  <c r="N632" i="1"/>
  <c r="O632" i="1" s="1"/>
  <c r="Z632" i="1" s="1"/>
  <c r="J632" i="1"/>
  <c r="N634" i="1"/>
  <c r="O634" i="1" s="1"/>
  <c r="Z634" i="1" s="1"/>
  <c r="D636" i="1"/>
  <c r="P636" i="1"/>
  <c r="J638" i="1"/>
  <c r="AA638" i="1"/>
  <c r="N638" i="1"/>
  <c r="O638" i="1" s="1"/>
  <c r="Z638" i="1" s="1"/>
  <c r="D626" i="1"/>
  <c r="L626" i="1" s="1"/>
  <c r="M626" i="1" s="1"/>
  <c r="P626" i="1"/>
  <c r="I629" i="1"/>
  <c r="N633" i="1"/>
  <c r="O633" i="1" s="1"/>
  <c r="Z633" i="1" s="1"/>
  <c r="T635" i="1"/>
  <c r="AA639" i="1"/>
  <c r="N639" i="1"/>
  <c r="O639" i="1" s="1"/>
  <c r="Z639" i="1" s="1"/>
  <c r="J639" i="1"/>
  <c r="I639" i="1"/>
  <c r="K628" i="1"/>
  <c r="P628" i="1"/>
  <c r="D628" i="1"/>
  <c r="L628" i="1" s="1"/>
  <c r="M628" i="1" s="1"/>
  <c r="V628" i="1"/>
  <c r="J629" i="1"/>
  <c r="AA622" i="1"/>
  <c r="W628" i="1"/>
  <c r="Y628" i="1" s="1"/>
  <c r="N637" i="1"/>
  <c r="O637" i="1" s="1"/>
  <c r="Z637" i="1" s="1"/>
  <c r="J637" i="1"/>
  <c r="AA637" i="1"/>
  <c r="D638" i="1"/>
  <c r="P638" i="1"/>
  <c r="Q638" i="1"/>
  <c r="D629" i="1"/>
  <c r="P629" i="1"/>
  <c r="D634" i="1"/>
  <c r="P634" i="1"/>
  <c r="D639" i="1"/>
  <c r="P639" i="1"/>
  <c r="L15" i="1" l="1"/>
  <c r="M15" i="1" s="1"/>
  <c r="R151" i="1"/>
  <c r="S151" i="1" s="1"/>
  <c r="U141" i="1"/>
  <c r="L403" i="1"/>
  <c r="M403" i="1" s="1"/>
  <c r="K186" i="1"/>
  <c r="K479" i="1"/>
  <c r="T231" i="1"/>
  <c r="L582" i="1"/>
  <c r="M582" i="1" s="1"/>
  <c r="R525" i="1"/>
  <c r="S525" i="1" s="1"/>
  <c r="K502" i="1"/>
  <c r="K454" i="1"/>
  <c r="K295" i="1"/>
  <c r="R282" i="1"/>
  <c r="S282" i="1" s="1"/>
  <c r="L322" i="1"/>
  <c r="M322" i="1" s="1"/>
  <c r="L131" i="1"/>
  <c r="M131" i="1" s="1"/>
  <c r="L19" i="1"/>
  <c r="M19" i="1" s="1"/>
  <c r="L309" i="1"/>
  <c r="M309" i="1" s="1"/>
  <c r="R357" i="1"/>
  <c r="S357" i="1" s="1"/>
  <c r="T437" i="1"/>
  <c r="U93" i="1"/>
  <c r="L10" i="1"/>
  <c r="M10" i="1" s="1"/>
  <c r="L636" i="1"/>
  <c r="M636" i="1" s="1"/>
  <c r="R529" i="1"/>
  <c r="S529" i="1" s="1"/>
  <c r="K104" i="1"/>
  <c r="T151" i="1"/>
  <c r="K636" i="1"/>
  <c r="T529" i="1"/>
  <c r="T454" i="1"/>
  <c r="L404" i="1"/>
  <c r="M404" i="1" s="1"/>
  <c r="R372" i="1"/>
  <c r="S372" i="1" s="1"/>
  <c r="R104" i="1"/>
  <c r="S104" i="1" s="1"/>
  <c r="K141" i="1"/>
  <c r="T636" i="1"/>
  <c r="T497" i="1"/>
  <c r="V497" i="1" s="1"/>
  <c r="R560" i="1"/>
  <c r="S560" i="1" s="1"/>
  <c r="W522" i="1"/>
  <c r="Y522" i="1" s="1"/>
  <c r="W467" i="1"/>
  <c r="Y467" i="1" s="1"/>
  <c r="W444" i="1"/>
  <c r="Y444" i="1" s="1"/>
  <c r="W372" i="1"/>
  <c r="Y372" i="1" s="1"/>
  <c r="L156" i="1"/>
  <c r="M156" i="1" s="1"/>
  <c r="K39" i="1"/>
  <c r="W141" i="1"/>
  <c r="Y141" i="1" s="1"/>
  <c r="K10" i="1"/>
  <c r="W497" i="1"/>
  <c r="Y497" i="1" s="1"/>
  <c r="K282" i="1"/>
  <c r="T19" i="1"/>
  <c r="W555" i="1"/>
  <c r="Y555" i="1" s="1"/>
  <c r="T452" i="1"/>
  <c r="R403" i="1"/>
  <c r="S403" i="1" s="1"/>
  <c r="R367" i="1"/>
  <c r="S367" i="1" s="1"/>
  <c r="K19" i="1"/>
  <c r="R404" i="1"/>
  <c r="S404" i="1" s="1"/>
  <c r="L141" i="1"/>
  <c r="M141" i="1" s="1"/>
  <c r="L27" i="1"/>
  <c r="M27" i="1" s="1"/>
  <c r="R506" i="1"/>
  <c r="S506" i="1" s="1"/>
  <c r="K560" i="1"/>
  <c r="V555" i="1"/>
  <c r="L371" i="1"/>
  <c r="M371" i="1" s="1"/>
  <c r="L29" i="1"/>
  <c r="M29" i="1" s="1"/>
  <c r="W143" i="1"/>
  <c r="Y143" i="1" s="1"/>
  <c r="K102" i="1"/>
  <c r="L188" i="1"/>
  <c r="M188" i="1" s="1"/>
  <c r="L444" i="1"/>
  <c r="M444" i="1" s="1"/>
  <c r="L565" i="1"/>
  <c r="M565" i="1" s="1"/>
  <c r="K525" i="1"/>
  <c r="L525" i="1"/>
  <c r="M525" i="1" s="1"/>
  <c r="V444" i="1"/>
  <c r="U347" i="1"/>
  <c r="T566" i="1"/>
  <c r="W559" i="1"/>
  <c r="Y559" i="1" s="1"/>
  <c r="R467" i="1"/>
  <c r="S467" i="1" s="1"/>
  <c r="K305" i="1"/>
  <c r="K342" i="1"/>
  <c r="W272" i="1"/>
  <c r="Y272" i="1" s="1"/>
  <c r="L181" i="1"/>
  <c r="M181" i="1" s="1"/>
  <c r="L239" i="1"/>
  <c r="M239" i="1" s="1"/>
  <c r="K248" i="1"/>
  <c r="L102" i="1"/>
  <c r="M102" i="1" s="1"/>
  <c r="T104" i="1"/>
  <c r="R143" i="1"/>
  <c r="S143" i="1" s="1"/>
  <c r="T378" i="1"/>
  <c r="K143" i="1"/>
  <c r="T188" i="1"/>
  <c r="W49" i="1"/>
  <c r="Y49" i="1" s="1"/>
  <c r="R449" i="1"/>
  <c r="S449" i="1" s="1"/>
  <c r="K437" i="1"/>
  <c r="W357" i="1"/>
  <c r="Y357" i="1" s="1"/>
  <c r="W371" i="1"/>
  <c r="Y371" i="1" s="1"/>
  <c r="L285" i="1"/>
  <c r="M285" i="1" s="1"/>
  <c r="W188" i="1"/>
  <c r="Y188" i="1" s="1"/>
  <c r="W29" i="1"/>
  <c r="Y29" i="1" s="1"/>
  <c r="W437" i="1"/>
  <c r="Y437" i="1" s="1"/>
  <c r="R188" i="1"/>
  <c r="S188" i="1" s="1"/>
  <c r="T247" i="1"/>
  <c r="U143" i="1"/>
  <c r="K579" i="1"/>
  <c r="R559" i="1"/>
  <c r="S559" i="1" s="1"/>
  <c r="L459" i="1"/>
  <c r="M459" i="1" s="1"/>
  <c r="L92" i="1"/>
  <c r="M92" i="1" s="1"/>
  <c r="L147" i="1"/>
  <c r="M147" i="1" s="1"/>
  <c r="R39" i="1"/>
  <c r="S39" i="1" s="1"/>
  <c r="K378" i="1"/>
  <c r="L506" i="1"/>
  <c r="M506" i="1" s="1"/>
  <c r="L157" i="1"/>
  <c r="M157" i="1" s="1"/>
  <c r="T559" i="1"/>
  <c r="K477" i="1"/>
  <c r="W616" i="1"/>
  <c r="Y616" i="1" s="1"/>
  <c r="V624" i="1"/>
  <c r="R579" i="1"/>
  <c r="S579" i="1" s="1"/>
  <c r="W566" i="1"/>
  <c r="Y566" i="1" s="1"/>
  <c r="R528" i="1"/>
  <c r="S528" i="1" s="1"/>
  <c r="T467" i="1"/>
  <c r="K415" i="1"/>
  <c r="L431" i="1"/>
  <c r="M431" i="1" s="1"/>
  <c r="L415" i="1"/>
  <c r="M415" i="1" s="1"/>
  <c r="K325" i="1"/>
  <c r="L231" i="1"/>
  <c r="M231" i="1" s="1"/>
  <c r="T325" i="1"/>
  <c r="V325" i="1" s="1"/>
  <c r="K247" i="1"/>
  <c r="L39" i="1"/>
  <c r="M39" i="1" s="1"/>
  <c r="K37" i="1"/>
  <c r="W378" i="1"/>
  <c r="Y378" i="1" s="1"/>
  <c r="T579" i="1"/>
  <c r="L467" i="1"/>
  <c r="M467" i="1" s="1"/>
  <c r="L325" i="1"/>
  <c r="M325" i="1" s="1"/>
  <c r="L337" i="1"/>
  <c r="M337" i="1" s="1"/>
  <c r="K231" i="1"/>
  <c r="L143" i="1"/>
  <c r="M143" i="1" s="1"/>
  <c r="T102" i="1"/>
  <c r="U39" i="1"/>
  <c r="L37" i="1"/>
  <c r="M37" i="1" s="1"/>
  <c r="K30" i="1"/>
  <c r="L134" i="1"/>
  <c r="M134" i="1" s="1"/>
  <c r="L30" i="1"/>
  <c r="M30" i="1" s="1"/>
  <c r="K6" i="1"/>
  <c r="L75" i="1"/>
  <c r="M75" i="1" s="1"/>
  <c r="L374" i="1"/>
  <c r="M374" i="1" s="1"/>
  <c r="T356" i="1"/>
  <c r="V356" i="1" s="1"/>
  <c r="V43" i="1"/>
  <c r="W636" i="1"/>
  <c r="Y636" i="1" s="1"/>
  <c r="K529" i="1"/>
  <c r="K486" i="1"/>
  <c r="L210" i="1"/>
  <c r="M210" i="1" s="1"/>
  <c r="U474" i="1"/>
  <c r="L631" i="1"/>
  <c r="M631" i="1" s="1"/>
  <c r="T602" i="1"/>
  <c r="T596" i="1"/>
  <c r="T572" i="1"/>
  <c r="L529" i="1"/>
  <c r="M529" i="1" s="1"/>
  <c r="W535" i="1"/>
  <c r="Y535" i="1" s="1"/>
  <c r="V540" i="1"/>
  <c r="T565" i="1"/>
  <c r="V515" i="1"/>
  <c r="U464" i="1"/>
  <c r="T229" i="1"/>
  <c r="U229" i="1" s="1"/>
  <c r="W248" i="1"/>
  <c r="Y248" i="1" s="1"/>
  <c r="R228" i="1"/>
  <c r="S228" i="1" s="1"/>
  <c r="T134" i="1"/>
  <c r="W6" i="1"/>
  <c r="Y6" i="1" s="1"/>
  <c r="W602" i="1"/>
  <c r="Y602" i="1" s="1"/>
  <c r="K596" i="1"/>
  <c r="W596" i="1"/>
  <c r="Y596" i="1" s="1"/>
  <c r="R572" i="1"/>
  <c r="S572" i="1" s="1"/>
  <c r="K580" i="1"/>
  <c r="T544" i="1"/>
  <c r="V544" i="1" s="1"/>
  <c r="R535" i="1"/>
  <c r="S535" i="1" s="1"/>
  <c r="W565" i="1"/>
  <c r="Y565" i="1" s="1"/>
  <c r="K492" i="1"/>
  <c r="L433" i="1"/>
  <c r="M433" i="1" s="1"/>
  <c r="K447" i="1"/>
  <c r="L238" i="1"/>
  <c r="M238" i="1" s="1"/>
  <c r="L304" i="1"/>
  <c r="M304" i="1" s="1"/>
  <c r="K229" i="1"/>
  <c r="T248" i="1"/>
  <c r="K134" i="1"/>
  <c r="K62" i="1"/>
  <c r="R6" i="1"/>
  <c r="S6" i="1" s="1"/>
  <c r="K29" i="1"/>
  <c r="K16" i="1"/>
  <c r="K483" i="1"/>
  <c r="W560" i="1"/>
  <c r="Y560" i="1" s="1"/>
  <c r="W572" i="1"/>
  <c r="Y572" i="1" s="1"/>
  <c r="R580" i="1"/>
  <c r="S580" i="1" s="1"/>
  <c r="R565" i="1"/>
  <c r="S565" i="1" s="1"/>
  <c r="T492" i="1"/>
  <c r="V492" i="1" s="1"/>
  <c r="U497" i="1"/>
  <c r="R474" i="1"/>
  <c r="S474" i="1" s="1"/>
  <c r="L420" i="1"/>
  <c r="M420" i="1" s="1"/>
  <c r="U449" i="1"/>
  <c r="R347" i="1"/>
  <c r="S347" i="1" s="1"/>
  <c r="K228" i="1"/>
  <c r="L254" i="1"/>
  <c r="M254" i="1" s="1"/>
  <c r="L291" i="1"/>
  <c r="M291" i="1" s="1"/>
  <c r="L248" i="1"/>
  <c r="M248" i="1" s="1"/>
  <c r="W229" i="1"/>
  <c r="Y229" i="1" s="1"/>
  <c r="R109" i="1"/>
  <c r="S109" i="1" s="1"/>
  <c r="W134" i="1"/>
  <c r="Y134" i="1" s="1"/>
  <c r="W63" i="1"/>
  <c r="Y63" i="1" s="1"/>
  <c r="L6" i="1"/>
  <c r="M6" i="1" s="1"/>
  <c r="K12" i="1"/>
  <c r="K540" i="1"/>
  <c r="L540" i="1"/>
  <c r="M540" i="1" s="1"/>
  <c r="L228" i="1"/>
  <c r="M228" i="1" s="1"/>
  <c r="V535" i="1"/>
  <c r="R504" i="1"/>
  <c r="S504" i="1" s="1"/>
  <c r="L499" i="1"/>
  <c r="M499" i="1" s="1"/>
  <c r="T398" i="1"/>
  <c r="K352" i="1"/>
  <c r="W228" i="1"/>
  <c r="Y228" i="1" s="1"/>
  <c r="U148" i="1"/>
  <c r="T75" i="1"/>
  <c r="W474" i="1"/>
  <c r="Y474" i="1" s="1"/>
  <c r="W486" i="1"/>
  <c r="Y486" i="1" s="1"/>
  <c r="R516" i="1"/>
  <c r="S516" i="1" s="1"/>
  <c r="L437" i="1"/>
  <c r="M437" i="1" s="1"/>
  <c r="K456" i="1"/>
  <c r="U413" i="1"/>
  <c r="L184" i="1"/>
  <c r="M184" i="1" s="1"/>
  <c r="W75" i="1"/>
  <c r="Y75" i="1" s="1"/>
  <c r="T16" i="1"/>
  <c r="U16" i="1" s="1"/>
  <c r="K474" i="1"/>
  <c r="K602" i="1"/>
  <c r="L596" i="1"/>
  <c r="M596" i="1" s="1"/>
  <c r="L492" i="1"/>
  <c r="M492" i="1" s="1"/>
  <c r="W477" i="1"/>
  <c r="Y477" i="1" s="1"/>
  <c r="R62" i="1"/>
  <c r="S62" i="1" s="1"/>
  <c r="W540" i="1"/>
  <c r="Y540" i="1" s="1"/>
  <c r="W449" i="1"/>
  <c r="Y449" i="1" s="1"/>
  <c r="W347" i="1"/>
  <c r="Y347" i="1" s="1"/>
  <c r="R356" i="1"/>
  <c r="S356" i="1" s="1"/>
  <c r="L357" i="1"/>
  <c r="M357" i="1" s="1"/>
  <c r="K371" i="1"/>
  <c r="V333" i="1"/>
  <c r="U24" i="1"/>
  <c r="L63" i="1"/>
  <c r="M63" i="1" s="1"/>
  <c r="T63" i="1"/>
  <c r="W12" i="1"/>
  <c r="Y12" i="1" s="1"/>
  <c r="L486" i="1"/>
  <c r="M486" i="1" s="1"/>
  <c r="L398" i="1"/>
  <c r="M398" i="1" s="1"/>
  <c r="L17" i="1"/>
  <c r="M17" i="1" s="1"/>
  <c r="L88" i="1"/>
  <c r="M88" i="1" s="1"/>
  <c r="K84" i="1"/>
  <c r="R16" i="1"/>
  <c r="S16" i="1" s="1"/>
  <c r="K63" i="1"/>
  <c r="L16" i="1"/>
  <c r="M16" i="1" s="1"/>
  <c r="R12" i="1"/>
  <c r="S12" i="1" s="1"/>
  <c r="R523" i="1"/>
  <c r="S523" i="1" s="1"/>
  <c r="W523" i="1"/>
  <c r="Y523" i="1" s="1"/>
  <c r="L453" i="1"/>
  <c r="M453" i="1" s="1"/>
  <c r="L204" i="1"/>
  <c r="M204" i="1" s="1"/>
  <c r="K28" i="1"/>
  <c r="T52" i="1"/>
  <c r="W52" i="1"/>
  <c r="Y52" i="1" s="1"/>
  <c r="K399" i="1"/>
  <c r="L253" i="1"/>
  <c r="M253" i="1" s="1"/>
  <c r="L272" i="1"/>
  <c r="M272" i="1" s="1"/>
  <c r="K74" i="1"/>
  <c r="R157" i="1"/>
  <c r="S157" i="1" s="1"/>
  <c r="V152" i="1"/>
  <c r="L80" i="1"/>
  <c r="M80" i="1" s="1"/>
  <c r="L34" i="1"/>
  <c r="M34" i="1" s="1"/>
  <c r="L62" i="1"/>
  <c r="M62" i="1" s="1"/>
  <c r="W630" i="1"/>
  <c r="Y630" i="1" s="1"/>
  <c r="L602" i="1"/>
  <c r="M602" i="1" s="1"/>
  <c r="L488" i="1"/>
  <c r="M488" i="1" s="1"/>
  <c r="L447" i="1"/>
  <c r="M447" i="1" s="1"/>
  <c r="L411" i="1"/>
  <c r="M411" i="1" s="1"/>
  <c r="W447" i="1"/>
  <c r="Y447" i="1" s="1"/>
  <c r="T429" i="1"/>
  <c r="V429" i="1" s="1"/>
  <c r="U348" i="1"/>
  <c r="K279" i="1"/>
  <c r="L275" i="1"/>
  <c r="M275" i="1" s="1"/>
  <c r="L346" i="1"/>
  <c r="M346" i="1" s="1"/>
  <c r="R371" i="1"/>
  <c r="S371" i="1" s="1"/>
  <c r="R309" i="1"/>
  <c r="S309" i="1" s="1"/>
  <c r="T253" i="1"/>
  <c r="U214" i="1"/>
  <c r="K157" i="1"/>
  <c r="T157" i="1"/>
  <c r="U157" i="1" s="1"/>
  <c r="L151" i="1"/>
  <c r="M151" i="1" s="1"/>
  <c r="L82" i="1"/>
  <c r="M82" i="1" s="1"/>
  <c r="L132" i="1"/>
  <c r="M132" i="1" s="1"/>
  <c r="L632" i="1"/>
  <c r="M632" i="1" s="1"/>
  <c r="L622" i="1"/>
  <c r="M622" i="1" s="1"/>
  <c r="U630" i="1"/>
  <c r="L614" i="1"/>
  <c r="M614" i="1" s="1"/>
  <c r="L564" i="1"/>
  <c r="M564" i="1" s="1"/>
  <c r="L528" i="1"/>
  <c r="M528" i="1" s="1"/>
  <c r="L548" i="1"/>
  <c r="M548" i="1" s="1"/>
  <c r="K535" i="1"/>
  <c r="V489" i="1"/>
  <c r="L458" i="1"/>
  <c r="M458" i="1" s="1"/>
  <c r="L399" i="1"/>
  <c r="M399" i="1" s="1"/>
  <c r="T447" i="1"/>
  <c r="U447" i="1" s="1"/>
  <c r="L434" i="1"/>
  <c r="M434" i="1" s="1"/>
  <c r="R429" i="1"/>
  <c r="S429" i="1" s="1"/>
  <c r="L320" i="1"/>
  <c r="M320" i="1" s="1"/>
  <c r="K290" i="1"/>
  <c r="L270" i="1"/>
  <c r="M270" i="1" s="1"/>
  <c r="K253" i="1"/>
  <c r="V272" i="1"/>
  <c r="T371" i="1"/>
  <c r="L271" i="1"/>
  <c r="M271" i="1" s="1"/>
  <c r="T232" i="1"/>
  <c r="U232" i="1" s="1"/>
  <c r="W157" i="1"/>
  <c r="Y157" i="1" s="1"/>
  <c r="W62" i="1"/>
  <c r="Y62" i="1" s="1"/>
  <c r="W108" i="1"/>
  <c r="Y108" i="1" s="1"/>
  <c r="L535" i="1"/>
  <c r="M535" i="1" s="1"/>
  <c r="L104" i="1"/>
  <c r="M104" i="1" s="1"/>
  <c r="L223" i="1"/>
  <c r="M223" i="1" s="1"/>
  <c r="K75" i="1"/>
  <c r="T349" i="1"/>
  <c r="R349" i="1"/>
  <c r="S349" i="1" s="1"/>
  <c r="L302" i="1"/>
  <c r="M302" i="1" s="1"/>
  <c r="V506" i="1"/>
  <c r="U506" i="1"/>
  <c r="K429" i="1"/>
  <c r="L58" i="1"/>
  <c r="M58" i="1" s="1"/>
  <c r="T108" i="1"/>
  <c r="K634" i="1"/>
  <c r="W634" i="1"/>
  <c r="Y634" i="1" s="1"/>
  <c r="L462" i="1"/>
  <c r="M462" i="1" s="1"/>
  <c r="W429" i="1"/>
  <c r="Y429" i="1" s="1"/>
  <c r="L294" i="1"/>
  <c r="M294" i="1" s="1"/>
  <c r="U634" i="1"/>
  <c r="W574" i="1"/>
  <c r="Y574" i="1" s="1"/>
  <c r="U484" i="1"/>
  <c r="R201" i="1"/>
  <c r="S201" i="1" s="1"/>
  <c r="L537" i="1"/>
  <c r="M537" i="1" s="1"/>
  <c r="U523" i="1"/>
  <c r="L452" i="1"/>
  <c r="M452" i="1" s="1"/>
  <c r="U498" i="1"/>
  <c r="L370" i="1"/>
  <c r="M370" i="1" s="1"/>
  <c r="K201" i="1"/>
  <c r="L634" i="1"/>
  <c r="M634" i="1" s="1"/>
  <c r="K574" i="1"/>
  <c r="R574" i="1"/>
  <c r="S574" i="1" s="1"/>
  <c r="R567" i="1"/>
  <c r="S567" i="1" s="1"/>
  <c r="T502" i="1"/>
  <c r="L481" i="1"/>
  <c r="M481" i="1" s="1"/>
  <c r="R415" i="1"/>
  <c r="S415" i="1" s="1"/>
  <c r="K272" i="1"/>
  <c r="L201" i="1"/>
  <c r="M201" i="1" s="1"/>
  <c r="T201" i="1"/>
  <c r="U201" i="1" s="1"/>
  <c r="L108" i="1"/>
  <c r="M108" i="1" s="1"/>
  <c r="L91" i="1"/>
  <c r="M91" i="1" s="1"/>
  <c r="R634" i="1"/>
  <c r="S634" i="1" s="1"/>
  <c r="T574" i="1"/>
  <c r="U574" i="1" s="1"/>
  <c r="W567" i="1"/>
  <c r="Y567" i="1" s="1"/>
  <c r="L477" i="1"/>
  <c r="M477" i="1" s="1"/>
  <c r="L461" i="1"/>
  <c r="M461" i="1" s="1"/>
  <c r="K452" i="1"/>
  <c r="L364" i="1"/>
  <c r="M364" i="1" s="1"/>
  <c r="R272" i="1"/>
  <c r="S272" i="1" s="1"/>
  <c r="K108" i="1"/>
  <c r="L207" i="1"/>
  <c r="M207" i="1" s="1"/>
  <c r="W149" i="1"/>
  <c r="Y149" i="1" s="1"/>
  <c r="R149" i="1"/>
  <c r="S149" i="1" s="1"/>
  <c r="T149" i="1"/>
  <c r="R626" i="1"/>
  <c r="S626" i="1" s="1"/>
  <c r="W626" i="1"/>
  <c r="Y626" i="1" s="1"/>
  <c r="R232" i="1"/>
  <c r="S232" i="1" s="1"/>
  <c r="L55" i="1"/>
  <c r="M55" i="1" s="1"/>
  <c r="L49" i="1"/>
  <c r="M49" i="1" s="1"/>
  <c r="R77" i="1"/>
  <c r="S77" i="1" s="1"/>
  <c r="K522" i="1"/>
  <c r="L407" i="1"/>
  <c r="M407" i="1" s="1"/>
  <c r="L340" i="1"/>
  <c r="M340" i="1" s="1"/>
  <c r="U394" i="1"/>
  <c r="L543" i="1"/>
  <c r="M543" i="1" s="1"/>
  <c r="L522" i="1"/>
  <c r="M522" i="1" s="1"/>
  <c r="R600" i="1"/>
  <c r="S600" i="1" s="1"/>
  <c r="T580" i="1"/>
  <c r="V580" i="1" s="1"/>
  <c r="K408" i="1"/>
  <c r="L450" i="1"/>
  <c r="M450" i="1" s="1"/>
  <c r="L303" i="1"/>
  <c r="M303" i="1" s="1"/>
  <c r="T305" i="1"/>
  <c r="U305" i="1" s="1"/>
  <c r="V213" i="1"/>
  <c r="L605" i="1"/>
  <c r="M605" i="1" s="1"/>
  <c r="K600" i="1"/>
  <c r="L554" i="1"/>
  <c r="M554" i="1" s="1"/>
  <c r="U567" i="1"/>
  <c r="W580" i="1"/>
  <c r="Y580" i="1" s="1"/>
  <c r="L494" i="1"/>
  <c r="M494" i="1" s="1"/>
  <c r="U470" i="1"/>
  <c r="W453" i="1"/>
  <c r="Y453" i="1" s="1"/>
  <c r="L360" i="1"/>
  <c r="M360" i="1" s="1"/>
  <c r="K367" i="1"/>
  <c r="W381" i="1"/>
  <c r="Y381" i="1" s="1"/>
  <c r="L393" i="1"/>
  <c r="M393" i="1" s="1"/>
  <c r="W305" i="1"/>
  <c r="Y305" i="1" s="1"/>
  <c r="W614" i="1"/>
  <c r="Y614" i="1" s="1"/>
  <c r="T614" i="1"/>
  <c r="R614" i="1"/>
  <c r="S614" i="1" s="1"/>
  <c r="R183" i="1"/>
  <c r="S183" i="1" s="1"/>
  <c r="T183" i="1"/>
  <c r="R491" i="1"/>
  <c r="S491" i="1" s="1"/>
  <c r="W491" i="1"/>
  <c r="Y491" i="1" s="1"/>
  <c r="T491" i="1"/>
  <c r="L465" i="1"/>
  <c r="M465" i="1" s="1"/>
  <c r="W403" i="1"/>
  <c r="Y403" i="1" s="1"/>
  <c r="K453" i="1"/>
  <c r="R465" i="1"/>
  <c r="S465" i="1" s="1"/>
  <c r="L406" i="1"/>
  <c r="M406" i="1" s="1"/>
  <c r="K202" i="1"/>
  <c r="W77" i="1"/>
  <c r="Y77" i="1" s="1"/>
  <c r="L77" i="1"/>
  <c r="M77" i="1" s="1"/>
  <c r="L613" i="1"/>
  <c r="M613" i="1" s="1"/>
  <c r="L595" i="1"/>
  <c r="M595" i="1" s="1"/>
  <c r="W434" i="1"/>
  <c r="Y434" i="1" s="1"/>
  <c r="T465" i="1"/>
  <c r="V465" i="1" s="1"/>
  <c r="K465" i="1"/>
  <c r="T251" i="1"/>
  <c r="L268" i="1"/>
  <c r="M268" i="1" s="1"/>
  <c r="L408" i="1"/>
  <c r="M408" i="1" s="1"/>
  <c r="L478" i="1"/>
  <c r="M478" i="1" s="1"/>
  <c r="V486" i="1"/>
  <c r="L381" i="1"/>
  <c r="M381" i="1" s="1"/>
  <c r="W342" i="1"/>
  <c r="Y342" i="1" s="1"/>
  <c r="R381" i="1"/>
  <c r="S381" i="1" s="1"/>
  <c r="W299" i="1"/>
  <c r="Y299" i="1" s="1"/>
  <c r="L251" i="1"/>
  <c r="M251" i="1" s="1"/>
  <c r="K232" i="1"/>
  <c r="K77" i="1"/>
  <c r="L549" i="1"/>
  <c r="M549" i="1" s="1"/>
  <c r="T453" i="1"/>
  <c r="K449" i="1"/>
  <c r="K251" i="1"/>
  <c r="R630" i="1"/>
  <c r="S630" i="1" s="1"/>
  <c r="L627" i="1"/>
  <c r="M627" i="1" s="1"/>
  <c r="U591" i="1"/>
  <c r="L600" i="1"/>
  <c r="M600" i="1" s="1"/>
  <c r="T522" i="1"/>
  <c r="U522" i="1" s="1"/>
  <c r="L442" i="1"/>
  <c r="M442" i="1" s="1"/>
  <c r="K419" i="1"/>
  <c r="K275" i="1"/>
  <c r="R279" i="1"/>
  <c r="S279" i="1" s="1"/>
  <c r="W251" i="1"/>
  <c r="Y251" i="1" s="1"/>
  <c r="L247" i="1"/>
  <c r="M247" i="1" s="1"/>
  <c r="W247" i="1"/>
  <c r="Y247" i="1" s="1"/>
  <c r="K172" i="1"/>
  <c r="W136" i="1"/>
  <c r="Y136" i="1" s="1"/>
  <c r="K567" i="1"/>
  <c r="L113" i="1"/>
  <c r="M113" i="1" s="1"/>
  <c r="K614" i="1"/>
  <c r="R238" i="1"/>
  <c r="S238" i="1" s="1"/>
  <c r="T238" i="1"/>
  <c r="L436" i="1"/>
  <c r="M436" i="1" s="1"/>
  <c r="R182" i="1"/>
  <c r="S182" i="1" s="1"/>
  <c r="T182" i="1"/>
  <c r="K182" i="1"/>
  <c r="L372" i="1"/>
  <c r="M372" i="1" s="1"/>
  <c r="R394" i="1"/>
  <c r="S394" i="1" s="1"/>
  <c r="K394" i="1"/>
  <c r="L555" i="1"/>
  <c r="M555" i="1" s="1"/>
  <c r="L567" i="1"/>
  <c r="M567" i="1" s="1"/>
  <c r="L501" i="1"/>
  <c r="M501" i="1" s="1"/>
  <c r="K357" i="1"/>
  <c r="T319" i="1"/>
  <c r="R319" i="1"/>
  <c r="S319" i="1" s="1"/>
  <c r="R69" i="1"/>
  <c r="S69" i="1" s="1"/>
  <c r="W69" i="1"/>
  <c r="Y69" i="1" s="1"/>
  <c r="T69" i="1"/>
  <c r="K210" i="1"/>
  <c r="L279" i="1"/>
  <c r="M279" i="1" s="1"/>
  <c r="T329" i="1"/>
  <c r="U329" i="1" s="1"/>
  <c r="L630" i="1"/>
  <c r="M630" i="1" s="1"/>
  <c r="L368" i="1"/>
  <c r="M368" i="1" s="1"/>
  <c r="L449" i="1"/>
  <c r="M449" i="1" s="1"/>
  <c r="W83" i="1"/>
  <c r="Y83" i="1" s="1"/>
  <c r="T83" i="1"/>
  <c r="R11" i="1"/>
  <c r="S11" i="1" s="1"/>
  <c r="K545" i="1"/>
  <c r="L454" i="1"/>
  <c r="M454" i="1" s="1"/>
  <c r="L124" i="1"/>
  <c r="M124" i="1" s="1"/>
  <c r="T436" i="1"/>
  <c r="R436" i="1"/>
  <c r="S436" i="1" s="1"/>
  <c r="V483" i="1"/>
  <c r="U483" i="1"/>
  <c r="W124" i="1"/>
  <c r="Y124" i="1" s="1"/>
  <c r="T124" i="1"/>
  <c r="T501" i="1"/>
  <c r="W501" i="1"/>
  <c r="Y501" i="1" s="1"/>
  <c r="R501" i="1"/>
  <c r="S501" i="1" s="1"/>
  <c r="L136" i="1"/>
  <c r="M136" i="1" s="1"/>
  <c r="K227" i="1"/>
  <c r="W227" i="1"/>
  <c r="Y227" i="1" s="1"/>
  <c r="W109" i="1"/>
  <c r="Y109" i="1" s="1"/>
  <c r="T109" i="1"/>
  <c r="R138" i="1"/>
  <c r="S138" i="1" s="1"/>
  <c r="W138" i="1"/>
  <c r="Y138" i="1" s="1"/>
  <c r="T138" i="1"/>
  <c r="K138" i="1"/>
  <c r="R34" i="1"/>
  <c r="S34" i="1" s="1"/>
  <c r="K34" i="1"/>
  <c r="W34" i="1"/>
  <c r="Y34" i="1" s="1"/>
  <c r="K583" i="1"/>
  <c r="K586" i="1"/>
  <c r="K552" i="1"/>
  <c r="W514" i="1"/>
  <c r="Y514" i="1" s="1"/>
  <c r="W468" i="1"/>
  <c r="Y468" i="1" s="1"/>
  <c r="W358" i="1"/>
  <c r="Y358" i="1" s="1"/>
  <c r="R243" i="1"/>
  <c r="S243" i="1" s="1"/>
  <c r="T243" i="1"/>
  <c r="V342" i="1"/>
  <c r="U342" i="1"/>
  <c r="L106" i="1"/>
  <c r="M106" i="1" s="1"/>
  <c r="W528" i="1"/>
  <c r="Y528" i="1" s="1"/>
  <c r="K528" i="1"/>
  <c r="L514" i="1"/>
  <c r="M514" i="1" s="1"/>
  <c r="W563" i="1"/>
  <c r="Y563" i="1" s="1"/>
  <c r="T563" i="1"/>
  <c r="R563" i="1"/>
  <c r="S563" i="1" s="1"/>
  <c r="L560" i="1"/>
  <c r="M560" i="1" s="1"/>
  <c r="L232" i="1"/>
  <c r="M232" i="1" s="1"/>
  <c r="T259" i="1"/>
  <c r="W259" i="1"/>
  <c r="Y259" i="1" s="1"/>
  <c r="T181" i="1"/>
  <c r="K181" i="1"/>
  <c r="W181" i="1"/>
  <c r="Y181" i="1" s="1"/>
  <c r="K356" i="1"/>
  <c r="V264" i="1"/>
  <c r="U264" i="1"/>
  <c r="U99" i="1"/>
  <c r="V99" i="1"/>
  <c r="R15" i="1"/>
  <c r="S15" i="1" s="1"/>
  <c r="W15" i="1"/>
  <c r="Y15" i="1" s="1"/>
  <c r="K15" i="1"/>
  <c r="R569" i="1"/>
  <c r="S569" i="1" s="1"/>
  <c r="W569" i="1"/>
  <c r="Y569" i="1" s="1"/>
  <c r="T569" i="1"/>
  <c r="U545" i="1"/>
  <c r="V545" i="1"/>
  <c r="T252" i="1"/>
  <c r="W252" i="1"/>
  <c r="Y252" i="1" s="1"/>
  <c r="W314" i="1"/>
  <c r="Y314" i="1" s="1"/>
  <c r="R314" i="1"/>
  <c r="S314" i="1" s="1"/>
  <c r="T314" i="1"/>
  <c r="K314" i="1"/>
  <c r="L468" i="1"/>
  <c r="M468" i="1" s="1"/>
  <c r="K468" i="1"/>
  <c r="L335" i="1"/>
  <c r="M335" i="1" s="1"/>
  <c r="L639" i="1"/>
  <c r="M639" i="1" s="1"/>
  <c r="L513" i="1"/>
  <c r="M513" i="1" s="1"/>
  <c r="T468" i="1"/>
  <c r="U468" i="1" s="1"/>
  <c r="K252" i="1"/>
  <c r="L558" i="1"/>
  <c r="M558" i="1" s="1"/>
  <c r="K518" i="1"/>
  <c r="L375" i="1"/>
  <c r="M375" i="1" s="1"/>
  <c r="L358" i="1"/>
  <c r="M358" i="1" s="1"/>
  <c r="R601" i="1"/>
  <c r="S601" i="1" s="1"/>
  <c r="W601" i="1"/>
  <c r="Y601" i="1" s="1"/>
  <c r="L601" i="1"/>
  <c r="M601" i="1" s="1"/>
  <c r="K601" i="1"/>
  <c r="K514" i="1"/>
  <c r="W418" i="1"/>
  <c r="Y418" i="1" s="1"/>
  <c r="R418" i="1"/>
  <c r="S418" i="1" s="1"/>
  <c r="T418" i="1"/>
  <c r="L538" i="1"/>
  <c r="M538" i="1" s="1"/>
  <c r="R382" i="1"/>
  <c r="S382" i="1" s="1"/>
  <c r="K328" i="1"/>
  <c r="L388" i="1"/>
  <c r="M388" i="1" s="1"/>
  <c r="R252" i="1"/>
  <c r="S252" i="1" s="1"/>
  <c r="T358" i="1"/>
  <c r="U358" i="1" s="1"/>
  <c r="R335" i="1"/>
  <c r="S335" i="1" s="1"/>
  <c r="L551" i="1"/>
  <c r="M551" i="1" s="1"/>
  <c r="L427" i="1"/>
  <c r="M427" i="1" s="1"/>
  <c r="L355" i="1"/>
  <c r="M355" i="1" s="1"/>
  <c r="W382" i="1"/>
  <c r="Y382" i="1" s="1"/>
  <c r="K374" i="1"/>
  <c r="L402" i="1"/>
  <c r="M402" i="1" s="1"/>
  <c r="R342" i="1"/>
  <c r="S342" i="1" s="1"/>
  <c r="R358" i="1"/>
  <c r="S358" i="1" s="1"/>
  <c r="T335" i="1"/>
  <c r="U335" i="1" s="1"/>
  <c r="K243" i="1"/>
  <c r="K81" i="1"/>
  <c r="W548" i="1"/>
  <c r="Y548" i="1" s="1"/>
  <c r="T548" i="1"/>
  <c r="R548" i="1"/>
  <c r="S548" i="1" s="1"/>
  <c r="L569" i="1"/>
  <c r="M569" i="1" s="1"/>
  <c r="V509" i="1"/>
  <c r="U509" i="1"/>
  <c r="V560" i="1"/>
  <c r="U560" i="1"/>
  <c r="T334" i="1"/>
  <c r="R334" i="1"/>
  <c r="S334" i="1" s="1"/>
  <c r="V62" i="1"/>
  <c r="U62" i="1"/>
  <c r="R49" i="1"/>
  <c r="S49" i="1" s="1"/>
  <c r="T49" i="1"/>
  <c r="R10" i="1"/>
  <c r="S10" i="1" s="1"/>
  <c r="W10" i="1"/>
  <c r="Y10" i="1" s="1"/>
  <c r="W309" i="1"/>
  <c r="Y309" i="1" s="1"/>
  <c r="K309" i="1"/>
  <c r="L36" i="1"/>
  <c r="M36" i="1" s="1"/>
  <c r="L40" i="1"/>
  <c r="M40" i="1" s="1"/>
  <c r="W516" i="1"/>
  <c r="Y516" i="1" s="1"/>
  <c r="T516" i="1"/>
  <c r="L545" i="1"/>
  <c r="M545" i="1" s="1"/>
  <c r="L566" i="1"/>
  <c r="M566" i="1" s="1"/>
  <c r="R450" i="1"/>
  <c r="S450" i="1" s="1"/>
  <c r="W450" i="1"/>
  <c r="Y450" i="1" s="1"/>
  <c r="T450" i="1"/>
  <c r="W504" i="1"/>
  <c r="Y504" i="1" s="1"/>
  <c r="K504" i="1"/>
  <c r="T504" i="1"/>
  <c r="L342" i="1"/>
  <c r="M342" i="1" s="1"/>
  <c r="L334" i="1"/>
  <c r="M334" i="1" s="1"/>
  <c r="L252" i="1"/>
  <c r="M252" i="1" s="1"/>
  <c r="R399" i="1"/>
  <c r="S399" i="1" s="1"/>
  <c r="W399" i="1"/>
  <c r="Y399" i="1" s="1"/>
  <c r="L305" i="1"/>
  <c r="M305" i="1" s="1"/>
  <c r="T156" i="1"/>
  <c r="W156" i="1"/>
  <c r="Y156" i="1" s="1"/>
  <c r="R156" i="1"/>
  <c r="S156" i="1" s="1"/>
  <c r="K156" i="1"/>
  <c r="U203" i="1"/>
  <c r="V203" i="1"/>
  <c r="V42" i="1"/>
  <c r="U42" i="1"/>
  <c r="R44" i="1"/>
  <c r="S44" i="1" s="1"/>
  <c r="T44" i="1"/>
  <c r="W44" i="1"/>
  <c r="Y44" i="1" s="1"/>
  <c r="U607" i="1"/>
  <c r="V607" i="1"/>
  <c r="L516" i="1"/>
  <c r="M516" i="1" s="1"/>
  <c r="L382" i="1"/>
  <c r="M382" i="1" s="1"/>
  <c r="T478" i="1"/>
  <c r="W478" i="1"/>
  <c r="Y478" i="1" s="1"/>
  <c r="R478" i="1"/>
  <c r="S478" i="1" s="1"/>
  <c r="V357" i="1"/>
  <c r="U357" i="1"/>
  <c r="K334" i="1"/>
  <c r="T254" i="1"/>
  <c r="R254" i="1"/>
  <c r="S254" i="1" s="1"/>
  <c r="W254" i="1"/>
  <c r="Y254" i="1" s="1"/>
  <c r="K347" i="1"/>
  <c r="U368" i="1"/>
  <c r="V368" i="1"/>
  <c r="K44" i="1"/>
  <c r="R29" i="1"/>
  <c r="S29" i="1" s="1"/>
  <c r="T29" i="1"/>
  <c r="K119" i="1"/>
  <c r="W511" i="1"/>
  <c r="Y511" i="1" s="1"/>
  <c r="R511" i="1"/>
  <c r="S511" i="1" s="1"/>
  <c r="T511" i="1"/>
  <c r="W494" i="1"/>
  <c r="Y494" i="1" s="1"/>
  <c r="T494" i="1"/>
  <c r="R494" i="1"/>
  <c r="S494" i="1" s="1"/>
  <c r="R481" i="1"/>
  <c r="S481" i="1" s="1"/>
  <c r="W481" i="1"/>
  <c r="Y481" i="1" s="1"/>
  <c r="T481" i="1"/>
  <c r="T426" i="1"/>
  <c r="R426" i="1"/>
  <c r="S426" i="1" s="1"/>
  <c r="W426" i="1"/>
  <c r="Y426" i="1" s="1"/>
  <c r="K11" i="1"/>
  <c r="L347" i="1"/>
  <c r="M347" i="1" s="1"/>
  <c r="W30" i="1"/>
  <c r="Y30" i="1" s="1"/>
  <c r="T30" i="1"/>
  <c r="V636" i="1"/>
  <c r="U636" i="1"/>
  <c r="K630" i="1"/>
  <c r="R459" i="1"/>
  <c r="S459" i="1" s="1"/>
  <c r="W459" i="1"/>
  <c r="Y459" i="1" s="1"/>
  <c r="T459" i="1"/>
  <c r="T281" i="1"/>
  <c r="W281" i="1"/>
  <c r="Y281" i="1" s="1"/>
  <c r="R281" i="1"/>
  <c r="S281" i="1" s="1"/>
  <c r="T226" i="1"/>
  <c r="W226" i="1"/>
  <c r="Y226" i="1" s="1"/>
  <c r="K226" i="1"/>
  <c r="R153" i="1"/>
  <c r="S153" i="1" s="1"/>
  <c r="T153" i="1"/>
  <c r="K153" i="1"/>
  <c r="W153" i="1"/>
  <c r="Y153" i="1" s="1"/>
  <c r="L281" i="1"/>
  <c r="M281" i="1" s="1"/>
  <c r="L109" i="1"/>
  <c r="M109" i="1" s="1"/>
  <c r="V77" i="1"/>
  <c r="U77" i="1"/>
  <c r="K503" i="1"/>
  <c r="L345" i="1"/>
  <c r="M345" i="1" s="1"/>
  <c r="W243" i="1"/>
  <c r="Y243" i="1" s="1"/>
  <c r="L262" i="1"/>
  <c r="M262" i="1" s="1"/>
  <c r="L119" i="1"/>
  <c r="M119" i="1" s="1"/>
  <c r="T119" i="1"/>
  <c r="U119" i="1" s="1"/>
  <c r="W545" i="1"/>
  <c r="Y545" i="1" s="1"/>
  <c r="L463" i="1"/>
  <c r="M463" i="1" s="1"/>
  <c r="K339" i="1"/>
  <c r="L397" i="1"/>
  <c r="M397" i="1" s="1"/>
  <c r="K382" i="1"/>
  <c r="L288" i="1"/>
  <c r="M288" i="1" s="1"/>
  <c r="K569" i="1"/>
  <c r="R545" i="1"/>
  <c r="S545" i="1" s="1"/>
  <c r="L300" i="1"/>
  <c r="M300" i="1" s="1"/>
  <c r="R119" i="1"/>
  <c r="S119" i="1" s="1"/>
  <c r="L18" i="1"/>
  <c r="M18" i="1" s="1"/>
  <c r="R514" i="1"/>
  <c r="S514" i="1" s="1"/>
  <c r="L457" i="1"/>
  <c r="M457" i="1" s="1"/>
  <c r="L500" i="1"/>
  <c r="M500" i="1" s="1"/>
  <c r="L446" i="1"/>
  <c r="M446" i="1" s="1"/>
  <c r="L315" i="1"/>
  <c r="M315" i="1" s="1"/>
  <c r="L164" i="1"/>
  <c r="M164" i="1" s="1"/>
  <c r="K58" i="1"/>
  <c r="L146" i="1"/>
  <c r="M146" i="1" s="1"/>
  <c r="L179" i="1"/>
  <c r="M179" i="1" s="1"/>
  <c r="L13" i="1"/>
  <c r="M13" i="1" s="1"/>
  <c r="R616" i="1"/>
  <c r="S616" i="1" s="1"/>
  <c r="T616" i="1"/>
  <c r="L616" i="1"/>
  <c r="M616" i="1" s="1"/>
  <c r="T605" i="1"/>
  <c r="W605" i="1"/>
  <c r="Y605" i="1" s="1"/>
  <c r="R605" i="1"/>
  <c r="S605" i="1" s="1"/>
  <c r="V626" i="1"/>
  <c r="U626" i="1"/>
  <c r="R434" i="1"/>
  <c r="S434" i="1" s="1"/>
  <c r="T434" i="1"/>
  <c r="T456" i="1"/>
  <c r="W456" i="1"/>
  <c r="Y456" i="1" s="1"/>
  <c r="R456" i="1"/>
  <c r="S456" i="1" s="1"/>
  <c r="L426" i="1"/>
  <c r="M426" i="1" s="1"/>
  <c r="L314" i="1"/>
  <c r="M314" i="1" s="1"/>
  <c r="K281" i="1"/>
  <c r="L243" i="1"/>
  <c r="M243" i="1" s="1"/>
  <c r="L8" i="1"/>
  <c r="M8" i="1" s="1"/>
  <c r="R631" i="1"/>
  <c r="S631" i="1" s="1"/>
  <c r="T631" i="1"/>
  <c r="W631" i="1"/>
  <c r="Y631" i="1" s="1"/>
  <c r="L418" i="1"/>
  <c r="M418" i="1" s="1"/>
  <c r="K433" i="1"/>
  <c r="R433" i="1"/>
  <c r="S433" i="1" s="1"/>
  <c r="T386" i="1"/>
  <c r="W386" i="1"/>
  <c r="Y386" i="1" s="1"/>
  <c r="R386" i="1"/>
  <c r="S386" i="1" s="1"/>
  <c r="W408" i="1"/>
  <c r="Y408" i="1" s="1"/>
  <c r="R408" i="1"/>
  <c r="S408" i="1" s="1"/>
  <c r="L511" i="1"/>
  <c r="M511" i="1" s="1"/>
  <c r="U404" i="1"/>
  <c r="V404" i="1"/>
  <c r="T304" i="1"/>
  <c r="W304" i="1"/>
  <c r="Y304" i="1" s="1"/>
  <c r="K304" i="1"/>
  <c r="K386" i="1"/>
  <c r="L356" i="1"/>
  <c r="M356" i="1" s="1"/>
  <c r="R88" i="1"/>
  <c r="S88" i="1" s="1"/>
  <c r="T88" i="1"/>
  <c r="W88" i="1"/>
  <c r="Y88" i="1" s="1"/>
  <c r="R74" i="1"/>
  <c r="S74" i="1" s="1"/>
  <c r="T74" i="1"/>
  <c r="W74" i="1"/>
  <c r="Y74" i="1" s="1"/>
  <c r="T17" i="1"/>
  <c r="W17" i="1"/>
  <c r="Y17" i="1" s="1"/>
  <c r="K17" i="1"/>
  <c r="T495" i="1"/>
  <c r="R495" i="1"/>
  <c r="S495" i="1" s="1"/>
  <c r="W495" i="1"/>
  <c r="Y495" i="1" s="1"/>
  <c r="V389" i="1"/>
  <c r="U389" i="1"/>
  <c r="T359" i="1"/>
  <c r="W359" i="1"/>
  <c r="Y359" i="1" s="1"/>
  <c r="R359" i="1"/>
  <c r="S359" i="1" s="1"/>
  <c r="V312" i="1"/>
  <c r="U312" i="1"/>
  <c r="U133" i="1"/>
  <c r="V133" i="1"/>
  <c r="W47" i="1"/>
  <c r="Y47" i="1" s="1"/>
  <c r="T47" i="1"/>
  <c r="R47" i="1"/>
  <c r="S47" i="1" s="1"/>
  <c r="T36" i="1"/>
  <c r="W36" i="1"/>
  <c r="Y36" i="1" s="1"/>
  <c r="R36" i="1"/>
  <c r="S36" i="1" s="1"/>
  <c r="L122" i="1"/>
  <c r="M122" i="1" s="1"/>
  <c r="U128" i="1"/>
  <c r="V128" i="1"/>
  <c r="L31" i="1"/>
  <c r="M31" i="1" s="1"/>
  <c r="W13" i="1"/>
  <c r="Y13" i="1" s="1"/>
  <c r="K13" i="1"/>
  <c r="T13" i="1"/>
  <c r="R13" i="1"/>
  <c r="S13" i="1" s="1"/>
  <c r="L127" i="1"/>
  <c r="M127" i="1" s="1"/>
  <c r="V59" i="1"/>
  <c r="U59" i="1"/>
  <c r="V32" i="1"/>
  <c r="U32" i="1"/>
  <c r="V5" i="1"/>
  <c r="U5" i="1"/>
  <c r="V313" i="1"/>
  <c r="U313" i="1"/>
  <c r="V261" i="1"/>
  <c r="U261" i="1"/>
  <c r="U228" i="1"/>
  <c r="V228" i="1"/>
  <c r="V168" i="1"/>
  <c r="U168" i="1"/>
  <c r="V600" i="1"/>
  <c r="U600" i="1"/>
  <c r="U439" i="1"/>
  <c r="V439" i="1"/>
  <c r="R440" i="1"/>
  <c r="S440" i="1" s="1"/>
  <c r="W440" i="1"/>
  <c r="Y440" i="1" s="1"/>
  <c r="T440" i="1"/>
  <c r="T354" i="1"/>
  <c r="W354" i="1"/>
  <c r="Y354" i="1" s="1"/>
  <c r="R354" i="1"/>
  <c r="S354" i="1" s="1"/>
  <c r="U260" i="1"/>
  <c r="V260" i="1"/>
  <c r="V635" i="1"/>
  <c r="U635" i="1"/>
  <c r="V572" i="1"/>
  <c r="U572" i="1"/>
  <c r="W490" i="1"/>
  <c r="Y490" i="1" s="1"/>
  <c r="T490" i="1"/>
  <c r="R490" i="1"/>
  <c r="S490" i="1" s="1"/>
  <c r="W430" i="1"/>
  <c r="Y430" i="1" s="1"/>
  <c r="K430" i="1"/>
  <c r="R430" i="1"/>
  <c r="S430" i="1" s="1"/>
  <c r="T430" i="1"/>
  <c r="W445" i="1"/>
  <c r="Y445" i="1" s="1"/>
  <c r="T445" i="1"/>
  <c r="R445" i="1"/>
  <c r="S445" i="1" s="1"/>
  <c r="K445" i="1"/>
  <c r="U415" i="1"/>
  <c r="V415" i="1"/>
  <c r="W376" i="1"/>
  <c r="Y376" i="1" s="1"/>
  <c r="K376" i="1"/>
  <c r="R376" i="1"/>
  <c r="S376" i="1" s="1"/>
  <c r="T376" i="1"/>
  <c r="K354" i="1"/>
  <c r="U387" i="1"/>
  <c r="V387" i="1"/>
  <c r="K341" i="1"/>
  <c r="W341" i="1"/>
  <c r="Y341" i="1" s="1"/>
  <c r="T341" i="1"/>
  <c r="R341" i="1"/>
  <c r="S341" i="1" s="1"/>
  <c r="V316" i="1"/>
  <c r="U316" i="1"/>
  <c r="W256" i="1"/>
  <c r="Y256" i="1" s="1"/>
  <c r="R256" i="1"/>
  <c r="S256" i="1" s="1"/>
  <c r="K256" i="1"/>
  <c r="T256" i="1"/>
  <c r="U245" i="1"/>
  <c r="V245" i="1"/>
  <c r="U320" i="1"/>
  <c r="V320" i="1"/>
  <c r="W192" i="1"/>
  <c r="Y192" i="1" s="1"/>
  <c r="T192" i="1"/>
  <c r="R192" i="1"/>
  <c r="S192" i="1" s="1"/>
  <c r="K192" i="1"/>
  <c r="V188" i="1"/>
  <c r="U188" i="1"/>
  <c r="V247" i="1"/>
  <c r="U247" i="1"/>
  <c r="U248" i="1"/>
  <c r="V248" i="1"/>
  <c r="W118" i="1"/>
  <c r="Y118" i="1" s="1"/>
  <c r="T118" i="1"/>
  <c r="R118" i="1"/>
  <c r="S118" i="1" s="1"/>
  <c r="T26" i="1"/>
  <c r="K26" i="1"/>
  <c r="W26" i="1"/>
  <c r="Y26" i="1" s="1"/>
  <c r="R26" i="1"/>
  <c r="S26" i="1" s="1"/>
  <c r="W60" i="1"/>
  <c r="Y60" i="1" s="1"/>
  <c r="R60" i="1"/>
  <c r="S60" i="1" s="1"/>
  <c r="T60" i="1"/>
  <c r="V110" i="1"/>
  <c r="U110" i="1"/>
  <c r="K629" i="1"/>
  <c r="W629" i="1"/>
  <c r="Y629" i="1" s="1"/>
  <c r="T629" i="1"/>
  <c r="R629" i="1"/>
  <c r="S629" i="1" s="1"/>
  <c r="T638" i="1"/>
  <c r="W638" i="1"/>
  <c r="Y638" i="1" s="1"/>
  <c r="R638" i="1"/>
  <c r="S638" i="1" s="1"/>
  <c r="R610" i="1"/>
  <c r="S610" i="1" s="1"/>
  <c r="K610" i="1"/>
  <c r="T610" i="1"/>
  <c r="W610" i="1"/>
  <c r="Y610" i="1" s="1"/>
  <c r="W597" i="1"/>
  <c r="Y597" i="1" s="1"/>
  <c r="K597" i="1"/>
  <c r="L597" i="1"/>
  <c r="M597" i="1" s="1"/>
  <c r="T597" i="1"/>
  <c r="R597" i="1"/>
  <c r="S597" i="1" s="1"/>
  <c r="T578" i="1"/>
  <c r="R578" i="1"/>
  <c r="S578" i="1" s="1"/>
  <c r="L578" i="1"/>
  <c r="M578" i="1" s="1"/>
  <c r="W578" i="1"/>
  <c r="Y578" i="1" s="1"/>
  <c r="W554" i="1"/>
  <c r="Y554" i="1" s="1"/>
  <c r="R554" i="1"/>
  <c r="S554" i="1" s="1"/>
  <c r="T554" i="1"/>
  <c r="W520" i="1"/>
  <c r="Y520" i="1" s="1"/>
  <c r="T520" i="1"/>
  <c r="R520" i="1"/>
  <c r="S520" i="1" s="1"/>
  <c r="W480" i="1"/>
  <c r="Y480" i="1" s="1"/>
  <c r="T480" i="1"/>
  <c r="R480" i="1"/>
  <c r="S480" i="1" s="1"/>
  <c r="L480" i="1"/>
  <c r="M480" i="1" s="1"/>
  <c r="V485" i="1"/>
  <c r="U485" i="1"/>
  <c r="T469" i="1"/>
  <c r="W469" i="1"/>
  <c r="Y469" i="1" s="1"/>
  <c r="R469" i="1"/>
  <c r="S469" i="1" s="1"/>
  <c r="W438" i="1"/>
  <c r="Y438" i="1" s="1"/>
  <c r="T438" i="1"/>
  <c r="R438" i="1"/>
  <c r="S438" i="1" s="1"/>
  <c r="T427" i="1"/>
  <c r="W427" i="1"/>
  <c r="Y427" i="1" s="1"/>
  <c r="R427" i="1"/>
  <c r="S427" i="1" s="1"/>
  <c r="K427" i="1"/>
  <c r="V409" i="1"/>
  <c r="U409" i="1"/>
  <c r="V400" i="1"/>
  <c r="U400" i="1"/>
  <c r="V352" i="1"/>
  <c r="U352" i="1"/>
  <c r="W315" i="1"/>
  <c r="Y315" i="1" s="1"/>
  <c r="R315" i="1"/>
  <c r="S315" i="1" s="1"/>
  <c r="T315" i="1"/>
  <c r="U373" i="1"/>
  <c r="V373" i="1"/>
  <c r="U307" i="1"/>
  <c r="V307" i="1"/>
  <c r="V282" i="1"/>
  <c r="U282" i="1"/>
  <c r="R289" i="1"/>
  <c r="S289" i="1" s="1"/>
  <c r="W289" i="1"/>
  <c r="Y289" i="1" s="1"/>
  <c r="T289" i="1"/>
  <c r="L289" i="1"/>
  <c r="M289" i="1" s="1"/>
  <c r="V332" i="1"/>
  <c r="U332" i="1"/>
  <c r="U231" i="1"/>
  <c r="V231" i="1"/>
  <c r="T176" i="1"/>
  <c r="W176" i="1"/>
  <c r="Y176" i="1" s="1"/>
  <c r="R176" i="1"/>
  <c r="S176" i="1" s="1"/>
  <c r="R236" i="1"/>
  <c r="S236" i="1" s="1"/>
  <c r="W236" i="1"/>
  <c r="Y236" i="1" s="1"/>
  <c r="K236" i="1"/>
  <c r="T236" i="1"/>
  <c r="T175" i="1"/>
  <c r="W175" i="1"/>
  <c r="Y175" i="1" s="1"/>
  <c r="R175" i="1"/>
  <c r="S175" i="1" s="1"/>
  <c r="T46" i="1"/>
  <c r="W46" i="1"/>
  <c r="Y46" i="1" s="1"/>
  <c r="R46" i="1"/>
  <c r="S46" i="1" s="1"/>
  <c r="L46" i="1"/>
  <c r="M46" i="1" s="1"/>
  <c r="K46" i="1"/>
  <c r="V79" i="1"/>
  <c r="U79" i="1"/>
  <c r="U64" i="1"/>
  <c r="V64" i="1"/>
  <c r="T31" i="1"/>
  <c r="W31" i="1"/>
  <c r="Y31" i="1" s="1"/>
  <c r="R31" i="1"/>
  <c r="S31" i="1" s="1"/>
  <c r="U95" i="1"/>
  <c r="V95" i="1"/>
  <c r="W3" i="1"/>
  <c r="Y3" i="1" s="1"/>
  <c r="T3" i="1"/>
  <c r="R3" i="1"/>
  <c r="S3" i="1" s="1"/>
  <c r="T126" i="1"/>
  <c r="W126" i="1"/>
  <c r="Y126" i="1" s="1"/>
  <c r="K126" i="1"/>
  <c r="L126" i="1"/>
  <c r="M126" i="1" s="1"/>
  <c r="R126" i="1"/>
  <c r="S126" i="1" s="1"/>
  <c r="L629" i="1"/>
  <c r="M629" i="1" s="1"/>
  <c r="W571" i="1"/>
  <c r="Y571" i="1" s="1"/>
  <c r="T571" i="1"/>
  <c r="R571" i="1"/>
  <c r="S571" i="1" s="1"/>
  <c r="K571" i="1"/>
  <c r="W551" i="1"/>
  <c r="Y551" i="1" s="1"/>
  <c r="R551" i="1"/>
  <c r="S551" i="1" s="1"/>
  <c r="T551" i="1"/>
  <c r="L490" i="1"/>
  <c r="M490" i="1" s="1"/>
  <c r="V531" i="1"/>
  <c r="U531" i="1"/>
  <c r="L469" i="1"/>
  <c r="M469" i="1" s="1"/>
  <c r="W458" i="1"/>
  <c r="Y458" i="1" s="1"/>
  <c r="R458" i="1"/>
  <c r="S458" i="1" s="1"/>
  <c r="T458" i="1"/>
  <c r="K458" i="1"/>
  <c r="R420" i="1"/>
  <c r="S420" i="1" s="1"/>
  <c r="W420" i="1"/>
  <c r="Y420" i="1" s="1"/>
  <c r="T420" i="1"/>
  <c r="W374" i="1"/>
  <c r="Y374" i="1" s="1"/>
  <c r="T374" i="1"/>
  <c r="R374" i="1"/>
  <c r="S374" i="1" s="1"/>
  <c r="L401" i="1"/>
  <c r="M401" i="1" s="1"/>
  <c r="V336" i="1"/>
  <c r="U336" i="1"/>
  <c r="V331" i="1"/>
  <c r="U331" i="1"/>
  <c r="V367" i="1"/>
  <c r="U367" i="1"/>
  <c r="W343" i="1"/>
  <c r="Y343" i="1" s="1"/>
  <c r="T343" i="1"/>
  <c r="R343" i="1"/>
  <c r="S343" i="1" s="1"/>
  <c r="L359" i="1"/>
  <c r="M359" i="1" s="1"/>
  <c r="T339" i="1"/>
  <c r="W339" i="1"/>
  <c r="Y339" i="1" s="1"/>
  <c r="R339" i="1"/>
  <c r="S339" i="1" s="1"/>
  <c r="W216" i="1"/>
  <c r="Y216" i="1" s="1"/>
  <c r="T216" i="1"/>
  <c r="R216" i="1"/>
  <c r="S216" i="1" s="1"/>
  <c r="T189" i="1"/>
  <c r="W189" i="1"/>
  <c r="Y189" i="1" s="1"/>
  <c r="R189" i="1"/>
  <c r="S189" i="1" s="1"/>
  <c r="U218" i="1"/>
  <c r="V218" i="1"/>
  <c r="W379" i="1"/>
  <c r="Y379" i="1" s="1"/>
  <c r="T379" i="1"/>
  <c r="R379" i="1"/>
  <c r="S379" i="1" s="1"/>
  <c r="U324" i="1"/>
  <c r="V324" i="1"/>
  <c r="T396" i="1"/>
  <c r="W396" i="1"/>
  <c r="Y396" i="1" s="1"/>
  <c r="R396" i="1"/>
  <c r="S396" i="1" s="1"/>
  <c r="T269" i="1"/>
  <c r="R269" i="1"/>
  <c r="S269" i="1" s="1"/>
  <c r="K269" i="1"/>
  <c r="W269" i="1"/>
  <c r="Y269" i="1" s="1"/>
  <c r="V309" i="1"/>
  <c r="U309" i="1"/>
  <c r="U198" i="1"/>
  <c r="V198" i="1"/>
  <c r="U224" i="1"/>
  <c r="V224" i="1"/>
  <c r="R154" i="1"/>
  <c r="S154" i="1" s="1"/>
  <c r="W154" i="1"/>
  <c r="Y154" i="1" s="1"/>
  <c r="K154" i="1"/>
  <c r="T154" i="1"/>
  <c r="L154" i="1"/>
  <c r="M154" i="1" s="1"/>
  <c r="V157" i="1"/>
  <c r="L175" i="1"/>
  <c r="M175" i="1" s="1"/>
  <c r="T145" i="1"/>
  <c r="W145" i="1"/>
  <c r="Y145" i="1" s="1"/>
  <c r="R145" i="1"/>
  <c r="S145" i="1" s="1"/>
  <c r="U158" i="1"/>
  <c r="V158" i="1"/>
  <c r="V134" i="1"/>
  <c r="U134" i="1"/>
  <c r="W87" i="1"/>
  <c r="Y87" i="1" s="1"/>
  <c r="R87" i="1"/>
  <c r="S87" i="1" s="1"/>
  <c r="T87" i="1"/>
  <c r="T51" i="1"/>
  <c r="K51" i="1"/>
  <c r="W51" i="1"/>
  <c r="Y51" i="1" s="1"/>
  <c r="R51" i="1"/>
  <c r="S51" i="1" s="1"/>
  <c r="T144" i="1"/>
  <c r="W144" i="1"/>
  <c r="Y144" i="1" s="1"/>
  <c r="R144" i="1"/>
  <c r="S144" i="1" s="1"/>
  <c r="W105" i="1"/>
  <c r="Y105" i="1" s="1"/>
  <c r="R105" i="1"/>
  <c r="S105" i="1" s="1"/>
  <c r="K105" i="1"/>
  <c r="T105" i="1"/>
  <c r="T21" i="1"/>
  <c r="W21" i="1"/>
  <c r="Y21" i="1" s="1"/>
  <c r="R21" i="1"/>
  <c r="S21" i="1" s="1"/>
  <c r="T86" i="1"/>
  <c r="W86" i="1"/>
  <c r="Y86" i="1" s="1"/>
  <c r="R86" i="1"/>
  <c r="S86" i="1" s="1"/>
  <c r="T627" i="1"/>
  <c r="R627" i="1"/>
  <c r="S627" i="1" s="1"/>
  <c r="W627" i="1"/>
  <c r="Y627" i="1" s="1"/>
  <c r="V592" i="1"/>
  <c r="U592" i="1"/>
  <c r="V585" i="1"/>
  <c r="U585" i="1"/>
  <c r="R588" i="1"/>
  <c r="S588" i="1" s="1"/>
  <c r="W588" i="1"/>
  <c r="Y588" i="1" s="1"/>
  <c r="T588" i="1"/>
  <c r="T593" i="1"/>
  <c r="W593" i="1"/>
  <c r="Y593" i="1" s="1"/>
  <c r="R593" i="1"/>
  <c r="S593" i="1" s="1"/>
  <c r="K564" i="1"/>
  <c r="T564" i="1"/>
  <c r="W564" i="1"/>
  <c r="Y564" i="1" s="1"/>
  <c r="R564" i="1"/>
  <c r="S564" i="1" s="1"/>
  <c r="U538" i="1"/>
  <c r="V538" i="1"/>
  <c r="L571" i="1"/>
  <c r="M571" i="1" s="1"/>
  <c r="V550" i="1"/>
  <c r="U550" i="1"/>
  <c r="W503" i="1"/>
  <c r="Y503" i="1" s="1"/>
  <c r="T503" i="1"/>
  <c r="R503" i="1"/>
  <c r="S503" i="1" s="1"/>
  <c r="V475" i="1"/>
  <c r="U475" i="1"/>
  <c r="T488" i="1"/>
  <c r="W488" i="1"/>
  <c r="Y488" i="1" s="1"/>
  <c r="R488" i="1"/>
  <c r="S488" i="1" s="1"/>
  <c r="K463" i="1"/>
  <c r="L495" i="1"/>
  <c r="M495" i="1" s="1"/>
  <c r="K480" i="1"/>
  <c r="V477" i="1"/>
  <c r="U477" i="1"/>
  <c r="T461" i="1"/>
  <c r="W461" i="1"/>
  <c r="Y461" i="1" s="1"/>
  <c r="R461" i="1"/>
  <c r="S461" i="1" s="1"/>
  <c r="R443" i="1"/>
  <c r="S443" i="1" s="1"/>
  <c r="K443" i="1"/>
  <c r="T443" i="1"/>
  <c r="W443" i="1"/>
  <c r="Y443" i="1" s="1"/>
  <c r="W402" i="1"/>
  <c r="Y402" i="1" s="1"/>
  <c r="T402" i="1"/>
  <c r="R402" i="1"/>
  <c r="S402" i="1" s="1"/>
  <c r="T406" i="1"/>
  <c r="W406" i="1"/>
  <c r="Y406" i="1" s="1"/>
  <c r="R406" i="1"/>
  <c r="S406" i="1" s="1"/>
  <c r="R405" i="1"/>
  <c r="S405" i="1" s="1"/>
  <c r="W405" i="1"/>
  <c r="Y405" i="1" s="1"/>
  <c r="L405" i="1"/>
  <c r="M405" i="1" s="1"/>
  <c r="K405" i="1"/>
  <c r="T405" i="1"/>
  <c r="W388" i="1"/>
  <c r="Y388" i="1" s="1"/>
  <c r="T388" i="1"/>
  <c r="R388" i="1"/>
  <c r="S388" i="1" s="1"/>
  <c r="T391" i="1"/>
  <c r="R391" i="1"/>
  <c r="S391" i="1" s="1"/>
  <c r="W391" i="1"/>
  <c r="Y391" i="1" s="1"/>
  <c r="L391" i="1"/>
  <c r="M391" i="1" s="1"/>
  <c r="K391" i="1"/>
  <c r="W393" i="1"/>
  <c r="Y393" i="1" s="1"/>
  <c r="T393" i="1"/>
  <c r="R393" i="1"/>
  <c r="S393" i="1" s="1"/>
  <c r="V395" i="1"/>
  <c r="U395" i="1"/>
  <c r="L338" i="1"/>
  <c r="M338" i="1" s="1"/>
  <c r="U273" i="1"/>
  <c r="V273" i="1"/>
  <c r="W295" i="1"/>
  <c r="Y295" i="1" s="1"/>
  <c r="T295" i="1"/>
  <c r="R295" i="1"/>
  <c r="S295" i="1" s="1"/>
  <c r="W270" i="1"/>
  <c r="Y270" i="1" s="1"/>
  <c r="T270" i="1"/>
  <c r="R270" i="1"/>
  <c r="S270" i="1" s="1"/>
  <c r="V215" i="1"/>
  <c r="U215" i="1"/>
  <c r="V217" i="1"/>
  <c r="U217" i="1"/>
  <c r="V317" i="1"/>
  <c r="U317" i="1"/>
  <c r="V205" i="1"/>
  <c r="U205" i="1"/>
  <c r="U308" i="1"/>
  <c r="V308" i="1"/>
  <c r="W287" i="1"/>
  <c r="Y287" i="1" s="1"/>
  <c r="R287" i="1"/>
  <c r="S287" i="1" s="1"/>
  <c r="K287" i="1"/>
  <c r="L287" i="1"/>
  <c r="M287" i="1" s="1"/>
  <c r="T287" i="1"/>
  <c r="V353" i="1"/>
  <c r="U353" i="1"/>
  <c r="V299" i="1"/>
  <c r="U299" i="1"/>
  <c r="V283" i="1"/>
  <c r="U283" i="1"/>
  <c r="W288" i="1"/>
  <c r="Y288" i="1" s="1"/>
  <c r="T288" i="1"/>
  <c r="R288" i="1"/>
  <c r="S288" i="1" s="1"/>
  <c r="L196" i="1"/>
  <c r="M196" i="1" s="1"/>
  <c r="T167" i="1"/>
  <c r="W167" i="1"/>
  <c r="Y167" i="1" s="1"/>
  <c r="R167" i="1"/>
  <c r="S167" i="1" s="1"/>
  <c r="K167" i="1"/>
  <c r="V177" i="1"/>
  <c r="U177" i="1"/>
  <c r="R234" i="1"/>
  <c r="S234" i="1" s="1"/>
  <c r="W234" i="1"/>
  <c r="Y234" i="1" s="1"/>
  <c r="K234" i="1"/>
  <c r="T234" i="1"/>
  <c r="L234" i="1"/>
  <c r="M234" i="1" s="1"/>
  <c r="U173" i="1"/>
  <c r="V173" i="1"/>
  <c r="T121" i="1"/>
  <c r="W121" i="1"/>
  <c r="Y121" i="1" s="1"/>
  <c r="R121" i="1"/>
  <c r="S121" i="1" s="1"/>
  <c r="K121" i="1"/>
  <c r="L619" i="1"/>
  <c r="M619" i="1" s="1"/>
  <c r="T613" i="1"/>
  <c r="R613" i="1"/>
  <c r="S613" i="1" s="1"/>
  <c r="K613" i="1"/>
  <c r="W613" i="1"/>
  <c r="Y613" i="1" s="1"/>
  <c r="W583" i="1"/>
  <c r="Y583" i="1" s="1"/>
  <c r="T583" i="1"/>
  <c r="R583" i="1"/>
  <c r="S583" i="1" s="1"/>
  <c r="V576" i="1"/>
  <c r="U576" i="1"/>
  <c r="T589" i="1"/>
  <c r="R589" i="1"/>
  <c r="S589" i="1" s="1"/>
  <c r="W589" i="1"/>
  <c r="Y589" i="1" s="1"/>
  <c r="K589" i="1"/>
  <c r="W547" i="1"/>
  <c r="Y547" i="1" s="1"/>
  <c r="T547" i="1"/>
  <c r="R547" i="1"/>
  <c r="S547" i="1" s="1"/>
  <c r="L547" i="1"/>
  <c r="M547" i="1" s="1"/>
  <c r="K547" i="1"/>
  <c r="L517" i="1"/>
  <c r="M517" i="1" s="1"/>
  <c r="T568" i="1"/>
  <c r="R568" i="1"/>
  <c r="S568" i="1" s="1"/>
  <c r="W568" i="1"/>
  <c r="Y568" i="1" s="1"/>
  <c r="L568" i="1"/>
  <c r="M568" i="1" s="1"/>
  <c r="W549" i="1"/>
  <c r="Y549" i="1" s="1"/>
  <c r="T549" i="1"/>
  <c r="R549" i="1"/>
  <c r="S549" i="1" s="1"/>
  <c r="K549" i="1"/>
  <c r="L557" i="1"/>
  <c r="M557" i="1" s="1"/>
  <c r="K490" i="1"/>
  <c r="T536" i="1"/>
  <c r="R536" i="1"/>
  <c r="S536" i="1" s="1"/>
  <c r="K536" i="1"/>
  <c r="W536" i="1"/>
  <c r="Y536" i="1" s="1"/>
  <c r="W537" i="1"/>
  <c r="Y537" i="1" s="1"/>
  <c r="T537" i="1"/>
  <c r="R537" i="1"/>
  <c r="S537" i="1" s="1"/>
  <c r="U505" i="1"/>
  <c r="V505" i="1"/>
  <c r="V502" i="1"/>
  <c r="U502" i="1"/>
  <c r="W510" i="1"/>
  <c r="Y510" i="1" s="1"/>
  <c r="T510" i="1"/>
  <c r="R510" i="1"/>
  <c r="S510" i="1" s="1"/>
  <c r="L510" i="1"/>
  <c r="M510" i="1" s="1"/>
  <c r="U471" i="1"/>
  <c r="V471" i="1"/>
  <c r="K473" i="1"/>
  <c r="R482" i="1"/>
  <c r="S482" i="1" s="1"/>
  <c r="W482" i="1"/>
  <c r="Y482" i="1" s="1"/>
  <c r="T482" i="1"/>
  <c r="K469" i="1"/>
  <c r="W460" i="1"/>
  <c r="Y460" i="1" s="1"/>
  <c r="T460" i="1"/>
  <c r="L460" i="1"/>
  <c r="M460" i="1" s="1"/>
  <c r="R460" i="1"/>
  <c r="S460" i="1" s="1"/>
  <c r="V453" i="1"/>
  <c r="U453" i="1"/>
  <c r="L482" i="1"/>
  <c r="M482" i="1" s="1"/>
  <c r="K420" i="1"/>
  <c r="K440" i="1"/>
  <c r="L430" i="1"/>
  <c r="M430" i="1" s="1"/>
  <c r="L417" i="1"/>
  <c r="M417" i="1" s="1"/>
  <c r="L385" i="1"/>
  <c r="M385" i="1" s="1"/>
  <c r="L396" i="1"/>
  <c r="M396" i="1" s="1"/>
  <c r="W350" i="1"/>
  <c r="Y350" i="1" s="1"/>
  <c r="T350" i="1"/>
  <c r="R350" i="1"/>
  <c r="S350" i="1" s="1"/>
  <c r="T370" i="1"/>
  <c r="W370" i="1"/>
  <c r="Y370" i="1" s="1"/>
  <c r="R370" i="1"/>
  <c r="S370" i="1" s="1"/>
  <c r="K396" i="1"/>
  <c r="W397" i="1"/>
  <c r="Y397" i="1" s="1"/>
  <c r="R397" i="1"/>
  <c r="S397" i="1" s="1"/>
  <c r="T397" i="1"/>
  <c r="V414" i="1"/>
  <c r="U414" i="1"/>
  <c r="W337" i="1"/>
  <c r="Y337" i="1" s="1"/>
  <c r="R337" i="1"/>
  <c r="S337" i="1" s="1"/>
  <c r="T337" i="1"/>
  <c r="K337" i="1"/>
  <c r="W292" i="1"/>
  <c r="Y292" i="1" s="1"/>
  <c r="R292" i="1"/>
  <c r="S292" i="1" s="1"/>
  <c r="K292" i="1"/>
  <c r="T292" i="1"/>
  <c r="W268" i="1"/>
  <c r="Y268" i="1" s="1"/>
  <c r="T268" i="1"/>
  <c r="R268" i="1"/>
  <c r="S268" i="1" s="1"/>
  <c r="V363" i="1"/>
  <c r="U363" i="1"/>
  <c r="K289" i="1"/>
  <c r="W285" i="1"/>
  <c r="Y285" i="1" s="1"/>
  <c r="R285" i="1"/>
  <c r="S285" i="1" s="1"/>
  <c r="T285" i="1"/>
  <c r="W275" i="1"/>
  <c r="Y275" i="1" s="1"/>
  <c r="T275" i="1"/>
  <c r="R275" i="1"/>
  <c r="S275" i="1" s="1"/>
  <c r="V250" i="1"/>
  <c r="U250" i="1"/>
  <c r="W242" i="1"/>
  <c r="Y242" i="1" s="1"/>
  <c r="T242" i="1"/>
  <c r="R242" i="1"/>
  <c r="S242" i="1" s="1"/>
  <c r="L206" i="1"/>
  <c r="M206" i="1" s="1"/>
  <c r="U330" i="1"/>
  <c r="V330" i="1"/>
  <c r="L246" i="1"/>
  <c r="M246" i="1" s="1"/>
  <c r="T301" i="1"/>
  <c r="W301" i="1"/>
  <c r="Y301" i="1" s="1"/>
  <c r="K301" i="1"/>
  <c r="R301" i="1"/>
  <c r="S301" i="1" s="1"/>
  <c r="T276" i="1"/>
  <c r="W276" i="1"/>
  <c r="Y276" i="1" s="1"/>
  <c r="K276" i="1"/>
  <c r="R276" i="1"/>
  <c r="S276" i="1" s="1"/>
  <c r="L276" i="1"/>
  <c r="M276" i="1" s="1"/>
  <c r="L256" i="1"/>
  <c r="M256" i="1" s="1"/>
  <c r="L236" i="1"/>
  <c r="M236" i="1" s="1"/>
  <c r="T150" i="1"/>
  <c r="W150" i="1"/>
  <c r="Y150" i="1" s="1"/>
  <c r="K150" i="1"/>
  <c r="R150" i="1"/>
  <c r="S150" i="1" s="1"/>
  <c r="L192" i="1"/>
  <c r="M192" i="1" s="1"/>
  <c r="L292" i="1"/>
  <c r="M292" i="1" s="1"/>
  <c r="W200" i="1"/>
  <c r="Y200" i="1" s="1"/>
  <c r="T200" i="1"/>
  <c r="R200" i="1"/>
  <c r="S200" i="1" s="1"/>
  <c r="L269" i="1"/>
  <c r="M269" i="1" s="1"/>
  <c r="W204" i="1"/>
  <c r="Y204" i="1" s="1"/>
  <c r="K204" i="1"/>
  <c r="R204" i="1"/>
  <c r="S204" i="1" s="1"/>
  <c r="T204" i="1"/>
  <c r="V178" i="1"/>
  <c r="U178" i="1"/>
  <c r="L142" i="1"/>
  <c r="M142" i="1" s="1"/>
  <c r="T71" i="1"/>
  <c r="L71" i="1"/>
  <c r="M71" i="1" s="1"/>
  <c r="K71" i="1"/>
  <c r="W71" i="1"/>
  <c r="Y71" i="1" s="1"/>
  <c r="R71" i="1"/>
  <c r="S71" i="1" s="1"/>
  <c r="T61" i="1"/>
  <c r="W61" i="1"/>
  <c r="Y61" i="1" s="1"/>
  <c r="R61" i="1"/>
  <c r="S61" i="1" s="1"/>
  <c r="K61" i="1"/>
  <c r="T91" i="1"/>
  <c r="W91" i="1"/>
  <c r="Y91" i="1" s="1"/>
  <c r="R91" i="1"/>
  <c r="S91" i="1" s="1"/>
  <c r="L3" i="1"/>
  <c r="M3" i="1" s="1"/>
  <c r="L107" i="1"/>
  <c r="M107" i="1" s="1"/>
  <c r="L85" i="1"/>
  <c r="M85" i="1" s="1"/>
  <c r="T66" i="1"/>
  <c r="W66" i="1"/>
  <c r="Y66" i="1" s="1"/>
  <c r="R66" i="1"/>
  <c r="S66" i="1" s="1"/>
  <c r="W25" i="1"/>
  <c r="Y25" i="1" s="1"/>
  <c r="T25" i="1"/>
  <c r="R25" i="1"/>
  <c r="S25" i="1" s="1"/>
  <c r="L35" i="1"/>
  <c r="M35" i="1" s="1"/>
  <c r="W122" i="1"/>
  <c r="Y122" i="1" s="1"/>
  <c r="T122" i="1"/>
  <c r="R122" i="1"/>
  <c r="S122" i="1" s="1"/>
  <c r="W40" i="1"/>
  <c r="Y40" i="1" s="1"/>
  <c r="T40" i="1"/>
  <c r="R40" i="1"/>
  <c r="S40" i="1" s="1"/>
  <c r="K21" i="1"/>
  <c r="V131" i="1"/>
  <c r="U131" i="1"/>
  <c r="R142" i="1"/>
  <c r="S142" i="1" s="1"/>
  <c r="W142" i="1"/>
  <c r="Y142" i="1" s="1"/>
  <c r="T142" i="1"/>
  <c r="W164" i="1"/>
  <c r="Y164" i="1" s="1"/>
  <c r="R164" i="1"/>
  <c r="S164" i="1" s="1"/>
  <c r="T164" i="1"/>
  <c r="U136" i="1"/>
  <c r="V136" i="1"/>
  <c r="K142" i="1"/>
  <c r="T101" i="1"/>
  <c r="W101" i="1"/>
  <c r="Y101" i="1" s="1"/>
  <c r="R101" i="1"/>
  <c r="S101" i="1" s="1"/>
  <c r="L101" i="1"/>
  <c r="M101" i="1" s="1"/>
  <c r="K101" i="1"/>
  <c r="K60" i="1"/>
  <c r="V112" i="1"/>
  <c r="U112" i="1"/>
  <c r="V54" i="1"/>
  <c r="U54" i="1"/>
  <c r="W58" i="1"/>
  <c r="Y58" i="1" s="1"/>
  <c r="T58" i="1"/>
  <c r="R58" i="1"/>
  <c r="S58" i="1" s="1"/>
  <c r="L65" i="1"/>
  <c r="M65" i="1" s="1"/>
  <c r="T23" i="1"/>
  <c r="W23" i="1"/>
  <c r="Y23" i="1" s="1"/>
  <c r="R23" i="1"/>
  <c r="S23" i="1" s="1"/>
  <c r="W100" i="1"/>
  <c r="Y100" i="1" s="1"/>
  <c r="K100" i="1"/>
  <c r="R100" i="1"/>
  <c r="S100" i="1" s="1"/>
  <c r="L100" i="1"/>
  <c r="M100" i="1" s="1"/>
  <c r="T100" i="1"/>
  <c r="U89" i="1"/>
  <c r="V89" i="1"/>
  <c r="W73" i="1"/>
  <c r="Y73" i="1" s="1"/>
  <c r="R73" i="1"/>
  <c r="S73" i="1" s="1"/>
  <c r="T73" i="1"/>
  <c r="W120" i="1"/>
  <c r="Y120" i="1" s="1"/>
  <c r="T120" i="1"/>
  <c r="R120" i="1"/>
  <c r="S120" i="1" s="1"/>
  <c r="K120" i="1"/>
  <c r="T27" i="1"/>
  <c r="R27" i="1"/>
  <c r="S27" i="1" s="1"/>
  <c r="K27" i="1"/>
  <c r="W27" i="1"/>
  <c r="Y27" i="1" s="1"/>
  <c r="L121" i="1"/>
  <c r="M121" i="1" s="1"/>
  <c r="V97" i="1"/>
  <c r="U97" i="1"/>
  <c r="V15" i="1"/>
  <c r="U15" i="1"/>
  <c r="V9" i="1"/>
  <c r="U9" i="1"/>
  <c r="L51" i="1"/>
  <c r="M51" i="1" s="1"/>
  <c r="U244" i="1"/>
  <c r="V244" i="1"/>
  <c r="L242" i="1"/>
  <c r="M242" i="1" s="1"/>
  <c r="T139" i="1"/>
  <c r="W139" i="1"/>
  <c r="Y139" i="1" s="1"/>
  <c r="R139" i="1"/>
  <c r="S139" i="1" s="1"/>
  <c r="L139" i="1"/>
  <c r="M139" i="1" s="1"/>
  <c r="K139" i="1"/>
  <c r="U233" i="1"/>
  <c r="V233" i="1"/>
  <c r="W179" i="1"/>
  <c r="Y179" i="1" s="1"/>
  <c r="T179" i="1"/>
  <c r="R179" i="1"/>
  <c r="S179" i="1" s="1"/>
  <c r="V169" i="1"/>
  <c r="U169" i="1"/>
  <c r="L144" i="1"/>
  <c r="M144" i="1" s="1"/>
  <c r="U159" i="1"/>
  <c r="V159" i="1"/>
  <c r="U161" i="1"/>
  <c r="V161" i="1"/>
  <c r="K144" i="1"/>
  <c r="L60" i="1"/>
  <c r="M60" i="1" s="1"/>
  <c r="W146" i="1"/>
  <c r="Y146" i="1" s="1"/>
  <c r="R146" i="1"/>
  <c r="S146" i="1" s="1"/>
  <c r="T146" i="1"/>
  <c r="T107" i="1"/>
  <c r="W107" i="1"/>
  <c r="Y107" i="1" s="1"/>
  <c r="K107" i="1"/>
  <c r="R107" i="1"/>
  <c r="S107" i="1" s="1"/>
  <c r="V75" i="1"/>
  <c r="U75" i="1"/>
  <c r="V108" i="1"/>
  <c r="U108" i="1"/>
  <c r="V38" i="1"/>
  <c r="U38" i="1"/>
  <c r="W20" i="1"/>
  <c r="Y20" i="1" s="1"/>
  <c r="T20" i="1"/>
  <c r="R20" i="1"/>
  <c r="S20" i="1" s="1"/>
  <c r="W82" i="1"/>
  <c r="Y82" i="1" s="1"/>
  <c r="K82" i="1"/>
  <c r="T82" i="1"/>
  <c r="R82" i="1"/>
  <c r="S82" i="1" s="1"/>
  <c r="U70" i="1"/>
  <c r="V70" i="1"/>
  <c r="V16" i="1"/>
  <c r="L105" i="1"/>
  <c r="M105" i="1" s="1"/>
  <c r="L25" i="1"/>
  <c r="M25" i="1" s="1"/>
  <c r="T127" i="1"/>
  <c r="R127" i="1"/>
  <c r="S127" i="1" s="1"/>
  <c r="W127" i="1"/>
  <c r="Y127" i="1" s="1"/>
  <c r="T76" i="1"/>
  <c r="W76" i="1"/>
  <c r="Y76" i="1" s="1"/>
  <c r="R76" i="1"/>
  <c r="S76" i="1" s="1"/>
  <c r="K76" i="1"/>
  <c r="U163" i="1"/>
  <c r="V163" i="1"/>
  <c r="T81" i="1"/>
  <c r="R81" i="1"/>
  <c r="S81" i="1" s="1"/>
  <c r="W81" i="1"/>
  <c r="Y81" i="1" s="1"/>
  <c r="V50" i="1"/>
  <c r="U50" i="1"/>
  <c r="L23" i="1"/>
  <c r="M23" i="1" s="1"/>
  <c r="U7" i="1"/>
  <c r="V7" i="1"/>
  <c r="V617" i="1"/>
  <c r="U617" i="1"/>
  <c r="U602" i="1"/>
  <c r="V602" i="1"/>
  <c r="U579" i="1"/>
  <c r="V579" i="1"/>
  <c r="U530" i="1"/>
  <c r="V530" i="1"/>
  <c r="U437" i="1"/>
  <c r="V437" i="1"/>
  <c r="V377" i="1"/>
  <c r="U377" i="1"/>
  <c r="V507" i="1"/>
  <c r="U507" i="1"/>
  <c r="R455" i="1"/>
  <c r="S455" i="1" s="1"/>
  <c r="T455" i="1"/>
  <c r="W455" i="1"/>
  <c r="Y455" i="1" s="1"/>
  <c r="R428" i="1"/>
  <c r="S428" i="1" s="1"/>
  <c r="K428" i="1"/>
  <c r="W428" i="1"/>
  <c r="Y428" i="1" s="1"/>
  <c r="T428" i="1"/>
  <c r="L455" i="1"/>
  <c r="M455" i="1" s="1"/>
  <c r="T360" i="1"/>
  <c r="W360" i="1"/>
  <c r="Y360" i="1" s="1"/>
  <c r="R360" i="1"/>
  <c r="S360" i="1" s="1"/>
  <c r="W369" i="1"/>
  <c r="Y369" i="1" s="1"/>
  <c r="T369" i="1"/>
  <c r="R369" i="1"/>
  <c r="S369" i="1" s="1"/>
  <c r="R278" i="1"/>
  <c r="S278" i="1" s="1"/>
  <c r="W278" i="1"/>
  <c r="Y278" i="1" s="1"/>
  <c r="T278" i="1"/>
  <c r="K278" i="1"/>
  <c r="R284" i="1"/>
  <c r="S284" i="1" s="1"/>
  <c r="L284" i="1"/>
  <c r="M284" i="1" s="1"/>
  <c r="W284" i="1"/>
  <c r="Y284" i="1" s="1"/>
  <c r="T284" i="1"/>
  <c r="K284" i="1"/>
  <c r="W327" i="1"/>
  <c r="Y327" i="1" s="1"/>
  <c r="R327" i="1"/>
  <c r="S327" i="1" s="1"/>
  <c r="T327" i="1"/>
  <c r="K327" i="1"/>
  <c r="T296" i="1"/>
  <c r="K296" i="1"/>
  <c r="W296" i="1"/>
  <c r="Y296" i="1" s="1"/>
  <c r="R296" i="1"/>
  <c r="S296" i="1" s="1"/>
  <c r="U223" i="1"/>
  <c r="V223" i="1"/>
  <c r="U325" i="1"/>
  <c r="R265" i="1"/>
  <c r="S265" i="1" s="1"/>
  <c r="L265" i="1"/>
  <c r="M265" i="1" s="1"/>
  <c r="W265" i="1"/>
  <c r="Y265" i="1" s="1"/>
  <c r="T265" i="1"/>
  <c r="V210" i="1"/>
  <c r="U210" i="1"/>
  <c r="V601" i="1"/>
  <c r="U601" i="1"/>
  <c r="V611" i="1"/>
  <c r="U611" i="1"/>
  <c r="V587" i="1"/>
  <c r="U587" i="1"/>
  <c r="R541" i="1"/>
  <c r="S541" i="1" s="1"/>
  <c r="K541" i="1"/>
  <c r="W541" i="1"/>
  <c r="Y541" i="1" s="1"/>
  <c r="T541" i="1"/>
  <c r="L541" i="1"/>
  <c r="M541" i="1" s="1"/>
  <c r="W532" i="1"/>
  <c r="Y532" i="1" s="1"/>
  <c r="T532" i="1"/>
  <c r="R532" i="1"/>
  <c r="S532" i="1" s="1"/>
  <c r="V519" i="1"/>
  <c r="U519" i="1"/>
  <c r="W472" i="1"/>
  <c r="Y472" i="1" s="1"/>
  <c r="R472" i="1"/>
  <c r="S472" i="1" s="1"/>
  <c r="T472" i="1"/>
  <c r="K472" i="1"/>
  <c r="V403" i="1"/>
  <c r="U403" i="1"/>
  <c r="T380" i="1"/>
  <c r="W380" i="1"/>
  <c r="Y380" i="1" s="1"/>
  <c r="R380" i="1"/>
  <c r="S380" i="1" s="1"/>
  <c r="V274" i="1"/>
  <c r="U274" i="1"/>
  <c r="V258" i="1"/>
  <c r="U258" i="1"/>
  <c r="V329" i="1"/>
  <c r="R237" i="1"/>
  <c r="S237" i="1" s="1"/>
  <c r="W237" i="1"/>
  <c r="Y237" i="1" s="1"/>
  <c r="T237" i="1"/>
  <c r="W230" i="1"/>
  <c r="Y230" i="1" s="1"/>
  <c r="T230" i="1"/>
  <c r="R230" i="1"/>
  <c r="S230" i="1" s="1"/>
  <c r="K230" i="1"/>
  <c r="L230" i="1"/>
  <c r="M230" i="1" s="1"/>
  <c r="W206" i="1"/>
  <c r="Y206" i="1" s="1"/>
  <c r="T206" i="1"/>
  <c r="R206" i="1"/>
  <c r="S206" i="1" s="1"/>
  <c r="T103" i="1"/>
  <c r="W103" i="1"/>
  <c r="Y103" i="1" s="1"/>
  <c r="R103" i="1"/>
  <c r="S103" i="1" s="1"/>
  <c r="V68" i="1"/>
  <c r="U68" i="1"/>
  <c r="U114" i="1"/>
  <c r="V114" i="1"/>
  <c r="U606" i="1"/>
  <c r="V606" i="1"/>
  <c r="K539" i="1"/>
  <c r="W539" i="1"/>
  <c r="Y539" i="1" s="1"/>
  <c r="T539" i="1"/>
  <c r="R539" i="1"/>
  <c r="S539" i="1" s="1"/>
  <c r="U553" i="1"/>
  <c r="V553" i="1"/>
  <c r="U533" i="1"/>
  <c r="V533" i="1"/>
  <c r="V524" i="1"/>
  <c r="U524" i="1"/>
  <c r="K532" i="1"/>
  <c r="W435" i="1"/>
  <c r="Y435" i="1" s="1"/>
  <c r="T435" i="1"/>
  <c r="R435" i="1"/>
  <c r="S435" i="1" s="1"/>
  <c r="T446" i="1"/>
  <c r="W446" i="1"/>
  <c r="Y446" i="1" s="1"/>
  <c r="R446" i="1"/>
  <c r="S446" i="1" s="1"/>
  <c r="W416" i="1"/>
  <c r="Y416" i="1" s="1"/>
  <c r="K416" i="1"/>
  <c r="T416" i="1"/>
  <c r="R416" i="1"/>
  <c r="S416" i="1" s="1"/>
  <c r="L416" i="1"/>
  <c r="M416" i="1" s="1"/>
  <c r="R425" i="1"/>
  <c r="S425" i="1" s="1"/>
  <c r="W425" i="1"/>
  <c r="Y425" i="1" s="1"/>
  <c r="T425" i="1"/>
  <c r="T411" i="1"/>
  <c r="W411" i="1"/>
  <c r="Y411" i="1" s="1"/>
  <c r="K411" i="1"/>
  <c r="R411" i="1"/>
  <c r="S411" i="1" s="1"/>
  <c r="W422" i="1"/>
  <c r="Y422" i="1" s="1"/>
  <c r="T422" i="1"/>
  <c r="R422" i="1"/>
  <c r="S422" i="1" s="1"/>
  <c r="K422" i="1"/>
  <c r="L376" i="1"/>
  <c r="M376" i="1" s="1"/>
  <c r="L278" i="1"/>
  <c r="M278" i="1" s="1"/>
  <c r="W257" i="1"/>
  <c r="Y257" i="1" s="1"/>
  <c r="T257" i="1"/>
  <c r="R257" i="1"/>
  <c r="S257" i="1" s="1"/>
  <c r="K257" i="1"/>
  <c r="T385" i="1"/>
  <c r="R385" i="1"/>
  <c r="S385" i="1" s="1"/>
  <c r="W385" i="1"/>
  <c r="Y385" i="1" s="1"/>
  <c r="T266" i="1"/>
  <c r="K266" i="1"/>
  <c r="W266" i="1"/>
  <c r="Y266" i="1" s="1"/>
  <c r="R266" i="1"/>
  <c r="S266" i="1" s="1"/>
  <c r="W310" i="1"/>
  <c r="Y310" i="1" s="1"/>
  <c r="R310" i="1"/>
  <c r="S310" i="1" s="1"/>
  <c r="T310" i="1"/>
  <c r="R255" i="1"/>
  <c r="S255" i="1" s="1"/>
  <c r="L255" i="1"/>
  <c r="M255" i="1" s="1"/>
  <c r="W255" i="1"/>
  <c r="Y255" i="1" s="1"/>
  <c r="T255" i="1"/>
  <c r="W184" i="1"/>
  <c r="Y184" i="1" s="1"/>
  <c r="T184" i="1"/>
  <c r="R184" i="1"/>
  <c r="S184" i="1" s="1"/>
  <c r="L176" i="1"/>
  <c r="M176" i="1" s="1"/>
  <c r="W135" i="1"/>
  <c r="Y135" i="1" s="1"/>
  <c r="T135" i="1"/>
  <c r="K135" i="1"/>
  <c r="R135" i="1"/>
  <c r="S135" i="1" s="1"/>
  <c r="L135" i="1"/>
  <c r="M135" i="1" s="1"/>
  <c r="U102" i="1"/>
  <c r="V102" i="1"/>
  <c r="V113" i="1"/>
  <c r="U113" i="1"/>
  <c r="V11" i="1"/>
  <c r="U11" i="1"/>
  <c r="T33" i="1"/>
  <c r="R33" i="1"/>
  <c r="S33" i="1" s="1"/>
  <c r="W33" i="1"/>
  <c r="Y33" i="1" s="1"/>
  <c r="W622" i="1"/>
  <c r="Y622" i="1" s="1"/>
  <c r="T622" i="1"/>
  <c r="R622" i="1"/>
  <c r="S622" i="1" s="1"/>
  <c r="U604" i="1"/>
  <c r="V604" i="1"/>
  <c r="L539" i="1"/>
  <c r="M539" i="1" s="1"/>
  <c r="V514" i="1"/>
  <c r="U514" i="1"/>
  <c r="V454" i="1"/>
  <c r="U454" i="1"/>
  <c r="L638" i="1"/>
  <c r="M638" i="1" s="1"/>
  <c r="T632" i="1"/>
  <c r="W632" i="1"/>
  <c r="Y632" i="1" s="1"/>
  <c r="R632" i="1"/>
  <c r="S632" i="1" s="1"/>
  <c r="W620" i="1"/>
  <c r="Y620" i="1" s="1"/>
  <c r="T620" i="1"/>
  <c r="R620" i="1"/>
  <c r="S620" i="1" s="1"/>
  <c r="L615" i="1"/>
  <c r="M615" i="1" s="1"/>
  <c r="T623" i="1"/>
  <c r="W623" i="1"/>
  <c r="Y623" i="1" s="1"/>
  <c r="R623" i="1"/>
  <c r="S623" i="1" s="1"/>
  <c r="K623" i="1"/>
  <c r="W595" i="1"/>
  <c r="Y595" i="1" s="1"/>
  <c r="R595" i="1"/>
  <c r="S595" i="1" s="1"/>
  <c r="T595" i="1"/>
  <c r="T552" i="1"/>
  <c r="W552" i="1"/>
  <c r="Y552" i="1" s="1"/>
  <c r="R552" i="1"/>
  <c r="S552" i="1" s="1"/>
  <c r="T562" i="1"/>
  <c r="R562" i="1"/>
  <c r="S562" i="1" s="1"/>
  <c r="K562" i="1"/>
  <c r="W562" i="1"/>
  <c r="Y562" i="1" s="1"/>
  <c r="W543" i="1"/>
  <c r="Y543" i="1" s="1"/>
  <c r="T543" i="1"/>
  <c r="R543" i="1"/>
  <c r="S543" i="1" s="1"/>
  <c r="K520" i="1"/>
  <c r="U528" i="1"/>
  <c r="V528" i="1"/>
  <c r="V526" i="1"/>
  <c r="U526" i="1"/>
  <c r="W500" i="1"/>
  <c r="Y500" i="1" s="1"/>
  <c r="T500" i="1"/>
  <c r="R500" i="1"/>
  <c r="S500" i="1" s="1"/>
  <c r="W517" i="1"/>
  <c r="Y517" i="1" s="1"/>
  <c r="R517" i="1"/>
  <c r="S517" i="1" s="1"/>
  <c r="T517" i="1"/>
  <c r="K517" i="1"/>
  <c r="L472" i="1"/>
  <c r="M472" i="1" s="1"/>
  <c r="K495" i="1"/>
  <c r="L440" i="1"/>
  <c r="M440" i="1" s="1"/>
  <c r="K425" i="1"/>
  <c r="V398" i="1"/>
  <c r="U398" i="1"/>
  <c r="K438" i="1"/>
  <c r="T365" i="1"/>
  <c r="W365" i="1"/>
  <c r="Y365" i="1" s="1"/>
  <c r="R365" i="1"/>
  <c r="S365" i="1" s="1"/>
  <c r="L445" i="1"/>
  <c r="M445" i="1" s="1"/>
  <c r="U383" i="1"/>
  <c r="V383" i="1"/>
  <c r="K310" i="1"/>
  <c r="W303" i="1"/>
  <c r="Y303" i="1" s="1"/>
  <c r="R303" i="1"/>
  <c r="S303" i="1" s="1"/>
  <c r="T303" i="1"/>
  <c r="L369" i="1"/>
  <c r="M369" i="1" s="1"/>
  <c r="T375" i="1"/>
  <c r="W375" i="1"/>
  <c r="Y375" i="1" s="1"/>
  <c r="R375" i="1"/>
  <c r="S375" i="1" s="1"/>
  <c r="K323" i="1"/>
  <c r="W361" i="1"/>
  <c r="Y361" i="1" s="1"/>
  <c r="R361" i="1"/>
  <c r="S361" i="1" s="1"/>
  <c r="K361" i="1"/>
  <c r="T361" i="1"/>
  <c r="L361" i="1"/>
  <c r="M361" i="1" s="1"/>
  <c r="U220" i="1"/>
  <c r="V220" i="1"/>
  <c r="W300" i="1"/>
  <c r="Y300" i="1" s="1"/>
  <c r="T300" i="1"/>
  <c r="R300" i="1"/>
  <c r="S300" i="1" s="1"/>
  <c r="U293" i="1"/>
  <c r="V293" i="1"/>
  <c r="L249" i="1"/>
  <c r="M249" i="1" s="1"/>
  <c r="W249" i="1"/>
  <c r="Y249" i="1" s="1"/>
  <c r="K249" i="1"/>
  <c r="T249" i="1"/>
  <c r="R249" i="1"/>
  <c r="S249" i="1" s="1"/>
  <c r="L343" i="1"/>
  <c r="M343" i="1" s="1"/>
  <c r="K365" i="1"/>
  <c r="V371" i="1"/>
  <c r="U371" i="1"/>
  <c r="L266" i="1"/>
  <c r="M266" i="1" s="1"/>
  <c r="V253" i="1"/>
  <c r="U253" i="1"/>
  <c r="K196" i="1"/>
  <c r="R196" i="1"/>
  <c r="S196" i="1" s="1"/>
  <c r="W196" i="1"/>
  <c r="Y196" i="1" s="1"/>
  <c r="T196" i="1"/>
  <c r="V212" i="1"/>
  <c r="U212" i="1"/>
  <c r="V170" i="1"/>
  <c r="U170" i="1"/>
  <c r="V172" i="1"/>
  <c r="U172" i="1"/>
  <c r="K627" i="1"/>
  <c r="L620" i="1"/>
  <c r="M620" i="1" s="1"/>
  <c r="K622" i="1"/>
  <c r="K632" i="1"/>
  <c r="V621" i="1"/>
  <c r="U621" i="1"/>
  <c r="L610" i="1"/>
  <c r="M610" i="1" s="1"/>
  <c r="V566" i="1"/>
  <c r="U566" i="1"/>
  <c r="W581" i="1"/>
  <c r="Y581" i="1" s="1"/>
  <c r="R581" i="1"/>
  <c r="S581" i="1" s="1"/>
  <c r="T581" i="1"/>
  <c r="L581" i="1"/>
  <c r="M581" i="1" s="1"/>
  <c r="L588" i="1"/>
  <c r="M588" i="1" s="1"/>
  <c r="T557" i="1"/>
  <c r="W557" i="1"/>
  <c r="Y557" i="1" s="1"/>
  <c r="R557" i="1"/>
  <c r="S557" i="1" s="1"/>
  <c r="V559" i="1"/>
  <c r="U559" i="1"/>
  <c r="L520" i="1"/>
  <c r="M520" i="1" s="1"/>
  <c r="V542" i="1"/>
  <c r="U542" i="1"/>
  <c r="U525" i="1"/>
  <c r="V525" i="1"/>
  <c r="W518" i="1"/>
  <c r="Y518" i="1" s="1"/>
  <c r="R518" i="1"/>
  <c r="S518" i="1" s="1"/>
  <c r="T518" i="1"/>
  <c r="W527" i="1"/>
  <c r="Y527" i="1" s="1"/>
  <c r="T527" i="1"/>
  <c r="R527" i="1"/>
  <c r="S527" i="1" s="1"/>
  <c r="K527" i="1"/>
  <c r="L562" i="1"/>
  <c r="M562" i="1" s="1"/>
  <c r="U499" i="1"/>
  <c r="V499" i="1"/>
  <c r="V487" i="1"/>
  <c r="U487" i="1"/>
  <c r="T473" i="1"/>
  <c r="R473" i="1"/>
  <c r="S473" i="1" s="1"/>
  <c r="W473" i="1"/>
  <c r="Y473" i="1" s="1"/>
  <c r="U467" i="1"/>
  <c r="V467" i="1"/>
  <c r="W462" i="1"/>
  <c r="Y462" i="1" s="1"/>
  <c r="K462" i="1"/>
  <c r="T462" i="1"/>
  <c r="R462" i="1"/>
  <c r="S462" i="1" s="1"/>
  <c r="V452" i="1"/>
  <c r="U452" i="1"/>
  <c r="R457" i="1"/>
  <c r="S457" i="1" s="1"/>
  <c r="W457" i="1"/>
  <c r="Y457" i="1" s="1"/>
  <c r="T457" i="1"/>
  <c r="K457" i="1"/>
  <c r="T431" i="1"/>
  <c r="R431" i="1"/>
  <c r="S431" i="1" s="1"/>
  <c r="K431" i="1"/>
  <c r="W431" i="1"/>
  <c r="Y431" i="1" s="1"/>
  <c r="T390" i="1"/>
  <c r="R390" i="1"/>
  <c r="S390" i="1" s="1"/>
  <c r="W390" i="1"/>
  <c r="Y390" i="1" s="1"/>
  <c r="K390" i="1"/>
  <c r="W417" i="1"/>
  <c r="Y417" i="1" s="1"/>
  <c r="T417" i="1"/>
  <c r="R417" i="1"/>
  <c r="S417" i="1" s="1"/>
  <c r="V399" i="1"/>
  <c r="U399" i="1"/>
  <c r="W419" i="1"/>
  <c r="Y419" i="1" s="1"/>
  <c r="T419" i="1"/>
  <c r="R419" i="1"/>
  <c r="S419" i="1" s="1"/>
  <c r="L365" i="1"/>
  <c r="M365" i="1" s="1"/>
  <c r="L438" i="1"/>
  <c r="M438" i="1" s="1"/>
  <c r="K455" i="1"/>
  <c r="K417" i="1"/>
  <c r="K359" i="1"/>
  <c r="V412" i="1"/>
  <c r="U412" i="1"/>
  <c r="W384" i="1"/>
  <c r="Y384" i="1" s="1"/>
  <c r="T384" i="1"/>
  <c r="R384" i="1"/>
  <c r="S384" i="1" s="1"/>
  <c r="L384" i="1"/>
  <c r="M384" i="1" s="1"/>
  <c r="W364" i="1"/>
  <c r="Y364" i="1" s="1"/>
  <c r="T364" i="1"/>
  <c r="R364" i="1"/>
  <c r="S364" i="1" s="1"/>
  <c r="K380" i="1"/>
  <c r="L354" i="1"/>
  <c r="M354" i="1" s="1"/>
  <c r="W328" i="1"/>
  <c r="Y328" i="1" s="1"/>
  <c r="T328" i="1"/>
  <c r="R328" i="1"/>
  <c r="S328" i="1" s="1"/>
  <c r="K369" i="1"/>
  <c r="U410" i="1"/>
  <c r="V410" i="1"/>
  <c r="L379" i="1"/>
  <c r="M379" i="1" s="1"/>
  <c r="L341" i="1"/>
  <c r="M341" i="1" s="1"/>
  <c r="V251" i="1"/>
  <c r="U251" i="1"/>
  <c r="T286" i="1"/>
  <c r="R286" i="1"/>
  <c r="S286" i="1" s="1"/>
  <c r="L286" i="1"/>
  <c r="M286" i="1" s="1"/>
  <c r="K286" i="1"/>
  <c r="W286" i="1"/>
  <c r="Y286" i="1" s="1"/>
  <c r="T311" i="1"/>
  <c r="R311" i="1"/>
  <c r="S311" i="1" s="1"/>
  <c r="L311" i="1"/>
  <c r="M311" i="1" s="1"/>
  <c r="K311" i="1"/>
  <c r="W311" i="1"/>
  <c r="Y311" i="1" s="1"/>
  <c r="U290" i="1"/>
  <c r="V290" i="1"/>
  <c r="W202" i="1"/>
  <c r="Y202" i="1" s="1"/>
  <c r="T202" i="1"/>
  <c r="R202" i="1"/>
  <c r="S202" i="1" s="1"/>
  <c r="K343" i="1"/>
  <c r="W302" i="1"/>
  <c r="Y302" i="1" s="1"/>
  <c r="R302" i="1"/>
  <c r="S302" i="1" s="1"/>
  <c r="K302" i="1"/>
  <c r="T302" i="1"/>
  <c r="T239" i="1"/>
  <c r="R239" i="1"/>
  <c r="S239" i="1" s="1"/>
  <c r="W239" i="1"/>
  <c r="Y239" i="1" s="1"/>
  <c r="K239" i="1"/>
  <c r="W241" i="1"/>
  <c r="Y241" i="1" s="1"/>
  <c r="R241" i="1"/>
  <c r="S241" i="1" s="1"/>
  <c r="T241" i="1"/>
  <c r="V263" i="1"/>
  <c r="U263" i="1"/>
  <c r="K175" i="1"/>
  <c r="T637" i="1"/>
  <c r="W637" i="1"/>
  <c r="Y637" i="1" s="1"/>
  <c r="R637" i="1"/>
  <c r="S637" i="1" s="1"/>
  <c r="L637" i="1"/>
  <c r="M637" i="1" s="1"/>
  <c r="K637" i="1"/>
  <c r="W639" i="1"/>
  <c r="Y639" i="1" s="1"/>
  <c r="T639" i="1"/>
  <c r="R639" i="1"/>
  <c r="S639" i="1" s="1"/>
  <c r="K639" i="1"/>
  <c r="K638" i="1"/>
  <c r="W612" i="1"/>
  <c r="Y612" i="1" s="1"/>
  <c r="R612" i="1"/>
  <c r="S612" i="1" s="1"/>
  <c r="K612" i="1"/>
  <c r="T612" i="1"/>
  <c r="W619" i="1"/>
  <c r="Y619" i="1" s="1"/>
  <c r="R619" i="1"/>
  <c r="S619" i="1" s="1"/>
  <c r="T619" i="1"/>
  <c r="L612" i="1"/>
  <c r="M612" i="1" s="1"/>
  <c r="W582" i="1"/>
  <c r="Y582" i="1" s="1"/>
  <c r="R582" i="1"/>
  <c r="S582" i="1" s="1"/>
  <c r="T582" i="1"/>
  <c r="K582" i="1"/>
  <c r="T573" i="1"/>
  <c r="R573" i="1"/>
  <c r="S573" i="1" s="1"/>
  <c r="K573" i="1"/>
  <c r="W573" i="1"/>
  <c r="Y573" i="1" s="1"/>
  <c r="K588" i="1"/>
  <c r="L593" i="1"/>
  <c r="M593" i="1" s="1"/>
  <c r="W556" i="1"/>
  <c r="Y556" i="1" s="1"/>
  <c r="K556" i="1"/>
  <c r="T556" i="1"/>
  <c r="R556" i="1"/>
  <c r="S556" i="1" s="1"/>
  <c r="L556" i="1"/>
  <c r="M556" i="1" s="1"/>
  <c r="K543" i="1"/>
  <c r="T586" i="1"/>
  <c r="R586" i="1"/>
  <c r="S586" i="1" s="1"/>
  <c r="W586" i="1"/>
  <c r="Y586" i="1" s="1"/>
  <c r="K534" i="1"/>
  <c r="W534" i="1"/>
  <c r="Y534" i="1" s="1"/>
  <c r="T534" i="1"/>
  <c r="R534" i="1"/>
  <c r="S534" i="1" s="1"/>
  <c r="W558" i="1"/>
  <c r="Y558" i="1" s="1"/>
  <c r="R558" i="1"/>
  <c r="S558" i="1" s="1"/>
  <c r="T558" i="1"/>
  <c r="K546" i="1"/>
  <c r="T546" i="1"/>
  <c r="R546" i="1"/>
  <c r="S546" i="1" s="1"/>
  <c r="W546" i="1"/>
  <c r="Y546" i="1" s="1"/>
  <c r="K558" i="1"/>
  <c r="V529" i="1"/>
  <c r="U529" i="1"/>
  <c r="L532" i="1"/>
  <c r="M532" i="1" s="1"/>
  <c r="W513" i="1"/>
  <c r="Y513" i="1" s="1"/>
  <c r="T513" i="1"/>
  <c r="R513" i="1"/>
  <c r="S513" i="1" s="1"/>
  <c r="W508" i="1"/>
  <c r="Y508" i="1" s="1"/>
  <c r="T508" i="1"/>
  <c r="R508" i="1"/>
  <c r="S508" i="1" s="1"/>
  <c r="L508" i="1"/>
  <c r="M508" i="1" s="1"/>
  <c r="V476" i="1"/>
  <c r="U476" i="1"/>
  <c r="L443" i="1"/>
  <c r="M443" i="1" s="1"/>
  <c r="T441" i="1"/>
  <c r="R441" i="1"/>
  <c r="S441" i="1" s="1"/>
  <c r="W441" i="1"/>
  <c r="Y441" i="1" s="1"/>
  <c r="K441" i="1"/>
  <c r="L435" i="1"/>
  <c r="M435" i="1" s="1"/>
  <c r="W423" i="1"/>
  <c r="Y423" i="1" s="1"/>
  <c r="T423" i="1"/>
  <c r="R423" i="1"/>
  <c r="S423" i="1" s="1"/>
  <c r="K423" i="1"/>
  <c r="V433" i="1"/>
  <c r="U433" i="1"/>
  <c r="L390" i="1"/>
  <c r="M390" i="1" s="1"/>
  <c r="W442" i="1"/>
  <c r="Y442" i="1" s="1"/>
  <c r="R442" i="1"/>
  <c r="S442" i="1" s="1"/>
  <c r="T442" i="1"/>
  <c r="V408" i="1"/>
  <c r="U408" i="1"/>
  <c r="L380" i="1"/>
  <c r="M380" i="1" s="1"/>
  <c r="K384" i="1"/>
  <c r="W345" i="1"/>
  <c r="Y345" i="1" s="1"/>
  <c r="T345" i="1"/>
  <c r="R345" i="1"/>
  <c r="S345" i="1" s="1"/>
  <c r="V362" i="1"/>
  <c r="U362" i="1"/>
  <c r="K345" i="1"/>
  <c r="T294" i="1"/>
  <c r="R294" i="1"/>
  <c r="S294" i="1" s="1"/>
  <c r="W294" i="1"/>
  <c r="Y294" i="1" s="1"/>
  <c r="V381" i="1"/>
  <c r="U381" i="1"/>
  <c r="U424" i="1"/>
  <c r="V424" i="1"/>
  <c r="K379" i="1"/>
  <c r="W340" i="1"/>
  <c r="Y340" i="1" s="1"/>
  <c r="T340" i="1"/>
  <c r="R340" i="1"/>
  <c r="S340" i="1" s="1"/>
  <c r="U298" i="1"/>
  <c r="V298" i="1"/>
  <c r="W199" i="1"/>
  <c r="Y199" i="1" s="1"/>
  <c r="K199" i="1"/>
  <c r="T199" i="1"/>
  <c r="R199" i="1"/>
  <c r="S199" i="1" s="1"/>
  <c r="U297" i="1"/>
  <c r="V297" i="1"/>
  <c r="U279" i="1"/>
  <c r="V279" i="1"/>
  <c r="K237" i="1"/>
  <c r="T291" i="1"/>
  <c r="R291" i="1"/>
  <c r="S291" i="1" s="1"/>
  <c r="K291" i="1"/>
  <c r="W291" i="1"/>
  <c r="Y291" i="1" s="1"/>
  <c r="W267" i="1"/>
  <c r="Y267" i="1" s="1"/>
  <c r="R267" i="1"/>
  <c r="S267" i="1" s="1"/>
  <c r="K267" i="1"/>
  <c r="T267" i="1"/>
  <c r="L267" i="1"/>
  <c r="M267" i="1" s="1"/>
  <c r="V240" i="1"/>
  <c r="U240" i="1"/>
  <c r="T355" i="1"/>
  <c r="R355" i="1"/>
  <c r="S355" i="1" s="1"/>
  <c r="W355" i="1"/>
  <c r="Y355" i="1" s="1"/>
  <c r="L257" i="1"/>
  <c r="M257" i="1" s="1"/>
  <c r="L241" i="1"/>
  <c r="M241" i="1" s="1"/>
  <c r="L189" i="1"/>
  <c r="M189" i="1" s="1"/>
  <c r="L199" i="1"/>
  <c r="M199" i="1" s="1"/>
  <c r="W207" i="1"/>
  <c r="Y207" i="1" s="1"/>
  <c r="R207" i="1"/>
  <c r="S207" i="1" s="1"/>
  <c r="T207" i="1"/>
  <c r="T174" i="1"/>
  <c r="R174" i="1"/>
  <c r="S174" i="1" s="1"/>
  <c r="K174" i="1"/>
  <c r="W174" i="1"/>
  <c r="Y174" i="1" s="1"/>
  <c r="T116" i="1"/>
  <c r="W116" i="1"/>
  <c r="Y116" i="1" s="1"/>
  <c r="R116" i="1"/>
  <c r="S116" i="1" s="1"/>
  <c r="T96" i="1"/>
  <c r="W96" i="1"/>
  <c r="Y96" i="1" s="1"/>
  <c r="R96" i="1"/>
  <c r="S96" i="1" s="1"/>
  <c r="K33" i="1"/>
  <c r="W85" i="1"/>
  <c r="Y85" i="1" s="1"/>
  <c r="R85" i="1"/>
  <c r="S85" i="1" s="1"/>
  <c r="T85" i="1"/>
  <c r="W80" i="1"/>
  <c r="Y80" i="1" s="1"/>
  <c r="K80" i="1"/>
  <c r="T80" i="1"/>
  <c r="R80" i="1"/>
  <c r="S80" i="1" s="1"/>
  <c r="V57" i="1"/>
  <c r="U57" i="1"/>
  <c r="K31" i="1"/>
  <c r="W8" i="1"/>
  <c r="Y8" i="1" s="1"/>
  <c r="K8" i="1"/>
  <c r="T8" i="1"/>
  <c r="R8" i="1"/>
  <c r="S8" i="1" s="1"/>
  <c r="L73" i="1"/>
  <c r="M73" i="1" s="1"/>
  <c r="T140" i="1"/>
  <c r="R140" i="1"/>
  <c r="S140" i="1" s="1"/>
  <c r="L140" i="1"/>
  <c r="M140" i="1" s="1"/>
  <c r="K140" i="1"/>
  <c r="W140" i="1"/>
  <c r="Y140" i="1" s="1"/>
  <c r="K20" i="1"/>
  <c r="V561" i="1"/>
  <c r="U561" i="1"/>
  <c r="W323" i="1"/>
  <c r="Y323" i="1" s="1"/>
  <c r="T323" i="1"/>
  <c r="R323" i="1"/>
  <c r="S323" i="1" s="1"/>
  <c r="W209" i="1"/>
  <c r="Y209" i="1" s="1"/>
  <c r="K209" i="1"/>
  <c r="T209" i="1"/>
  <c r="R209" i="1"/>
  <c r="S209" i="1" s="1"/>
  <c r="L209" i="1"/>
  <c r="M209" i="1" s="1"/>
  <c r="W211" i="1"/>
  <c r="Y211" i="1" s="1"/>
  <c r="R211" i="1"/>
  <c r="S211" i="1" s="1"/>
  <c r="T211" i="1"/>
  <c r="W366" i="1"/>
  <c r="Y366" i="1" s="1"/>
  <c r="R366" i="1"/>
  <c r="S366" i="1" s="1"/>
  <c r="K366" i="1"/>
  <c r="T366" i="1"/>
  <c r="W322" i="1"/>
  <c r="Y322" i="1" s="1"/>
  <c r="R322" i="1"/>
  <c r="S322" i="1" s="1"/>
  <c r="T322" i="1"/>
  <c r="K322" i="1"/>
  <c r="V235" i="1"/>
  <c r="U235" i="1"/>
  <c r="V197" i="1"/>
  <c r="U197" i="1"/>
  <c r="T111" i="1"/>
  <c r="W111" i="1"/>
  <c r="Y111" i="1" s="1"/>
  <c r="R111" i="1"/>
  <c r="S111" i="1" s="1"/>
  <c r="W35" i="1"/>
  <c r="Y35" i="1" s="1"/>
  <c r="R35" i="1"/>
  <c r="S35" i="1" s="1"/>
  <c r="T35" i="1"/>
  <c r="W55" i="1"/>
  <c r="Y55" i="1" s="1"/>
  <c r="K55" i="1"/>
  <c r="T55" i="1"/>
  <c r="R55" i="1"/>
  <c r="S55" i="1" s="1"/>
  <c r="V34" i="1"/>
  <c r="U34" i="1"/>
  <c r="T132" i="1"/>
  <c r="W132" i="1"/>
  <c r="Y132" i="1" s="1"/>
  <c r="R132" i="1"/>
  <c r="S132" i="1" s="1"/>
  <c r="K87" i="1"/>
  <c r="W147" i="1"/>
  <c r="Y147" i="1" s="1"/>
  <c r="R147" i="1"/>
  <c r="S147" i="1" s="1"/>
  <c r="T147" i="1"/>
  <c r="L118" i="1"/>
  <c r="M118" i="1" s="1"/>
  <c r="K111" i="1"/>
  <c r="L20" i="1"/>
  <c r="M20" i="1" s="1"/>
  <c r="L86" i="1"/>
  <c r="M86" i="1" s="1"/>
  <c r="K116" i="1"/>
  <c r="V12" i="1"/>
  <c r="U12" i="1"/>
  <c r="L116" i="1"/>
  <c r="M116" i="1" s="1"/>
  <c r="L33" i="1"/>
  <c r="M33" i="1" s="1"/>
  <c r="L216" i="1"/>
  <c r="M216" i="1" s="1"/>
  <c r="K294" i="1"/>
  <c r="W277" i="1"/>
  <c r="Y277" i="1" s="1"/>
  <c r="R277" i="1"/>
  <c r="S277" i="1" s="1"/>
  <c r="K277" i="1"/>
  <c r="T277" i="1"/>
  <c r="T246" i="1"/>
  <c r="R246" i="1"/>
  <c r="S246" i="1" s="1"/>
  <c r="W246" i="1"/>
  <c r="Y246" i="1" s="1"/>
  <c r="K246" i="1"/>
  <c r="U280" i="1"/>
  <c r="V280" i="1"/>
  <c r="T271" i="1"/>
  <c r="W271" i="1"/>
  <c r="Y271" i="1" s="1"/>
  <c r="R271" i="1"/>
  <c r="S271" i="1" s="1"/>
  <c r="K271" i="1"/>
  <c r="L237" i="1"/>
  <c r="M237" i="1" s="1"/>
  <c r="L211" i="1"/>
  <c r="M211" i="1" s="1"/>
  <c r="K189" i="1"/>
  <c r="K242" i="1"/>
  <c r="K200" i="1"/>
  <c r="L200" i="1"/>
  <c r="M200" i="1" s="1"/>
  <c r="V227" i="1"/>
  <c r="U227" i="1"/>
  <c r="T160" i="1"/>
  <c r="R160" i="1"/>
  <c r="S160" i="1" s="1"/>
  <c r="K160" i="1"/>
  <c r="W160" i="1"/>
  <c r="Y160" i="1" s="1"/>
  <c r="K103" i="1"/>
  <c r="L145" i="1"/>
  <c r="M145" i="1" s="1"/>
  <c r="U104" i="1"/>
  <c r="V104" i="1"/>
  <c r="W65" i="1"/>
  <c r="Y65" i="1" s="1"/>
  <c r="T65" i="1"/>
  <c r="R65" i="1"/>
  <c r="S65" i="1" s="1"/>
  <c r="K65" i="1"/>
  <c r="U117" i="1"/>
  <c r="V117" i="1"/>
  <c r="T106" i="1"/>
  <c r="W106" i="1"/>
  <c r="Y106" i="1" s="1"/>
  <c r="K106" i="1"/>
  <c r="R106" i="1"/>
  <c r="S106" i="1" s="1"/>
  <c r="W130" i="1"/>
  <c r="Y130" i="1" s="1"/>
  <c r="T130" i="1"/>
  <c r="R130" i="1"/>
  <c r="S130" i="1" s="1"/>
  <c r="L87" i="1"/>
  <c r="M87" i="1" s="1"/>
  <c r="U72" i="1"/>
  <c r="V72" i="1"/>
  <c r="L47" i="1"/>
  <c r="M47" i="1" s="1"/>
  <c r="K3" i="1"/>
  <c r="K118" i="1"/>
  <c r="K86" i="1"/>
  <c r="T41" i="1"/>
  <c r="W41" i="1"/>
  <c r="Y41" i="1" s="1"/>
  <c r="R41" i="1"/>
  <c r="S41" i="1" s="1"/>
  <c r="W18" i="1"/>
  <c r="Y18" i="1" s="1"/>
  <c r="K18" i="1"/>
  <c r="T18" i="1"/>
  <c r="R18" i="1"/>
  <c r="S18" i="1" s="1"/>
  <c r="U151" i="1"/>
  <c r="V151" i="1"/>
  <c r="L111" i="1"/>
  <c r="M111" i="1" s="1"/>
  <c r="R137" i="1"/>
  <c r="S137" i="1" s="1"/>
  <c r="W137" i="1"/>
  <c r="Y137" i="1" s="1"/>
  <c r="K137" i="1"/>
  <c r="T137" i="1"/>
  <c r="V48" i="1"/>
  <c r="U48" i="1"/>
  <c r="V10" i="1"/>
  <c r="U10" i="1"/>
  <c r="L76" i="1"/>
  <c r="M76" i="1" s="1"/>
  <c r="L96" i="1"/>
  <c r="M96" i="1" s="1"/>
  <c r="W577" i="1"/>
  <c r="Y577" i="1" s="1"/>
  <c r="R577" i="1"/>
  <c r="S577" i="1" s="1"/>
  <c r="K577" i="1"/>
  <c r="T577" i="1"/>
  <c r="U596" i="1"/>
  <c r="V596" i="1"/>
  <c r="V496" i="1"/>
  <c r="U496" i="1"/>
  <c r="T401" i="1"/>
  <c r="W401" i="1"/>
  <c r="Y401" i="1" s="1"/>
  <c r="R401" i="1"/>
  <c r="S401" i="1" s="1"/>
  <c r="W351" i="1"/>
  <c r="Y351" i="1" s="1"/>
  <c r="R351" i="1"/>
  <c r="S351" i="1" s="1"/>
  <c r="K351" i="1"/>
  <c r="T351" i="1"/>
  <c r="W262" i="1"/>
  <c r="Y262" i="1" s="1"/>
  <c r="T262" i="1"/>
  <c r="R262" i="1"/>
  <c r="S262" i="1" s="1"/>
  <c r="K346" i="1"/>
  <c r="W346" i="1"/>
  <c r="Y346" i="1" s="1"/>
  <c r="T346" i="1"/>
  <c r="R346" i="1"/>
  <c r="S346" i="1" s="1"/>
  <c r="U225" i="1"/>
  <c r="V225" i="1"/>
  <c r="V186" i="1"/>
  <c r="U186" i="1"/>
  <c r="T603" i="1"/>
  <c r="W603" i="1"/>
  <c r="Y603" i="1" s="1"/>
  <c r="K603" i="1"/>
  <c r="R603" i="1"/>
  <c r="S603" i="1" s="1"/>
  <c r="U45" i="1"/>
  <c r="V45" i="1"/>
  <c r="R575" i="1"/>
  <c r="S575" i="1" s="1"/>
  <c r="K575" i="1"/>
  <c r="L575" i="1"/>
  <c r="M575" i="1" s="1"/>
  <c r="T575" i="1"/>
  <c r="W575" i="1"/>
  <c r="Y575" i="1" s="1"/>
  <c r="T56" i="1"/>
  <c r="R56" i="1"/>
  <c r="S56" i="1" s="1"/>
  <c r="L56" i="1"/>
  <c r="M56" i="1" s="1"/>
  <c r="W56" i="1"/>
  <c r="Y56" i="1" s="1"/>
  <c r="K41" i="1"/>
  <c r="K127" i="1"/>
  <c r="V4" i="1"/>
  <c r="U4" i="1"/>
  <c r="L66" i="1"/>
  <c r="M66" i="1" s="1"/>
  <c r="V565" i="1"/>
  <c r="U565" i="1"/>
  <c r="W463" i="1"/>
  <c r="Y463" i="1" s="1"/>
  <c r="T463" i="1"/>
  <c r="R463" i="1"/>
  <c r="S463" i="1" s="1"/>
  <c r="W338" i="1"/>
  <c r="Y338" i="1" s="1"/>
  <c r="T338" i="1"/>
  <c r="R338" i="1"/>
  <c r="S338" i="1" s="1"/>
  <c r="V392" i="1"/>
  <c r="U392" i="1"/>
  <c r="T615" i="1"/>
  <c r="W615" i="1"/>
  <c r="Y615" i="1" s="1"/>
  <c r="R615" i="1"/>
  <c r="S615" i="1" s="1"/>
  <c r="K615" i="1"/>
  <c r="L577" i="1"/>
  <c r="M577" i="1" s="1"/>
  <c r="K570" i="1"/>
  <c r="R570" i="1"/>
  <c r="S570" i="1" s="1"/>
  <c r="L570" i="1"/>
  <c r="M570" i="1" s="1"/>
  <c r="W570" i="1"/>
  <c r="Y570" i="1" s="1"/>
  <c r="T570" i="1"/>
  <c r="W92" i="1"/>
  <c r="Y92" i="1" s="1"/>
  <c r="T92" i="1"/>
  <c r="R92" i="1"/>
  <c r="S92" i="1" s="1"/>
  <c r="K92" i="1"/>
  <c r="V63" i="1"/>
  <c r="U63" i="1"/>
  <c r="L21" i="1"/>
  <c r="M21" i="1" s="1"/>
  <c r="V22" i="1"/>
  <c r="U22" i="1"/>
  <c r="V14" i="1"/>
  <c r="U14" i="1"/>
  <c r="L130" i="1"/>
  <c r="M130" i="1" s="1"/>
  <c r="U19" i="1" l="1"/>
  <c r="V19" i="1"/>
  <c r="U429" i="1"/>
  <c r="V574" i="1"/>
  <c r="U356" i="1"/>
  <c r="V378" i="1"/>
  <c r="U378" i="1"/>
  <c r="U544" i="1"/>
  <c r="V229" i="1"/>
  <c r="V232" i="1"/>
  <c r="V335" i="1"/>
  <c r="V447" i="1"/>
  <c r="U492" i="1"/>
  <c r="V201" i="1"/>
  <c r="V119" i="1"/>
  <c r="V358" i="1"/>
  <c r="U580" i="1"/>
  <c r="V522" i="1"/>
  <c r="V305" i="1"/>
  <c r="V349" i="1"/>
  <c r="U349" i="1"/>
  <c r="V52" i="1"/>
  <c r="U52" i="1"/>
  <c r="V149" i="1"/>
  <c r="U149" i="1"/>
  <c r="U319" i="1"/>
  <c r="V319" i="1"/>
  <c r="V491" i="1"/>
  <c r="U491" i="1"/>
  <c r="U124" i="1"/>
  <c r="V124" i="1"/>
  <c r="V83" i="1"/>
  <c r="U83" i="1"/>
  <c r="U465" i="1"/>
  <c r="U238" i="1"/>
  <c r="V238" i="1"/>
  <c r="V436" i="1"/>
  <c r="U436" i="1"/>
  <c r="U183" i="1"/>
  <c r="V183" i="1"/>
  <c r="V69" i="1"/>
  <c r="U69" i="1"/>
  <c r="U614" i="1"/>
  <c r="V614" i="1"/>
  <c r="V501" i="1"/>
  <c r="U501" i="1"/>
  <c r="V182" i="1"/>
  <c r="U182" i="1"/>
  <c r="V468" i="1"/>
  <c r="V254" i="1"/>
  <c r="U254" i="1"/>
  <c r="V252" i="1"/>
  <c r="U252" i="1"/>
  <c r="U243" i="1"/>
  <c r="V243" i="1"/>
  <c r="U459" i="1"/>
  <c r="V459" i="1"/>
  <c r="V334" i="1"/>
  <c r="U334" i="1"/>
  <c r="V153" i="1"/>
  <c r="U153" i="1"/>
  <c r="V426" i="1"/>
  <c r="U426" i="1"/>
  <c r="V156" i="1"/>
  <c r="U156" i="1"/>
  <c r="V450" i="1"/>
  <c r="U450" i="1"/>
  <c r="U481" i="1"/>
  <c r="V481" i="1"/>
  <c r="U29" i="1"/>
  <c r="V29" i="1"/>
  <c r="V44" i="1"/>
  <c r="U44" i="1"/>
  <c r="V563" i="1"/>
  <c r="U563" i="1"/>
  <c r="U138" i="1"/>
  <c r="V138" i="1"/>
  <c r="V386" i="1"/>
  <c r="U386" i="1"/>
  <c r="U569" i="1"/>
  <c r="V569" i="1"/>
  <c r="V17" i="1"/>
  <c r="U17" i="1"/>
  <c r="V605" i="1"/>
  <c r="U605" i="1"/>
  <c r="U49" i="1"/>
  <c r="V49" i="1"/>
  <c r="U304" i="1"/>
  <c r="V304" i="1"/>
  <c r="U226" i="1"/>
  <c r="V226" i="1"/>
  <c r="V30" i="1"/>
  <c r="U30" i="1"/>
  <c r="U109" i="1"/>
  <c r="V109" i="1"/>
  <c r="U74" i="1"/>
  <c r="V74" i="1"/>
  <c r="U616" i="1"/>
  <c r="V616" i="1"/>
  <c r="U494" i="1"/>
  <c r="V494" i="1"/>
  <c r="V478" i="1"/>
  <c r="U478" i="1"/>
  <c r="V516" i="1"/>
  <c r="U516" i="1"/>
  <c r="U548" i="1"/>
  <c r="V548" i="1"/>
  <c r="V418" i="1"/>
  <c r="U418" i="1"/>
  <c r="V314" i="1"/>
  <c r="U314" i="1"/>
  <c r="U181" i="1"/>
  <c r="V181" i="1"/>
  <c r="U88" i="1"/>
  <c r="V88" i="1"/>
  <c r="U456" i="1"/>
  <c r="V456" i="1"/>
  <c r="V631" i="1"/>
  <c r="U631" i="1"/>
  <c r="U434" i="1"/>
  <c r="V434" i="1"/>
  <c r="U281" i="1"/>
  <c r="V281" i="1"/>
  <c r="V511" i="1"/>
  <c r="U511" i="1"/>
  <c r="V504" i="1"/>
  <c r="U504" i="1"/>
  <c r="U259" i="1"/>
  <c r="V259" i="1"/>
  <c r="U556" i="1"/>
  <c r="V556" i="1"/>
  <c r="V582" i="1"/>
  <c r="U582" i="1"/>
  <c r="V637" i="1"/>
  <c r="U637" i="1"/>
  <c r="V239" i="1"/>
  <c r="U239" i="1"/>
  <c r="V286" i="1"/>
  <c r="U286" i="1"/>
  <c r="V462" i="1"/>
  <c r="U462" i="1"/>
  <c r="V595" i="1"/>
  <c r="U595" i="1"/>
  <c r="V411" i="1"/>
  <c r="U411" i="1"/>
  <c r="V472" i="1"/>
  <c r="U472" i="1"/>
  <c r="U455" i="1"/>
  <c r="V455" i="1"/>
  <c r="V82" i="1"/>
  <c r="U82" i="1"/>
  <c r="V66" i="1"/>
  <c r="U66" i="1"/>
  <c r="V61" i="1"/>
  <c r="U61" i="1"/>
  <c r="V337" i="1"/>
  <c r="U337" i="1"/>
  <c r="U613" i="1"/>
  <c r="V613" i="1"/>
  <c r="U295" i="1"/>
  <c r="V295" i="1"/>
  <c r="V443" i="1"/>
  <c r="U443" i="1"/>
  <c r="V87" i="1"/>
  <c r="U87" i="1"/>
  <c r="V3" i="1"/>
  <c r="U3" i="1"/>
  <c r="V438" i="1"/>
  <c r="U438" i="1"/>
  <c r="V578" i="1"/>
  <c r="U578" i="1"/>
  <c r="V341" i="1"/>
  <c r="U341" i="1"/>
  <c r="U160" i="1"/>
  <c r="V160" i="1"/>
  <c r="U132" i="1"/>
  <c r="V132" i="1"/>
  <c r="V209" i="1"/>
  <c r="U209" i="1"/>
  <c r="V207" i="1"/>
  <c r="U207" i="1"/>
  <c r="V291" i="1"/>
  <c r="U291" i="1"/>
  <c r="V534" i="1"/>
  <c r="U534" i="1"/>
  <c r="V302" i="1"/>
  <c r="U302" i="1"/>
  <c r="U500" i="1"/>
  <c r="V500" i="1"/>
  <c r="U543" i="1"/>
  <c r="V543" i="1"/>
  <c r="V184" i="1"/>
  <c r="U184" i="1"/>
  <c r="V425" i="1"/>
  <c r="U425" i="1"/>
  <c r="U446" i="1"/>
  <c r="V446" i="1"/>
  <c r="U265" i="1"/>
  <c r="V265" i="1"/>
  <c r="U360" i="1"/>
  <c r="V360" i="1"/>
  <c r="V23" i="1"/>
  <c r="U23" i="1"/>
  <c r="U370" i="1"/>
  <c r="V370" i="1"/>
  <c r="U589" i="1"/>
  <c r="V589" i="1"/>
  <c r="V288" i="1"/>
  <c r="U288" i="1"/>
  <c r="V343" i="1"/>
  <c r="U343" i="1"/>
  <c r="V571" i="1"/>
  <c r="U571" i="1"/>
  <c r="U490" i="1"/>
  <c r="V490" i="1"/>
  <c r="U354" i="1"/>
  <c r="V354" i="1"/>
  <c r="U593" i="1"/>
  <c r="V593" i="1"/>
  <c r="V627" i="1"/>
  <c r="U627" i="1"/>
  <c r="U396" i="1"/>
  <c r="V396" i="1"/>
  <c r="V189" i="1"/>
  <c r="U189" i="1"/>
  <c r="U315" i="1"/>
  <c r="V315" i="1"/>
  <c r="U520" i="1"/>
  <c r="V520" i="1"/>
  <c r="U597" i="1"/>
  <c r="V597" i="1"/>
  <c r="U638" i="1"/>
  <c r="V638" i="1"/>
  <c r="U440" i="1"/>
  <c r="V440" i="1"/>
  <c r="V577" i="1"/>
  <c r="U577" i="1"/>
  <c r="V137" i="1"/>
  <c r="U137" i="1"/>
  <c r="V27" i="1"/>
  <c r="U27" i="1"/>
  <c r="V142" i="1"/>
  <c r="U142" i="1"/>
  <c r="V122" i="1"/>
  <c r="U122" i="1"/>
  <c r="U150" i="1"/>
  <c r="V150" i="1"/>
  <c r="V615" i="1"/>
  <c r="U615" i="1"/>
  <c r="V346" i="1"/>
  <c r="U346" i="1"/>
  <c r="U41" i="1"/>
  <c r="V41" i="1"/>
  <c r="V271" i="1"/>
  <c r="U271" i="1"/>
  <c r="V111" i="1"/>
  <c r="U111" i="1"/>
  <c r="V96" i="1"/>
  <c r="U96" i="1"/>
  <c r="V294" i="1"/>
  <c r="U294" i="1"/>
  <c r="V417" i="1"/>
  <c r="U417" i="1"/>
  <c r="U300" i="1"/>
  <c r="V300" i="1"/>
  <c r="V632" i="1"/>
  <c r="U632" i="1"/>
  <c r="U622" i="1"/>
  <c r="V622" i="1"/>
  <c r="U255" i="1"/>
  <c r="V255" i="1"/>
  <c r="V266" i="1"/>
  <c r="U266" i="1"/>
  <c r="V435" i="1"/>
  <c r="U435" i="1"/>
  <c r="V539" i="1"/>
  <c r="U539" i="1"/>
  <c r="V230" i="1"/>
  <c r="U230" i="1"/>
  <c r="V278" i="1"/>
  <c r="U278" i="1"/>
  <c r="V81" i="1"/>
  <c r="U81" i="1"/>
  <c r="V301" i="1"/>
  <c r="U301" i="1"/>
  <c r="V268" i="1"/>
  <c r="U268" i="1"/>
  <c r="U350" i="1"/>
  <c r="V350" i="1"/>
  <c r="V488" i="1"/>
  <c r="U488" i="1"/>
  <c r="U588" i="1"/>
  <c r="V588" i="1"/>
  <c r="U374" i="1"/>
  <c r="V374" i="1"/>
  <c r="V289" i="1"/>
  <c r="U289" i="1"/>
  <c r="V256" i="1"/>
  <c r="U256" i="1"/>
  <c r="U431" i="1"/>
  <c r="V431" i="1"/>
  <c r="U267" i="1"/>
  <c r="V267" i="1"/>
  <c r="U340" i="1"/>
  <c r="V340" i="1"/>
  <c r="V442" i="1"/>
  <c r="U442" i="1"/>
  <c r="V639" i="1"/>
  <c r="U639" i="1"/>
  <c r="V241" i="1"/>
  <c r="U241" i="1"/>
  <c r="U364" i="1"/>
  <c r="V364" i="1"/>
  <c r="U457" i="1"/>
  <c r="V457" i="1"/>
  <c r="V103" i="1"/>
  <c r="U103" i="1"/>
  <c r="U327" i="1"/>
  <c r="V327" i="1"/>
  <c r="V20" i="1"/>
  <c r="U20" i="1"/>
  <c r="V100" i="1"/>
  <c r="U100" i="1"/>
  <c r="V58" i="1"/>
  <c r="U58" i="1"/>
  <c r="U275" i="1"/>
  <c r="V275" i="1"/>
  <c r="U537" i="1"/>
  <c r="V537" i="1"/>
  <c r="V549" i="1"/>
  <c r="U549" i="1"/>
  <c r="U391" i="1"/>
  <c r="V391" i="1"/>
  <c r="V154" i="1"/>
  <c r="U154" i="1"/>
  <c r="V216" i="1"/>
  <c r="U216" i="1"/>
  <c r="U469" i="1"/>
  <c r="V469" i="1"/>
  <c r="V554" i="1"/>
  <c r="U554" i="1"/>
  <c r="V629" i="1"/>
  <c r="U629" i="1"/>
  <c r="V445" i="1"/>
  <c r="U445" i="1"/>
  <c r="V36" i="1"/>
  <c r="U36" i="1"/>
  <c r="U359" i="1"/>
  <c r="V359" i="1"/>
  <c r="U130" i="1"/>
  <c r="V130" i="1"/>
  <c r="V423" i="1"/>
  <c r="U423" i="1"/>
  <c r="V296" i="1"/>
  <c r="U296" i="1"/>
  <c r="U127" i="1"/>
  <c r="V127" i="1"/>
  <c r="V570" i="1"/>
  <c r="U570" i="1"/>
  <c r="V56" i="1"/>
  <c r="U56" i="1"/>
  <c r="V508" i="1"/>
  <c r="U508" i="1"/>
  <c r="V401" i="1"/>
  <c r="U401" i="1"/>
  <c r="V147" i="1"/>
  <c r="U147" i="1"/>
  <c r="V55" i="1"/>
  <c r="U55" i="1"/>
  <c r="V323" i="1"/>
  <c r="U323" i="1"/>
  <c r="U546" i="1"/>
  <c r="V546" i="1"/>
  <c r="U311" i="1"/>
  <c r="V311" i="1"/>
  <c r="V527" i="1"/>
  <c r="U527" i="1"/>
  <c r="U375" i="1"/>
  <c r="V375" i="1"/>
  <c r="U422" i="1"/>
  <c r="V422" i="1"/>
  <c r="V237" i="1"/>
  <c r="U237" i="1"/>
  <c r="V428" i="1"/>
  <c r="U428" i="1"/>
  <c r="V107" i="1"/>
  <c r="U107" i="1"/>
  <c r="V120" i="1"/>
  <c r="U120" i="1"/>
  <c r="V101" i="1"/>
  <c r="U101" i="1"/>
  <c r="V71" i="1"/>
  <c r="U71" i="1"/>
  <c r="V200" i="1"/>
  <c r="U200" i="1"/>
  <c r="U292" i="1"/>
  <c r="V292" i="1"/>
  <c r="V397" i="1"/>
  <c r="U397" i="1"/>
  <c r="V583" i="1"/>
  <c r="U583" i="1"/>
  <c r="V121" i="1"/>
  <c r="U121" i="1"/>
  <c r="V406" i="1"/>
  <c r="U406" i="1"/>
  <c r="U461" i="1"/>
  <c r="V461" i="1"/>
  <c r="V86" i="1"/>
  <c r="U86" i="1"/>
  <c r="V144" i="1"/>
  <c r="U144" i="1"/>
  <c r="U420" i="1"/>
  <c r="V420" i="1"/>
  <c r="V46" i="1"/>
  <c r="U46" i="1"/>
  <c r="U176" i="1"/>
  <c r="V176" i="1"/>
  <c r="V26" i="1"/>
  <c r="U26" i="1"/>
  <c r="V13" i="1"/>
  <c r="U13" i="1"/>
  <c r="V277" i="1"/>
  <c r="U277" i="1"/>
  <c r="V174" i="1"/>
  <c r="U174" i="1"/>
  <c r="U355" i="1"/>
  <c r="V355" i="1"/>
  <c r="U92" i="1"/>
  <c r="V92" i="1"/>
  <c r="V463" i="1"/>
  <c r="U463" i="1"/>
  <c r="V65" i="1"/>
  <c r="U65" i="1"/>
  <c r="V366" i="1"/>
  <c r="U366" i="1"/>
  <c r="V581" i="1"/>
  <c r="U581" i="1"/>
  <c r="V196" i="1"/>
  <c r="U196" i="1"/>
  <c r="V140" i="1"/>
  <c r="U140" i="1"/>
  <c r="V80" i="1"/>
  <c r="U80" i="1"/>
  <c r="V619" i="1"/>
  <c r="U619" i="1"/>
  <c r="V575" i="1"/>
  <c r="U575" i="1"/>
  <c r="V211" i="1"/>
  <c r="U211" i="1"/>
  <c r="V116" i="1"/>
  <c r="U116" i="1"/>
  <c r="V586" i="1"/>
  <c r="U586" i="1"/>
  <c r="V249" i="1"/>
  <c r="U249" i="1"/>
  <c r="U365" i="1"/>
  <c r="V365" i="1"/>
  <c r="V562" i="1"/>
  <c r="U562" i="1"/>
  <c r="U623" i="1"/>
  <c r="V623" i="1"/>
  <c r="V385" i="1"/>
  <c r="U385" i="1"/>
  <c r="V416" i="1"/>
  <c r="U416" i="1"/>
  <c r="U380" i="1"/>
  <c r="V380" i="1"/>
  <c r="V532" i="1"/>
  <c r="U532" i="1"/>
  <c r="V146" i="1"/>
  <c r="U146" i="1"/>
  <c r="V25" i="1"/>
  <c r="U25" i="1"/>
  <c r="U91" i="1"/>
  <c r="V91" i="1"/>
  <c r="U285" i="1"/>
  <c r="V285" i="1"/>
  <c r="V460" i="1"/>
  <c r="U460" i="1"/>
  <c r="V547" i="1"/>
  <c r="U547" i="1"/>
  <c r="V388" i="1"/>
  <c r="U388" i="1"/>
  <c r="V564" i="1"/>
  <c r="U564" i="1"/>
  <c r="U379" i="1"/>
  <c r="V379" i="1"/>
  <c r="U551" i="1"/>
  <c r="V551" i="1"/>
  <c r="V31" i="1"/>
  <c r="U31" i="1"/>
  <c r="V427" i="1"/>
  <c r="U427" i="1"/>
  <c r="V376" i="1"/>
  <c r="U376" i="1"/>
  <c r="V430" i="1"/>
  <c r="U430" i="1"/>
  <c r="U47" i="1"/>
  <c r="V47" i="1"/>
  <c r="V338" i="1"/>
  <c r="U338" i="1"/>
  <c r="V603" i="1"/>
  <c r="U603" i="1"/>
  <c r="U262" i="1"/>
  <c r="V262" i="1"/>
  <c r="U106" i="1"/>
  <c r="V106" i="1"/>
  <c r="U8" i="1"/>
  <c r="V8" i="1"/>
  <c r="V85" i="1"/>
  <c r="U85" i="1"/>
  <c r="V513" i="1"/>
  <c r="U513" i="1"/>
  <c r="U558" i="1"/>
  <c r="V558" i="1"/>
  <c r="U612" i="1"/>
  <c r="V612" i="1"/>
  <c r="V202" i="1"/>
  <c r="U202" i="1"/>
  <c r="V473" i="1"/>
  <c r="U473" i="1"/>
  <c r="V518" i="1"/>
  <c r="U518" i="1"/>
  <c r="V303" i="1"/>
  <c r="U303" i="1"/>
  <c r="V517" i="1"/>
  <c r="U517" i="1"/>
  <c r="V33" i="1"/>
  <c r="U33" i="1"/>
  <c r="U135" i="1"/>
  <c r="V135" i="1"/>
  <c r="U310" i="1"/>
  <c r="V310" i="1"/>
  <c r="U369" i="1"/>
  <c r="V369" i="1"/>
  <c r="U139" i="1"/>
  <c r="V139" i="1"/>
  <c r="U510" i="1"/>
  <c r="V510" i="1"/>
  <c r="U270" i="1"/>
  <c r="V270" i="1"/>
  <c r="V402" i="1"/>
  <c r="U402" i="1"/>
  <c r="V503" i="1"/>
  <c r="U503" i="1"/>
  <c r="V269" i="1"/>
  <c r="U269" i="1"/>
  <c r="V610" i="1"/>
  <c r="U610" i="1"/>
  <c r="V118" i="1"/>
  <c r="U118" i="1"/>
  <c r="V192" i="1"/>
  <c r="U192" i="1"/>
  <c r="V35" i="1"/>
  <c r="U35" i="1"/>
  <c r="V199" i="1"/>
  <c r="U199" i="1"/>
  <c r="U345" i="1"/>
  <c r="V345" i="1"/>
  <c r="U441" i="1"/>
  <c r="V441" i="1"/>
  <c r="U384" i="1"/>
  <c r="V384" i="1"/>
  <c r="U419" i="1"/>
  <c r="V419" i="1"/>
  <c r="U390" i="1"/>
  <c r="V390" i="1"/>
  <c r="V361" i="1"/>
  <c r="U361" i="1"/>
  <c r="V206" i="1"/>
  <c r="U206" i="1"/>
  <c r="V284" i="1"/>
  <c r="U284" i="1"/>
  <c r="V167" i="1"/>
  <c r="U167" i="1"/>
  <c r="V393" i="1"/>
  <c r="U393" i="1"/>
  <c r="V405" i="1"/>
  <c r="U405" i="1"/>
  <c r="U21" i="1"/>
  <c r="V21" i="1"/>
  <c r="V339" i="1"/>
  <c r="U339" i="1"/>
  <c r="V126" i="1"/>
  <c r="U126" i="1"/>
  <c r="V175" i="1"/>
  <c r="U175" i="1"/>
  <c r="U18" i="1"/>
  <c r="V18" i="1"/>
  <c r="U573" i="1"/>
  <c r="V573" i="1"/>
  <c r="V351" i="1"/>
  <c r="U351" i="1"/>
  <c r="V246" i="1"/>
  <c r="U246" i="1"/>
  <c r="U322" i="1"/>
  <c r="V322" i="1"/>
  <c r="V328" i="1"/>
  <c r="U328" i="1"/>
  <c r="U557" i="1"/>
  <c r="V557" i="1"/>
  <c r="V552" i="1"/>
  <c r="U552" i="1"/>
  <c r="V620" i="1"/>
  <c r="U620" i="1"/>
  <c r="U257" i="1"/>
  <c r="V257" i="1"/>
  <c r="V541" i="1"/>
  <c r="U541" i="1"/>
  <c r="U76" i="1"/>
  <c r="V76" i="1"/>
  <c r="V179" i="1"/>
  <c r="U179" i="1"/>
  <c r="V73" i="1"/>
  <c r="U73" i="1"/>
  <c r="V164" i="1"/>
  <c r="U164" i="1"/>
  <c r="V40" i="1"/>
  <c r="U40" i="1"/>
  <c r="V204" i="1"/>
  <c r="U204" i="1"/>
  <c r="V276" i="1"/>
  <c r="U276" i="1"/>
  <c r="V242" i="1"/>
  <c r="U242" i="1"/>
  <c r="V482" i="1"/>
  <c r="U482" i="1"/>
  <c r="V536" i="1"/>
  <c r="U536" i="1"/>
  <c r="U568" i="1"/>
  <c r="V568" i="1"/>
  <c r="V234" i="1"/>
  <c r="U234" i="1"/>
  <c r="V287" i="1"/>
  <c r="U287" i="1"/>
  <c r="V105" i="1"/>
  <c r="U105" i="1"/>
  <c r="U51" i="1"/>
  <c r="V51" i="1"/>
  <c r="U145" i="1"/>
  <c r="V145" i="1"/>
  <c r="V458" i="1"/>
  <c r="U458" i="1"/>
  <c r="V236" i="1"/>
  <c r="U236" i="1"/>
  <c r="V480" i="1"/>
  <c r="U480" i="1"/>
  <c r="U60" i="1"/>
  <c r="V60" i="1"/>
  <c r="U495" i="1"/>
  <c r="V49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Falk, Henrietta (Frankfurt am Main)</author>
  </authors>
  <commentList>
    <comment ref="U2" authorId="0" shapeId="0" xr:uid="{0DFF8066-438E-5546-8A8F-63D042F81AC3}">
      <text>
        <r>
          <rPr>
            <b/>
            <sz val="9"/>
            <color indexed="81"/>
            <rFont val="Tahoma"/>
            <family val="2"/>
          </rPr>
          <t>Falk, Henrietta (Frankfurt am Main):</t>
        </r>
        <r>
          <rPr>
            <sz val="9"/>
            <color indexed="81"/>
            <rFont val="Tahoma"/>
            <family val="2"/>
          </rPr>
          <t xml:space="preserve">
As in SIG Job Architecture Generic Job Profiles are spread over e.g. two grades, this occurs in WTW Survey Methodology too and role descriptions for e.g. "M3" are the same.</t>
        </r>
      </text>
    </comment>
    <comment ref="Y2" authorId="0" shapeId="0" xr:uid="{BFB592C6-BCCC-4F4D-A755-C414FB0A4B86}">
      <text>
        <r>
          <rPr>
            <b/>
            <sz val="9"/>
            <color indexed="81"/>
            <rFont val="Tahoma"/>
            <family val="2"/>
          </rPr>
          <t>Falk, Henrietta (Frankfurt am Main):</t>
        </r>
        <r>
          <rPr>
            <sz val="9"/>
            <color indexed="81"/>
            <rFont val="Tahoma"/>
            <family val="2"/>
          </rPr>
          <t xml:space="preserve">
Referring to WTW survey methodology for some combinations of grade and WTW Career Level only one Grade Differentiator is available ("No Grade Differentiator" in this colomn). Please refer then to colomn "Role Description".</t>
        </r>
      </text>
    </comment>
  </commentList>
</comments>
</file>

<file path=xl/sharedStrings.xml><?xml version="1.0" encoding="utf-8"?>
<sst xmlns="http://schemas.openxmlformats.org/spreadsheetml/2006/main" count="1961" uniqueCount="132">
  <si>
    <t>Job Family</t>
  </si>
  <si>
    <t>Sub Job Family</t>
  </si>
  <si>
    <t>Job Profile</t>
  </si>
  <si>
    <t>Function Code</t>
  </si>
  <si>
    <t>Discipline Code</t>
  </si>
  <si>
    <t>Career Path</t>
  </si>
  <si>
    <t>Global Grade</t>
  </si>
  <si>
    <t>CP-SG</t>
  </si>
  <si>
    <t>CP-SG Compatibility at SIG</t>
  </si>
  <si>
    <t>Career Level</t>
  </si>
  <si>
    <t>Full Job Code</t>
  </si>
  <si>
    <t>Job Code short</t>
  </si>
  <si>
    <t>Job Code Compatibility</t>
  </si>
  <si>
    <t>SIG Level Title</t>
  </si>
  <si>
    <t>SIG Full Title</t>
  </si>
  <si>
    <t>Sub Job Family Description</t>
  </si>
  <si>
    <t>Discipline Code Description</t>
  </si>
  <si>
    <t>Career Band Short</t>
  </si>
  <si>
    <t>Career Band Description</t>
  </si>
  <si>
    <t>Career Level Desription</t>
  </si>
  <si>
    <t>CL-GG 
(Grade Differentiator)</t>
  </si>
  <si>
    <t>CL-SG Description</t>
  </si>
  <si>
    <t>SIG Qualifications</t>
  </si>
  <si>
    <t>SIG Career Path</t>
  </si>
  <si>
    <t>Job Profile Description</t>
  </si>
  <si>
    <t>WTW Career Level</t>
  </si>
  <si>
    <t>Role Description</t>
  </si>
  <si>
    <t>Grade Differentiator</t>
  </si>
  <si>
    <t xml:space="preserve">General Communications </t>
  </si>
  <si>
    <t>Management</t>
  </si>
  <si>
    <t>15</t>
  </si>
  <si>
    <t>14</t>
  </si>
  <si>
    <t>Professional</t>
  </si>
  <si>
    <t>13</t>
  </si>
  <si>
    <t>12</t>
  </si>
  <si>
    <t>11</t>
  </si>
  <si>
    <t>10</t>
  </si>
  <si>
    <t>09</t>
  </si>
  <si>
    <t xml:space="preserve">Corporate Development </t>
  </si>
  <si>
    <t>Investor Relations</t>
  </si>
  <si>
    <t>16</t>
  </si>
  <si>
    <t>Government Relations</t>
  </si>
  <si>
    <t>Public Relations</t>
  </si>
  <si>
    <t>08</t>
  </si>
  <si>
    <t xml:space="preserve">Sustainability/Environmental Affairs </t>
  </si>
  <si>
    <t>17</t>
  </si>
  <si>
    <t>General Engineering</t>
  </si>
  <si>
    <t>Automation</t>
  </si>
  <si>
    <t>Packaging Engineering</t>
  </si>
  <si>
    <t xml:space="preserve">Maintenance Engineering </t>
  </si>
  <si>
    <t>Operations</t>
  </si>
  <si>
    <t>Operations / Technician</t>
  </si>
  <si>
    <t>07</t>
  </si>
  <si>
    <t>06</t>
  </si>
  <si>
    <t>05</t>
  </si>
  <si>
    <t>04</t>
  </si>
  <si>
    <t>Mechanical Design Engineering</t>
  </si>
  <si>
    <t>Electrical (Equipment) Engineering</t>
  </si>
  <si>
    <t>Process Engineering</t>
  </si>
  <si>
    <t>Project Engineering</t>
  </si>
  <si>
    <t>Projects</t>
  </si>
  <si>
    <t>Real Estate &amp; Facility Management</t>
  </si>
  <si>
    <t>Administrative Services</t>
  </si>
  <si>
    <t>Real Estate Management</t>
  </si>
  <si>
    <t>Facility Management</t>
  </si>
  <si>
    <t>Transportation</t>
  </si>
  <si>
    <t>03</t>
  </si>
  <si>
    <t>02</t>
  </si>
  <si>
    <t>Cleaning (Facility)</t>
  </si>
  <si>
    <t>General Finance</t>
  </si>
  <si>
    <t>Accounting</t>
  </si>
  <si>
    <t>Controlling</t>
  </si>
  <si>
    <t>Tax</t>
  </si>
  <si>
    <t>Treasury</t>
  </si>
  <si>
    <t>Credit Management</t>
  </si>
  <si>
    <t>General IT</t>
  </si>
  <si>
    <t>Digital Transformation</t>
  </si>
  <si>
    <t>IT Security</t>
  </si>
  <si>
    <t>IT Adminstration &amp; Support</t>
  </si>
  <si>
    <t>IT Infrastructure</t>
  </si>
  <si>
    <t>Application Development</t>
  </si>
  <si>
    <t>Business Systems</t>
  </si>
  <si>
    <t>IT Architecture</t>
  </si>
  <si>
    <t>IT/ Digital Projects</t>
  </si>
  <si>
    <t>Legal Affairs</t>
  </si>
  <si>
    <t>Internal Audit</t>
  </si>
  <si>
    <t>Compliance</t>
  </si>
  <si>
    <t xml:space="preserve">Intellectual Property </t>
  </si>
  <si>
    <t>General Marketing</t>
  </si>
  <si>
    <t>Business Development</t>
  </si>
  <si>
    <t>Product &amp; Portfolio Management</t>
  </si>
  <si>
    <t>Market Research/Development</t>
  </si>
  <si>
    <t>Digital Marketing</t>
  </si>
  <si>
    <t>General Operations</t>
  </si>
  <si>
    <t>Cleaning</t>
  </si>
  <si>
    <t>Production Planning &amp; Control</t>
  </si>
  <si>
    <t>Plant/ Production Site Management</t>
  </si>
  <si>
    <t>Production Process</t>
  </si>
  <si>
    <t>Operations Projects</t>
  </si>
  <si>
    <t>HR Operations/Services</t>
  </si>
  <si>
    <t>General HR</t>
  </si>
  <si>
    <t>HR Business Partnering</t>
  </si>
  <si>
    <t>Total Rewards/ Compensation &amp; Benefits</t>
  </si>
  <si>
    <t>Talent Acquisition</t>
  </si>
  <si>
    <t>Learning &amp; Development</t>
  </si>
  <si>
    <t>Talent Management</t>
  </si>
  <si>
    <t xml:space="preserve">General Quality Management </t>
  </si>
  <si>
    <t>Quality Assurance</t>
  </si>
  <si>
    <t>Quality Control</t>
  </si>
  <si>
    <t>EHS</t>
  </si>
  <si>
    <t>General R&amp;D</t>
  </si>
  <si>
    <t>Product Development</t>
  </si>
  <si>
    <t>R&amp;D Projects</t>
  </si>
  <si>
    <t>General Sales/ Sales Management</t>
  </si>
  <si>
    <t>Account Management</t>
  </si>
  <si>
    <t>Sales</t>
  </si>
  <si>
    <t>Sales Administration &amp; Coordination</t>
  </si>
  <si>
    <t>General Supply Chain</t>
  </si>
  <si>
    <t>Demand &amp; Supply Planning</t>
  </si>
  <si>
    <t>Logistics</t>
  </si>
  <si>
    <t>Forklift Operations</t>
  </si>
  <si>
    <t xml:space="preserve">Procurement &amp; Sourcing </t>
  </si>
  <si>
    <t>Materials Planning/Management</t>
  </si>
  <si>
    <t xml:space="preserve">Warehouse/Fulfillment </t>
  </si>
  <si>
    <t xml:space="preserve">Customer Service &amp; Support </t>
  </si>
  <si>
    <t>Technical Services</t>
  </si>
  <si>
    <t>Training</t>
  </si>
  <si>
    <t>Pre-Sales Technical Support</t>
  </si>
  <si>
    <t xml:space="preserve">Top Executive/General Management </t>
  </si>
  <si>
    <t>18</t>
  </si>
  <si>
    <t>19</t>
  </si>
  <si>
    <t>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</si>
</sst>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theme="1"/>
      <name val="Arial"/>
      <family val="2"/>
    </font>
    <font>
      <sz val="10"/>
      <color theme="0"/>
      <name val="Arial"/>
      <family val="2"/>
    </font>
    <font>
      <b/>
      <sz val="10"/>
      <color theme="0"/>
      <name val="Arial"/>
      <family val="2"/>
    </font>
    <font>
      <sz val="10"/>
      <name val="Arial"/>
      <family val="2"/>
    </font>
    <font>
      <b/>
      <sz val="10"/>
      <color theme="1" tint="0.499984740745262"/>
      <name val="Arial"/>
      <family val="2"/>
    </font>
    <font>
      <i/>
      <sz val="10"/>
      <color theme="1"/>
      <name val="Arial"/>
      <family val="2"/>
    </font>
    <font>
      <b/>
      <sz val="10"/>
      <color rgb="FF0070C0"/>
      <name val="Arial"/>
      <family val="2"/>
    </font>
    <font>
      <b/>
      <sz val="9"/>
      <color indexed="81"/>
      <name val="Tahoma"/>
      <family val="2"/>
    </font>
    <font>
      <sz val="9"/>
      <color indexed="81"/>
      <name val="Tahoma"/>
      <family val="2"/>
    </font>
  </fonts>
  <fills count="5">
    <fill>
      <patternFill patternType="none"/>
    </fill>
    <fill>
      <patternFill patternType="gray125"/>
    </fill>
    <fill>
      <patternFill patternType="solid">
        <fgColor rgb="FF0070C0"/>
        <bgColor indexed="64"/>
      </patternFill>
    </fill>
    <fill>
      <patternFill patternType="solid">
        <fgColor theme="2"/>
        <bgColor indexed="64"/>
      </patternFill>
    </fill>
    <fill>
      <patternFill patternType="solid">
        <fgColor theme="0" tint="-4.9989318521683403E-2"/>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right style="thin">
        <color rgb="FF0070C0"/>
      </right>
      <top/>
      <bottom style="thin">
        <color rgb="FF0070C0"/>
      </bottom>
      <diagonal/>
    </border>
    <border>
      <left style="thin">
        <color rgb="FF0070C0"/>
      </left>
      <right/>
      <top/>
      <bottom style="thin">
        <color rgb="FF0070C0"/>
      </bottom>
      <diagonal/>
    </border>
    <border>
      <left style="thin">
        <color theme="1" tint="0.499984740745262"/>
      </left>
      <right style="medium">
        <color theme="0"/>
      </right>
      <top/>
      <bottom style="medium">
        <color theme="0"/>
      </bottom>
      <diagonal/>
    </border>
    <border>
      <left style="thin">
        <color rgb="FF0070C0"/>
      </left>
      <right style="thin">
        <color rgb="FF0070C0"/>
      </right>
      <top/>
      <bottom style="thin">
        <color rgb="FF0070C0"/>
      </bottom>
      <diagonal/>
    </border>
    <border>
      <left style="thin">
        <color rgb="FF0070C0"/>
      </left>
      <right style="thin">
        <color rgb="FF0070C0"/>
      </right>
      <top style="thin">
        <color rgb="FF0070C0"/>
      </top>
      <bottom style="thin">
        <color rgb="FF0070C0"/>
      </bottom>
      <diagonal/>
    </border>
    <border>
      <left/>
      <right style="thin">
        <color rgb="FF0070C0"/>
      </right>
      <top style="thin">
        <color rgb="FF0070C0"/>
      </top>
      <bottom style="thin">
        <color rgb="FF0070C0"/>
      </bottom>
      <diagonal/>
    </border>
    <border>
      <left style="thin">
        <color rgb="FF0070C0"/>
      </left>
      <right/>
      <top style="thin">
        <color rgb="FF0070C0"/>
      </top>
      <bottom style="thin">
        <color rgb="FF0070C0"/>
      </bottom>
      <diagonal/>
    </border>
    <border>
      <left style="thin">
        <color theme="1" tint="0.499984740745262"/>
      </left>
      <right style="medium">
        <color theme="0"/>
      </right>
      <top style="medium">
        <color theme="0"/>
      </top>
      <bottom style="medium">
        <color theme="0"/>
      </bottom>
      <diagonal/>
    </border>
  </borders>
  <cellStyleXfs count="1">
    <xf numFmtId="0" fontId="0" fillId="0" borderId="0"/>
  </cellStyleXfs>
  <cellXfs count="50">
    <xf numFmtId="0" fontId="0" fillId="0" borderId="0" xfId="0"/>
    <xf numFmtId="0" fontId="1" fillId="0" borderId="0" xfId="0" applyFont="1" applyAlignment="1">
      <alignment vertical="center"/>
    </xf>
    <xf numFmtId="0" fontId="2" fillId="2" borderId="1" xfId="0" applyFont="1" applyFill="1" applyBorder="1" applyAlignment="1" applyProtection="1">
      <alignment horizontal="center" vertical="center" wrapText="1"/>
      <protection locked="0"/>
    </xf>
    <xf numFmtId="49" fontId="2" fillId="2" borderId="1" xfId="0" applyNumberFormat="1" applyFont="1" applyFill="1" applyBorder="1" applyAlignment="1" applyProtection="1">
      <alignment horizontal="center" vertical="center" wrapText="1"/>
      <protection locked="0"/>
    </xf>
    <xf numFmtId="0" fontId="2" fillId="2" borderId="2" xfId="0" applyFont="1" applyFill="1" applyBorder="1" applyAlignment="1" applyProtection="1">
      <alignment horizontal="center" vertical="center" wrapText="1"/>
      <protection locked="0"/>
    </xf>
    <xf numFmtId="0" fontId="2" fillId="2" borderId="3" xfId="0" applyFont="1" applyFill="1" applyBorder="1" applyAlignment="1" applyProtection="1">
      <alignment horizontal="center" vertical="center" wrapText="1"/>
      <protection locked="0"/>
    </xf>
    <xf numFmtId="0" fontId="1" fillId="2" borderId="0" xfId="0" applyFont="1" applyFill="1" applyAlignment="1">
      <alignment vertical="center"/>
    </xf>
    <xf numFmtId="0" fontId="0" fillId="0" borderId="0" xfId="0" applyAlignment="1">
      <alignment vertical="top"/>
    </xf>
    <xf numFmtId="0" fontId="1" fillId="0" borderId="4" xfId="0" applyFont="1" applyBorder="1" applyAlignment="1">
      <alignment vertical="center"/>
    </xf>
    <xf numFmtId="0" fontId="2" fillId="2" borderId="4" xfId="0" applyFont="1" applyFill="1" applyBorder="1" applyAlignment="1" applyProtection="1">
      <alignment horizontal="center" vertical="center" wrapText="1"/>
      <protection locked="0"/>
    </xf>
    <xf numFmtId="49" fontId="2" fillId="2" borderId="4" xfId="0" applyNumberFormat="1" applyFont="1" applyFill="1" applyBorder="1" applyAlignment="1" applyProtection="1">
      <alignment horizontal="center" vertical="center" wrapText="1"/>
      <protection locked="0"/>
    </xf>
    <xf numFmtId="0" fontId="2" fillId="2" borderId="5" xfId="0" applyFont="1" applyFill="1" applyBorder="1" applyAlignment="1" applyProtection="1">
      <alignment horizontal="center" vertical="center" wrapText="1"/>
      <protection locked="0"/>
    </xf>
    <xf numFmtId="0" fontId="1" fillId="2" borderId="4" xfId="0" applyFont="1" applyFill="1" applyBorder="1" applyAlignment="1">
      <alignment vertical="center"/>
    </xf>
    <xf numFmtId="0" fontId="3" fillId="0" borderId="6" xfId="0" applyFont="1" applyBorder="1" applyAlignment="1" applyProtection="1">
      <alignment horizontal="left" vertical="top" wrapText="1"/>
      <protection locked="0"/>
    </xf>
    <xf numFmtId="0" fontId="0" fillId="0" borderId="7" xfId="0" applyBorder="1" applyAlignment="1" applyProtection="1">
      <alignment horizontal="left" vertical="top"/>
      <protection locked="0"/>
    </xf>
    <xf numFmtId="0" fontId="4" fillId="3" borderId="8" xfId="0" applyFont="1" applyFill="1" applyBorder="1" applyAlignment="1" applyProtection="1">
      <alignment horizontal="left" vertical="top"/>
      <protection locked="0"/>
    </xf>
    <xf numFmtId="49" fontId="3" fillId="0" borderId="6" xfId="0" applyNumberFormat="1" applyFont="1" applyBorder="1" applyAlignment="1" applyProtection="1">
      <alignment horizontal="left" vertical="top"/>
      <protection locked="0"/>
    </xf>
    <xf numFmtId="0" fontId="3" fillId="0" borderId="9" xfId="0" applyFont="1" applyBorder="1" applyAlignment="1" applyProtection="1">
      <alignment horizontal="left" vertical="top" wrapText="1"/>
      <protection locked="0"/>
    </xf>
    <xf numFmtId="2" fontId="3" fillId="0" borderId="9" xfId="0" applyNumberFormat="1" applyFont="1" applyBorder="1" applyAlignment="1" applyProtection="1">
      <alignment horizontal="left" vertical="top" wrapText="1"/>
      <protection locked="0"/>
    </xf>
    <xf numFmtId="49" fontId="3" fillId="0" borderId="9" xfId="0" applyNumberFormat="1" applyFont="1" applyBorder="1" applyAlignment="1" applyProtection="1">
      <alignment horizontal="left" vertical="top" wrapText="1"/>
      <protection locked="0"/>
    </xf>
    <xf numFmtId="0" fontId="0" fillId="0" borderId="9" xfId="0" applyBorder="1" applyAlignment="1" applyProtection="1">
      <alignment horizontal="left" vertical="top"/>
      <protection locked="0"/>
    </xf>
    <xf numFmtId="0" fontId="0" fillId="0" borderId="7" xfId="0" applyBorder="1" applyAlignment="1" applyProtection="1">
      <alignment horizontal="left" vertical="top" wrapText="1"/>
      <protection locked="0"/>
    </xf>
    <xf numFmtId="0" fontId="0" fillId="0" borderId="10" xfId="0" applyBorder="1" applyAlignment="1">
      <alignment horizontal="left" vertical="top" wrapText="1"/>
    </xf>
    <xf numFmtId="0" fontId="0" fillId="0" borderId="6" xfId="0" applyBorder="1" applyAlignment="1">
      <alignment horizontal="left" vertical="top" wrapText="1"/>
    </xf>
    <xf numFmtId="0" fontId="0" fillId="0" borderId="9" xfId="0" applyBorder="1" applyAlignment="1">
      <alignment horizontal="left" vertical="top" wrapText="1"/>
    </xf>
    <xf numFmtId="0" fontId="5" fillId="4" borderId="9" xfId="0" applyFont="1" applyFill="1" applyBorder="1" applyAlignment="1">
      <alignment horizontal="center" vertical="center" wrapText="1"/>
    </xf>
    <xf numFmtId="0" fontId="0" fillId="0" borderId="7" xfId="0" applyBorder="1" applyAlignment="1">
      <alignment horizontal="left" vertical="top"/>
    </xf>
    <xf numFmtId="49" fontId="6" fillId="4" borderId="9" xfId="0" applyNumberFormat="1" applyFont="1" applyFill="1" applyBorder="1" applyAlignment="1">
      <alignment horizontal="center" vertical="center"/>
    </xf>
    <xf numFmtId="0" fontId="0" fillId="0" borderId="9" xfId="0" applyBorder="1" applyAlignment="1">
      <alignment vertical="top"/>
    </xf>
    <xf numFmtId="0" fontId="0" fillId="0" borderId="9" xfId="0" applyBorder="1" applyAlignment="1">
      <alignment vertical="top" wrapText="1"/>
    </xf>
    <xf numFmtId="0" fontId="3" fillId="0" borderId="11" xfId="0" applyFont="1" applyBorder="1" applyAlignment="1" applyProtection="1">
      <alignment horizontal="left" vertical="top" wrapText="1"/>
      <protection locked="0"/>
    </xf>
    <xf numFmtId="0" fontId="0" fillId="0" borderId="12" xfId="0" applyBorder="1" applyAlignment="1" applyProtection="1">
      <alignment horizontal="left" vertical="top"/>
      <protection locked="0"/>
    </xf>
    <xf numFmtId="0" fontId="4" fillId="3" borderId="13" xfId="0" applyFont="1" applyFill="1" applyBorder="1" applyAlignment="1" applyProtection="1">
      <alignment horizontal="left" vertical="top"/>
      <protection locked="0"/>
    </xf>
    <xf numFmtId="49" fontId="3" fillId="0" borderId="11" xfId="0" applyNumberFormat="1" applyFont="1" applyBorder="1" applyAlignment="1" applyProtection="1">
      <alignment horizontal="left" vertical="top"/>
      <protection locked="0"/>
    </xf>
    <xf numFmtId="0" fontId="3" fillId="0" borderId="10" xfId="0" applyFont="1" applyBorder="1" applyAlignment="1" applyProtection="1">
      <alignment horizontal="left" vertical="top" wrapText="1"/>
      <protection locked="0"/>
    </xf>
    <xf numFmtId="2" fontId="3" fillId="0" borderId="10" xfId="0" applyNumberFormat="1" applyFont="1" applyBorder="1" applyAlignment="1" applyProtection="1">
      <alignment horizontal="left" vertical="top" wrapText="1"/>
      <protection locked="0"/>
    </xf>
    <xf numFmtId="49" fontId="3" fillId="0" borderId="10" xfId="0" applyNumberFormat="1" applyFont="1" applyBorder="1" applyAlignment="1" applyProtection="1">
      <alignment horizontal="left" vertical="top" wrapText="1"/>
      <protection locked="0"/>
    </xf>
    <xf numFmtId="0" fontId="0" fillId="0" borderId="10" xfId="0" applyBorder="1" applyAlignment="1" applyProtection="1">
      <alignment horizontal="left" vertical="top"/>
      <protection locked="0"/>
    </xf>
    <xf numFmtId="0" fontId="0" fillId="0" borderId="12" xfId="0" applyBorder="1" applyAlignment="1" applyProtection="1">
      <alignment horizontal="left" vertical="top" wrapText="1"/>
      <protection locked="0"/>
    </xf>
    <xf numFmtId="0" fontId="0" fillId="0" borderId="11" xfId="0" applyBorder="1" applyAlignment="1">
      <alignment horizontal="left" vertical="top" wrapText="1"/>
    </xf>
    <xf numFmtId="0" fontId="5" fillId="4" borderId="10" xfId="0" applyFont="1" applyFill="1" applyBorder="1" applyAlignment="1">
      <alignment horizontal="center" vertical="center" wrapText="1"/>
    </xf>
    <xf numFmtId="0" fontId="0" fillId="0" borderId="12" xfId="0" applyBorder="1" applyAlignment="1">
      <alignment horizontal="left" vertical="top"/>
    </xf>
    <xf numFmtId="49" fontId="6" fillId="4" borderId="10" xfId="0" applyNumberFormat="1" applyFont="1" applyFill="1" applyBorder="1" applyAlignment="1">
      <alignment horizontal="center" vertical="center"/>
    </xf>
    <xf numFmtId="0" fontId="0" fillId="0" borderId="10" xfId="0" applyBorder="1" applyAlignment="1">
      <alignment vertical="top"/>
    </xf>
    <xf numFmtId="0" fontId="0" fillId="0" borderId="10" xfId="0" applyBorder="1" applyAlignment="1">
      <alignment vertical="top" wrapText="1"/>
    </xf>
    <xf numFmtId="49" fontId="3" fillId="0" borderId="11" xfId="0" applyNumberFormat="1" applyFont="1" applyBorder="1" applyAlignment="1" applyProtection="1">
      <alignment horizontal="left" vertical="top" wrapText="1"/>
      <protection locked="0"/>
    </xf>
    <xf numFmtId="0" fontId="0" fillId="0" borderId="0" xfId="0" applyAlignment="1" applyProtection="1">
      <alignment vertical="top"/>
      <protection locked="0"/>
    </xf>
    <xf numFmtId="49" fontId="0" fillId="0" borderId="0" xfId="0" applyNumberFormat="1" applyAlignment="1" applyProtection="1">
      <alignment vertical="top"/>
      <protection locked="0"/>
    </xf>
    <xf numFmtId="0" fontId="0" fillId="0" borderId="0" xfId="0" applyAlignment="1" applyProtection="1">
      <alignment vertical="top" wrapText="1"/>
      <protection locked="0"/>
    </xf>
    <xf numFmtId="0" fontId="0" fillId="0" borderId="0" xfId="0" applyAlignment="1">
      <alignment vertical="top" wrapText="1"/>
    </xf>
  </cellXfs>
  <cellStyles count="1">
    <cellStyle name="Normal" xfId="0" builtinId="0"/>
  </cellStyles>
  <dxfs count="4">
    <dxf>
      <font>
        <color rgb="FF92D050"/>
      </font>
      <fill>
        <patternFill>
          <bgColor rgb="FF92D050"/>
        </patternFill>
      </fill>
    </dxf>
    <dxf>
      <font>
        <color rgb="FFFF0000"/>
      </font>
      <fill>
        <patternFill>
          <bgColor rgb="FFFF0000"/>
        </patternFill>
      </fill>
    </dxf>
    <dxf>
      <fill>
        <patternFill>
          <bgColor rgb="FF92D05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calcChain" Target="calcChain.xml"/><Relationship Id="rId5" Type="http://schemas.openxmlformats.org/officeDocument/2006/relationships/externalLink" Target="externalLinks/externalLink4.xml"/><Relationship Id="rId10"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lexandresavoy/Downloads/SIG_Job%20Architecture_Tool%20(1).xlsx" TargetMode="External"/><Relationship Id="rId1" Type="http://schemas.openxmlformats.org/officeDocument/2006/relationships/externalLinkPath" Target="/Users/alexandresavoy/Downloads/SIG_Job%20Architecture_Tool%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wtwonlinede.sharepoint.com/sites/hwc-sig-prj-eur/Shared%20Documents/General/Prototyp/01_Survey%20Daten/ARE_065697_SIG%20Combibloc_GI.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wtwonlinede.sharepoint.com/sites/hwc-sig-prj-eur/Shared%20Documents/General/Prototyp/01_Survey%20Daten/CHN_065697_SIG%20Combibloc_20230206_10_41_4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wtwonlinede.sharepoint.com/sites/hwc-sig-prj-eur/Shared%20Documents/General/Prototyp/01_Survey%20Daten/DEU_065697_SIG%20Combibloc_GI.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wtwonlinede.sharepoint.com/sites/hwc-sig-prj-eur/Shared%20Documents/General/Prototyp/01_Survey%20Daten/BRA_065697_SIG%20Combibloc_20230206_10_41_47.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wtwonlineap-my.sharepoint.com/nonclients/GDSPDASN/2018%20PG%20WIP/GI%20-%20General%20Industry/xls/2018%20PG%20Prototype%20-%20MOCK-UP%20for%20presentation%208.8.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Navigation Menu"/>
      <sheetName val="SIG Profile Description"/>
      <sheetName val="Overview"/>
      <sheetName val="Profile Comparison"/>
      <sheetName val="Generic Job Profile Map"/>
      <sheetName val="Job Families and Sub Families"/>
      <sheetName val="Setup"/>
      <sheetName val="SIG Level Structure"/>
      <sheetName val="SIG Job Families &amp; Descriptions"/>
      <sheetName val="SIG Position Input"/>
      <sheetName val="SIG Qualifications Input"/>
      <sheetName val="2022 GI Position Descriptions"/>
      <sheetName val="Compatible JC"/>
      <sheetName val="Career Bands &amp; Levels"/>
    </sheetNames>
    <sheetDataSet>
      <sheetData sheetId="0"/>
      <sheetData sheetId="1"/>
      <sheetData sheetId="2"/>
      <sheetData sheetId="3"/>
      <sheetData sheetId="4"/>
      <sheetData sheetId="5"/>
      <sheetData sheetId="6"/>
      <sheetData sheetId="7">
        <row r="1">
          <cell r="C1" t="str">
            <v xml:space="preserve">Level </v>
          </cell>
          <cell r="D1" t="str">
            <v>Career Path-SG</v>
          </cell>
          <cell r="F1" t="str">
            <v>Career Level</v>
          </cell>
        </row>
        <row r="2">
          <cell r="C2" t="str">
            <v>CEO</v>
          </cell>
          <cell r="D2" t="str">
            <v>Management-21</v>
          </cell>
          <cell r="F2" t="str">
            <v>EX</v>
          </cell>
        </row>
        <row r="3">
          <cell r="C3" t="str">
            <v>Executive Manager</v>
          </cell>
          <cell r="D3" t="str">
            <v>Management-20</v>
          </cell>
          <cell r="F3" t="str">
            <v>EX</v>
          </cell>
        </row>
        <row r="4">
          <cell r="C4" t="str">
            <v>Executive Manager</v>
          </cell>
          <cell r="D4" t="str">
            <v>Management-19</v>
          </cell>
          <cell r="F4" t="str">
            <v>EX</v>
          </cell>
        </row>
        <row r="5">
          <cell r="C5" t="str">
            <v>Executive Manager</v>
          </cell>
          <cell r="D5" t="str">
            <v>Management-18</v>
          </cell>
          <cell r="F5" t="str">
            <v>EX</v>
          </cell>
        </row>
        <row r="6">
          <cell r="C6" t="str">
            <v>Group Manager</v>
          </cell>
          <cell r="D6" t="str">
            <v>Management-17</v>
          </cell>
          <cell r="F6" t="str">
            <v>EX</v>
          </cell>
        </row>
        <row r="7">
          <cell r="C7" t="str">
            <v>Group Manager</v>
          </cell>
          <cell r="D7" t="str">
            <v>Management-16</v>
          </cell>
          <cell r="F7" t="str">
            <v>M4</v>
          </cell>
        </row>
        <row r="8">
          <cell r="C8" t="str">
            <v>Senior Manager</v>
          </cell>
          <cell r="D8" t="str">
            <v>Management-15</v>
          </cell>
          <cell r="F8" t="str">
            <v>M3</v>
          </cell>
        </row>
        <row r="9">
          <cell r="C9" t="str">
            <v>Senior Manager</v>
          </cell>
          <cell r="D9" t="str">
            <v>Management-14</v>
          </cell>
          <cell r="F9" t="str">
            <v>M3</v>
          </cell>
        </row>
        <row r="10">
          <cell r="C10" t="str">
            <v>Manager</v>
          </cell>
          <cell r="D10" t="str">
            <v>Management-13</v>
          </cell>
          <cell r="F10" t="str">
            <v>M2</v>
          </cell>
        </row>
        <row r="11">
          <cell r="C11" t="str">
            <v>Manager</v>
          </cell>
          <cell r="D11" t="str">
            <v>Management-12</v>
          </cell>
          <cell r="F11" t="str">
            <v>M2</v>
          </cell>
        </row>
        <row r="12">
          <cell r="C12" t="str">
            <v>Supervisor</v>
          </cell>
          <cell r="D12" t="str">
            <v>Management-11</v>
          </cell>
          <cell r="F12" t="str">
            <v>M1</v>
          </cell>
        </row>
        <row r="13">
          <cell r="C13" t="str">
            <v>Supervisor</v>
          </cell>
          <cell r="D13" t="str">
            <v>Management-10</v>
          </cell>
          <cell r="F13" t="str">
            <v>M1</v>
          </cell>
        </row>
        <row r="14">
          <cell r="C14" t="str">
            <v>Lead Expert</v>
          </cell>
          <cell r="D14" t="str">
            <v>Professional-16</v>
          </cell>
          <cell r="F14" t="str">
            <v>P6</v>
          </cell>
        </row>
        <row r="15">
          <cell r="C15" t="str">
            <v>Lead Expert</v>
          </cell>
          <cell r="D15" t="str">
            <v>Professional-15</v>
          </cell>
          <cell r="F15" t="str">
            <v>P5</v>
          </cell>
        </row>
        <row r="16">
          <cell r="C16" t="str">
            <v>Senior Expert</v>
          </cell>
          <cell r="D16" t="str">
            <v>Professional-14</v>
          </cell>
          <cell r="F16" t="str">
            <v>P4</v>
          </cell>
        </row>
        <row r="17">
          <cell r="C17" t="str">
            <v>Senior Expert</v>
          </cell>
          <cell r="D17" t="str">
            <v>Professional-13</v>
          </cell>
          <cell r="F17" t="str">
            <v>P4</v>
          </cell>
        </row>
        <row r="18">
          <cell r="C18" t="str">
            <v>Expert</v>
          </cell>
          <cell r="D18" t="str">
            <v>Professional-12</v>
          </cell>
          <cell r="F18" t="str">
            <v>P3</v>
          </cell>
        </row>
        <row r="19">
          <cell r="C19" t="str">
            <v>Expert</v>
          </cell>
          <cell r="D19" t="str">
            <v>Professional-11</v>
          </cell>
          <cell r="F19" t="str">
            <v>P3</v>
          </cell>
        </row>
        <row r="20">
          <cell r="C20" t="str">
            <v>Senior Specialist</v>
          </cell>
          <cell r="D20" t="str">
            <v>Professional-10</v>
          </cell>
          <cell r="F20" t="str">
            <v>P2</v>
          </cell>
        </row>
        <row r="21">
          <cell r="C21" t="str">
            <v>Senior Specialist</v>
          </cell>
          <cell r="D21" t="str">
            <v>Professional-09</v>
          </cell>
          <cell r="F21" t="str">
            <v>P2</v>
          </cell>
        </row>
        <row r="22">
          <cell r="C22" t="str">
            <v>Specialist</v>
          </cell>
          <cell r="D22" t="str">
            <v>Professional-08</v>
          </cell>
          <cell r="F22" t="str">
            <v>P1</v>
          </cell>
        </row>
        <row r="23">
          <cell r="C23" t="str">
            <v>Assistant / Analyst</v>
          </cell>
          <cell r="D23" t="str">
            <v>Professional-07</v>
          </cell>
          <cell r="F23" t="str">
            <v>U3</v>
          </cell>
        </row>
        <row r="24">
          <cell r="C24" t="str">
            <v>Assistant / Analyst</v>
          </cell>
          <cell r="D24" t="str">
            <v>Professional-06</v>
          </cell>
          <cell r="F24" t="str">
            <v>U2</v>
          </cell>
        </row>
        <row r="25">
          <cell r="C25" t="str">
            <v>Assistant / Analyst</v>
          </cell>
          <cell r="D25" t="str">
            <v>Professional-05</v>
          </cell>
          <cell r="F25" t="str">
            <v>U2</v>
          </cell>
        </row>
        <row r="26">
          <cell r="C26" t="str">
            <v>Program Manager</v>
          </cell>
          <cell r="D26" t="str">
            <v>Projects-16</v>
          </cell>
          <cell r="F26" t="str">
            <v>M4</v>
          </cell>
        </row>
        <row r="27">
          <cell r="C27" t="str">
            <v>Program Manager</v>
          </cell>
          <cell r="D27" t="str">
            <v>Projects-15</v>
          </cell>
          <cell r="F27" t="str">
            <v>M3</v>
          </cell>
        </row>
        <row r="28">
          <cell r="C28" t="str">
            <v>Senior Project Manager</v>
          </cell>
          <cell r="D28" t="str">
            <v>Projects-14</v>
          </cell>
          <cell r="F28" t="str">
            <v>M3</v>
          </cell>
        </row>
        <row r="29">
          <cell r="C29" t="str">
            <v>Senior Project Manager</v>
          </cell>
          <cell r="D29" t="str">
            <v>Projects-13</v>
          </cell>
          <cell r="F29" t="str">
            <v>P4</v>
          </cell>
        </row>
        <row r="30">
          <cell r="C30" t="str">
            <v>Project Manager</v>
          </cell>
          <cell r="D30" t="str">
            <v>Projects-12</v>
          </cell>
          <cell r="F30" t="str">
            <v>P3</v>
          </cell>
        </row>
        <row r="31">
          <cell r="C31" t="str">
            <v>Project Manager</v>
          </cell>
          <cell r="D31" t="str">
            <v>Projects-11</v>
          </cell>
          <cell r="F31" t="str">
            <v>P3</v>
          </cell>
        </row>
        <row r="32">
          <cell r="C32" t="str">
            <v>Senior Project Coordinator</v>
          </cell>
          <cell r="D32" t="str">
            <v>Projects-10</v>
          </cell>
          <cell r="F32" t="str">
            <v>P2</v>
          </cell>
        </row>
        <row r="33">
          <cell r="C33" t="str">
            <v>Senior Project Coordinator</v>
          </cell>
          <cell r="D33" t="str">
            <v>Projects-09</v>
          </cell>
          <cell r="F33" t="str">
            <v>P2</v>
          </cell>
        </row>
        <row r="34">
          <cell r="C34" t="str">
            <v>Project Coordinator</v>
          </cell>
          <cell r="D34" t="str">
            <v>Projects-08</v>
          </cell>
          <cell r="F34" t="str">
            <v>P1</v>
          </cell>
        </row>
        <row r="35">
          <cell r="C35" t="str">
            <v>Lead Sales Manager</v>
          </cell>
          <cell r="D35" t="str">
            <v>Sales-16</v>
          </cell>
          <cell r="F35" t="str">
            <v>S6</v>
          </cell>
        </row>
        <row r="36">
          <cell r="C36" t="str">
            <v>Lead Sales Manager</v>
          </cell>
          <cell r="D36" t="str">
            <v>Sales-15</v>
          </cell>
          <cell r="F36" t="str">
            <v>S5</v>
          </cell>
        </row>
        <row r="37">
          <cell r="C37" t="str">
            <v>Senior Sales Manager</v>
          </cell>
          <cell r="D37" t="str">
            <v>Sales-14</v>
          </cell>
          <cell r="F37" t="str">
            <v>S4</v>
          </cell>
        </row>
        <row r="38">
          <cell r="C38" t="str">
            <v>Senior Sales Manager</v>
          </cell>
          <cell r="D38" t="str">
            <v>Sales-13</v>
          </cell>
          <cell r="F38" t="str">
            <v>S4</v>
          </cell>
        </row>
        <row r="39">
          <cell r="C39" t="str">
            <v>Sales Manager</v>
          </cell>
          <cell r="D39" t="str">
            <v>Sales-12</v>
          </cell>
          <cell r="F39" t="str">
            <v>S3</v>
          </cell>
        </row>
        <row r="40">
          <cell r="C40" t="str">
            <v>Sales Manager</v>
          </cell>
          <cell r="D40" t="str">
            <v>Sales-11</v>
          </cell>
          <cell r="F40" t="str">
            <v>S3</v>
          </cell>
        </row>
        <row r="41">
          <cell r="C41" t="str">
            <v>Senior Sales Coordinator</v>
          </cell>
          <cell r="D41" t="str">
            <v>Sales-10</v>
          </cell>
          <cell r="F41" t="str">
            <v>S2</v>
          </cell>
        </row>
        <row r="42">
          <cell r="C42" t="str">
            <v>Senior Sales Coordinator</v>
          </cell>
          <cell r="D42" t="str">
            <v>Sales-09</v>
          </cell>
          <cell r="F42" t="str">
            <v>S2</v>
          </cell>
        </row>
        <row r="43">
          <cell r="C43" t="str">
            <v>Sales Coordinator</v>
          </cell>
          <cell r="D43" t="str">
            <v>Sales-08</v>
          </cell>
          <cell r="F43" t="str">
            <v>S1</v>
          </cell>
        </row>
        <row r="44">
          <cell r="C44" t="str">
            <v>Senior Technician</v>
          </cell>
          <cell r="D44" t="str">
            <v>Operations-10</v>
          </cell>
          <cell r="F44" t="str">
            <v>T4</v>
          </cell>
        </row>
        <row r="45">
          <cell r="C45" t="str">
            <v>Technician</v>
          </cell>
          <cell r="D45" t="str">
            <v>Operations-09</v>
          </cell>
          <cell r="F45" t="str">
            <v>T4</v>
          </cell>
        </row>
        <row r="46">
          <cell r="C46" t="str">
            <v>Senior Operator</v>
          </cell>
          <cell r="D46" t="str">
            <v>Operations-08</v>
          </cell>
          <cell r="F46" t="str">
            <v>W4</v>
          </cell>
        </row>
        <row r="47">
          <cell r="C47" t="str">
            <v>Technician</v>
          </cell>
          <cell r="D47" t="str">
            <v>Operations / Technician-08</v>
          </cell>
          <cell r="F47" t="str">
            <v>T3</v>
          </cell>
        </row>
        <row r="48">
          <cell r="C48" t="str">
            <v>Senior Operator</v>
          </cell>
          <cell r="D48" t="str">
            <v>Operations-07</v>
          </cell>
          <cell r="F48" t="str">
            <v>W4</v>
          </cell>
        </row>
        <row r="49">
          <cell r="C49" t="str">
            <v>Technician</v>
          </cell>
          <cell r="D49" t="str">
            <v>Operations / Technician-07</v>
          </cell>
          <cell r="F49" t="str">
            <v>T3</v>
          </cell>
        </row>
        <row r="50">
          <cell r="C50" t="str">
            <v>Operator</v>
          </cell>
          <cell r="D50" t="str">
            <v>Operations-06</v>
          </cell>
          <cell r="F50" t="str">
            <v>W3</v>
          </cell>
        </row>
        <row r="51">
          <cell r="C51" t="str">
            <v>Operator</v>
          </cell>
          <cell r="D51" t="str">
            <v>Operations-05</v>
          </cell>
          <cell r="F51" t="str">
            <v>W2</v>
          </cell>
        </row>
        <row r="52">
          <cell r="C52" t="str">
            <v>Operator</v>
          </cell>
          <cell r="D52" t="str">
            <v>Operations-04</v>
          </cell>
          <cell r="F52" t="str">
            <v>W2</v>
          </cell>
        </row>
        <row r="53">
          <cell r="C53" t="str">
            <v>Worker</v>
          </cell>
          <cell r="D53" t="str">
            <v>Operations-03</v>
          </cell>
          <cell r="F53" t="str">
            <v>W1</v>
          </cell>
        </row>
        <row r="54">
          <cell r="C54" t="str">
            <v>Worker</v>
          </cell>
          <cell r="D54" t="str">
            <v>Operations-02</v>
          </cell>
          <cell r="F54" t="str">
            <v>W1</v>
          </cell>
        </row>
      </sheetData>
      <sheetData sheetId="8">
        <row r="1">
          <cell r="A1" t="str">
            <v>Discipline</v>
          </cell>
          <cell r="B1" t="str">
            <v>Job Family</v>
          </cell>
          <cell r="D1" t="str">
            <v>Sub Job Family</v>
          </cell>
          <cell r="F1" t="str">
            <v>Profile</v>
          </cell>
          <cell r="G1" t="str">
            <v>Sub Job Family Description</v>
          </cell>
        </row>
        <row r="2">
          <cell r="A2" t="str">
            <v>ACA000</v>
          </cell>
          <cell r="B2" t="str">
            <v>Corporate Affairs/Communications</v>
          </cell>
          <cell r="D2" t="str">
            <v>General Communications</v>
          </cell>
          <cell r="F2" t="str">
            <v xml:space="preserve">General Communications </v>
          </cell>
          <cell r="G2" t="str">
            <v>Researches, develops, plans, designs, maintains and implements policies and programs that enhance the organization's relations with the community, the public, government and regulatory authorities, shareholders and employees. Responsibilities are within the Corporate Affairs/Communications function as a generalist or in a combination of disciplines.
Develops and coordinates lines of communication within the organization among employees. Implements policies and programs to increase employee awareness and knowledge of activities affecting employees.</v>
          </cell>
        </row>
        <row r="3">
          <cell r="A3" t="str">
            <v>ACA070</v>
          </cell>
          <cell r="B3" t="str">
            <v>Corporate Affairs/Communications</v>
          </cell>
          <cell r="D3" t="str">
            <v>Government Relations</v>
          </cell>
          <cell r="F3" t="str">
            <v>Government Relations</v>
          </cell>
          <cell r="G3" t="str">
            <v xml:space="preserve">Develops and maintains policies and programs to ensure organizational awareness of government legislation and/or regulatory issues that affect the organization and respond to same. Ensures that the organization's interests are represented and protected in legislative proceedings and in the development of market rules and procedures. Prepares and organizes forums and gatherings with government officials to exchange ideas and information on business activities and potential legislation that may affect the organization. Acts as a resource on regulatory matters with regard to product changes. Also positions with focus on public relations, coordinating media relations and preparing external communication, and regulatory affairs which maintain relationships with regulatory authorities and external parties, are covered here. 
</v>
          </cell>
        </row>
        <row r="4">
          <cell r="A4" t="str">
            <v>ACA090</v>
          </cell>
          <cell r="B4" t="str">
            <v>Corporate Affairs/Communications</v>
          </cell>
          <cell r="D4" t="str">
            <v>Investor Relations</v>
          </cell>
          <cell r="F4" t="str">
            <v>Investor Relations</v>
          </cell>
          <cell r="G4" t="str">
            <v xml:space="preserve">Maintains and improves relations and communications between the organization and the investing public, shareholders and financial professionals to enhance the standing of the organization's stock and debt. Develops, maintains and enhances working relationships with institutions in the financial community that hold, or may hold, the organization's stock or debt. Monitors changes and trends in investment markets and determines appropriate strategy.
</v>
          </cell>
        </row>
        <row r="5">
          <cell r="A5" t="str">
            <v>ACA060</v>
          </cell>
          <cell r="B5" t="str">
            <v>Corporate Affairs/Communications</v>
          </cell>
          <cell r="D5" t="str">
            <v xml:space="preserve">Sustainability/Environmental Affairs </v>
          </cell>
          <cell r="F5" t="str">
            <v xml:space="preserve">Sustainability/Environmental Affairs </v>
          </cell>
          <cell r="G5" t="str">
            <v>Plans, implements and maintains the organization's sustainability programs to reduce the use of nonrenewable resources and minimize the environmental impact of operations. Communicates the organization's sustainability vision and program information. Monitors and facilitates progress of sustainability programs consistent with strategies, goals, measurements and reporting standards.</v>
          </cell>
        </row>
        <row r="6">
          <cell r="A6" t="str">
            <v>ACA010</v>
          </cell>
          <cell r="B6" t="str">
            <v>Corporate Affairs/Communications</v>
          </cell>
          <cell r="D6" t="str">
            <v>Government Relations</v>
          </cell>
          <cell r="F6" t="str">
            <v>Public Relations</v>
          </cell>
          <cell r="G6" t="str">
            <v xml:space="preserve">Develops and maintains policies and programs to ensure organizational awareness of government legislation and/or regulatory issues that affect the organization and respond to same. Ensures that the organization's interests are represented and protected in legislative proceedings and in the development of market rules and procedures. Prepares and organizes forums and gatherings with government officials to exchange ideas and information on business activities and potential legislation that may affect the organization. Acts as a resource on regulatory matters with regard to product changes. Also positions with focus on public relations, coordinating media relations and preparing external communication, and regulatory affairs which maintain relationships with regulatory authorities and external parties, are covered here. </v>
          </cell>
        </row>
        <row r="7">
          <cell r="A7" t="str">
            <v>ACD030</v>
          </cell>
          <cell r="B7" t="str">
            <v>Corporate Affairs/Communications</v>
          </cell>
          <cell r="D7" t="str">
            <v>General Communications</v>
          </cell>
          <cell r="F7" t="str">
            <v xml:space="preserve">Corporate Development </v>
          </cell>
          <cell r="G7" t="str">
            <v>Researches, develops, plans, designs, maintains and implements policies and programs that enhance the organization's relations with the community, the public, government and regulatory authorities, shareholders and employees. Responsibilities are within the Corporate Affairs/Communications function as a generalist or in a combination of disciplines.
Develops and coordinates lines of communication within the organization among employees. Implements policies and programs to increase employee awareness and knowledge of activities affecting employees.</v>
          </cell>
        </row>
        <row r="8">
          <cell r="A8" t="str">
            <v>AZE130</v>
          </cell>
          <cell r="B8" t="str">
            <v>Engineering</v>
          </cell>
          <cell r="D8" t="str">
            <v>Manufacturing Engineering</v>
          </cell>
          <cell r="F8" t="str">
            <v>Automation</v>
          </cell>
          <cell r="G8" t="str">
            <v>Performs generally engineering work in operations, production, construction or maintenance environments. Responsibilities are trypically within the engineering function as a generalist or in a combination of disciplines. Includes roles that apply their skills in manufacturing environment.</v>
          </cell>
        </row>
        <row r="9">
          <cell r="A9" t="str">
            <v>AZE150</v>
          </cell>
          <cell r="B9" t="str">
            <v>Engineering</v>
          </cell>
          <cell r="D9" t="str">
            <v>Manufacturing Engineering</v>
          </cell>
          <cell r="F9" t="str">
            <v>Packaging Engineering</v>
          </cell>
          <cell r="G9" t="str">
            <v>Performs generally engineering work in operations, production, construction or maintenance environments. Responsibilities are trypically within the engineering function as a generalist or in a combination of disciplines. Includes roles that apply their skills in manufacturing environment.</v>
          </cell>
        </row>
        <row r="10">
          <cell r="A10" t="str">
            <v>AZT010</v>
          </cell>
          <cell r="B10" t="str">
            <v>Engineering</v>
          </cell>
          <cell r="D10" t="str">
            <v xml:space="preserve">Maintenance Engineering </v>
          </cell>
          <cell r="F10" t="str">
            <v xml:space="preserve">Maintenance Engineering </v>
          </cell>
          <cell r="G10" t="str">
            <v>Performs preventive maintenance and repairs on equipment and systems (e.g., mechanical, electrical). 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v>
          </cell>
        </row>
        <row r="11">
          <cell r="A11" t="str">
            <v>AZE110</v>
          </cell>
          <cell r="B11" t="str">
            <v>Engineering</v>
          </cell>
          <cell r="D11" t="str">
            <v xml:space="preserve">Maintenance Engineering </v>
          </cell>
          <cell r="F11" t="str">
            <v>Mechanical Design Engineering</v>
          </cell>
          <cell r="G11" t="str">
            <v>Performs preventive maintenance and repairs on equipment and systems (e.g., mechanical, electrical). 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v>
          </cell>
        </row>
        <row r="12">
          <cell r="A12" t="str">
            <v>AZE050</v>
          </cell>
          <cell r="B12" t="str">
            <v>Engineering</v>
          </cell>
          <cell r="D12" t="str">
            <v xml:space="preserve">Maintenance Engineering </v>
          </cell>
          <cell r="F12" t="str">
            <v>Electrical (Equipment) Engineering</v>
          </cell>
          <cell r="G12" t="str">
            <v>Performs preventive maintenance and repairs on equipment and systems (e.g., mechanical, electrical). 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v>
          </cell>
        </row>
        <row r="13">
          <cell r="A13" t="str">
            <v>AAS000</v>
          </cell>
          <cell r="B13" t="str">
            <v>Facility &amp; Administrative Services</v>
          </cell>
          <cell r="D13" t="str">
            <v>Administrative Services</v>
          </cell>
          <cell r="F13" t="str">
            <v>Administrative Services</v>
          </cell>
          <cell r="G13" t="str">
            <v>Provides administrative support to employees or groups in the organization. Uses business software applications (e.g., word processing, presentation and spreadsheet) to prepare correspondence, reports, presentations, agendas, minutes, etc.. Receives, screens and directs incoming calls, visitors, mail and email. Maintains files, records, calendars and diaries. May arrange business travel, coordinate meeting arrangements, and/or track expenses. Embraces activities in the field of secretarial and administrative support, or e.g.  reception or catering. Include roles that supports general business operations by providing various transportation and related support activities.</v>
          </cell>
        </row>
        <row r="14">
          <cell r="A14" t="str">
            <v>ARE010</v>
          </cell>
          <cell r="B14" t="str">
            <v>Facility &amp; Administrative Services</v>
          </cell>
          <cell r="D14" t="str">
            <v>Real Estate and Facility Management</v>
          </cell>
          <cell r="F14" t="str">
            <v>Real Estate Management</v>
          </cell>
          <cell r="G14" t="str">
            <v xml:space="preserve">Plans, controls and directs real estate activities; identifies, acquires or leases land and buildings for the organization's operations. May negotiate right-of-way easements. Ensures the optimal utilization of the organization's facilities. Disposes of facilities that are no longer required by the organization. </v>
          </cell>
        </row>
        <row r="15">
          <cell r="A15" t="str">
            <v>AAT020</v>
          </cell>
          <cell r="B15" t="str">
            <v>Facility &amp; Administrative Services</v>
          </cell>
          <cell r="D15" t="str">
            <v>Administrative Services</v>
          </cell>
          <cell r="F15" t="str">
            <v>Transportation</v>
          </cell>
          <cell r="G15" t="str">
            <v>Provides administrative support to employees or groups in the organization. Uses business software applications (e.g., word processing, presentation and spreadsheet) to prepare correspondence, reports, presentations, agendas, minutes, etc.. Receives, screens and directs incoming calls, visitors, mail and email. Maintains files, records, calendars and diaries. May arrange business travel, coordinate meeting arrangements, and/or track expenses. Embraces activities in the field of secretarial and administrative support, or e.g.  reception or catering. Include roles that supports general business operations by providing various transportation and related support activities.</v>
          </cell>
        </row>
        <row r="16">
          <cell r="A16" t="str">
            <v>ARE000</v>
          </cell>
          <cell r="B16" t="str">
            <v>Facility &amp; Administrative Services</v>
          </cell>
          <cell r="D16" t="str">
            <v>Real Estate and Facility Management</v>
          </cell>
          <cell r="F16" t="str">
            <v>Real Estate &amp; Facility Management</v>
          </cell>
          <cell r="G16" t="str">
            <v xml:space="preserve">Plans, controls and directs real estate activities; identifies, acquires or leases land and buildings for the organization's operations. May negotiate right-of-way easements. Ensures the optimal utilization of the organization's facilities. Disposes of facilities that are no longer required by the organization. </v>
          </cell>
        </row>
        <row r="17">
          <cell r="A17" t="str">
            <v>ARE020</v>
          </cell>
          <cell r="B17" t="str">
            <v>Facility &amp; Administrative Services</v>
          </cell>
          <cell r="D17" t="str">
            <v>Real Estate and Facility Management</v>
          </cell>
          <cell r="F17" t="str">
            <v>Facility Management</v>
          </cell>
          <cell r="G17" t="str">
            <v xml:space="preserve">Plans, controls and directs real estate activities; identifies, acquires or leases land and buildings for the organization's operations. May negotiate right-of-way easements. Ensures the optimal utilization of the organization's facilities. Disposes of facilities that are no longer required by the organization. </v>
          </cell>
        </row>
        <row r="18">
          <cell r="A18" t="str">
            <v>AZU000</v>
          </cell>
          <cell r="B18" t="str">
            <v>Facility &amp; Administrative Services</v>
          </cell>
          <cell r="D18" t="str">
            <v>Real Estate and Facility Management</v>
          </cell>
          <cell r="F18" t="str">
            <v>Cleaning (Facility)</v>
          </cell>
          <cell r="G18" t="str">
            <v xml:space="preserve">Plans, controls and directs real estate activities; identifies, acquires or leases land and buildings for the organization's operations. May negotiate right-of-way easements. Ensures the optimal utilization of the organization's facilities. Disposes of facilities that are no longer required by the organization. </v>
          </cell>
        </row>
        <row r="19">
          <cell r="A19" t="str">
            <v>AFB000</v>
          </cell>
          <cell r="B19" t="str">
            <v>Finance</v>
          </cell>
          <cell r="D19" t="str">
            <v>Accounting</v>
          </cell>
          <cell r="F19" t="str">
            <v>Accounting</v>
          </cell>
          <cell r="G19" t="str">
            <v>Performs general accounting activities, including the preparation, maintenance and reconciliation of ledger accounts and financial statements such as balance sheets, profit-and-loss statements and capital expenditure schedules. Prepares, records, analyzes and reports accounting transactions and ensures the integrity of accounting records for completeness, accuracy and compliance with accepted accounting policies and principles. Analyzes and prepares statutory accounts, financial statements and reports. Conducts or assists in the documentation of accounting projects.</v>
          </cell>
        </row>
        <row r="20">
          <cell r="A20" t="str">
            <v>AFT010</v>
          </cell>
          <cell r="B20" t="str">
            <v>Finance</v>
          </cell>
          <cell r="D20" t="str">
            <v>Controlling</v>
          </cell>
          <cell r="F20" t="str">
            <v>Controlling</v>
          </cell>
          <cell r="G20" t="str">
            <v>Responsible for preparing and monitoring the organization’s budget or for establishing and implementing budgeting systems and procedures. Assignments typically include budget planning and controlling, integrated financial planning, conducting analysis of business operations and opportunities, and preparing forecasts and management reportings. 
Performs economic research and studies of rates of return, depreciation and investments. Analyzes profit-and-loss income statements and prepares reports and recommendations to management. Generates forecasts and analyzes trends in sales, finance and other areas of business. Researches economic progressions to assist the organization's financial planning. Creates financial models of "what if" scenarios for future business planning decisions in areas such as new product development, new marketing strategies, etc.</v>
          </cell>
        </row>
        <row r="21">
          <cell r="A21" t="str">
            <v>AFC010</v>
          </cell>
          <cell r="B21" t="str">
            <v>Finance</v>
          </cell>
          <cell r="D21" t="str">
            <v>Credit Management</v>
          </cell>
          <cell r="F21" t="str">
            <v>Credit Management</v>
          </cell>
          <cell r="G21" t="str">
            <v xml:space="preserve">Minimizes financial risk to the organization by assessing and advising on creditworthiness of prospective and existing customers. Investigates credit applications and approves applications within established guidelines for organizations and individuals. Liaises with corporate customers and other departments to resolve credit problems. Collects and negotiates terms of payment on overdue accounts with corporate and individual clients. Conducts investigations and collection activities from an office or in the field.
</v>
          </cell>
        </row>
        <row r="22">
          <cell r="A22" t="str">
            <v>AFA000</v>
          </cell>
          <cell r="B22" t="str">
            <v>Finance</v>
          </cell>
          <cell r="D22" t="str">
            <v>General Finance</v>
          </cell>
          <cell r="F22" t="str">
            <v>General Finance</v>
          </cell>
          <cell r="G22" t="str">
            <v xml:space="preserve">Performs a variety of financial activities, including accounting, financial analysis, audit, tax, credit and collections. Develops and evaluates financial plans and policies. Establishes and maintains accounting, financial, and reporting policies and controls.
</v>
          </cell>
        </row>
        <row r="23">
          <cell r="A23" t="str">
            <v>AFT050</v>
          </cell>
          <cell r="B23" t="str">
            <v>Finance</v>
          </cell>
          <cell r="D23" t="str">
            <v>Tax</v>
          </cell>
          <cell r="F23" t="str">
            <v>Tax</v>
          </cell>
          <cell r="G23" t="str">
            <v xml:space="preserve">Design, develops and implements tax strategy for the organization taking into account analyses of existing and upcoming tax legislation. Prepares and maintains tex record, returns, reports and other relatied material. Devise legal means to minimize tax liability and recommends respective alternative tax treatments to alleviate or reduce tax burden. Conducts research as necessary to advise management of the tax implications resulting from projected organizational actions. May be responsible for tax accounting.
</v>
          </cell>
        </row>
        <row r="24">
          <cell r="A24" t="str">
            <v>AFT030</v>
          </cell>
          <cell r="B24" t="str">
            <v>Finance</v>
          </cell>
          <cell r="D24" t="str">
            <v>Treasury</v>
          </cell>
          <cell r="F24" t="str">
            <v>Treasury</v>
          </cell>
          <cell r="G24" t="str">
            <v>Performs treasury operations involving cash funds, foreign exchange, debt and capital management. Provides analytical and technical support to treasury-related activities.</v>
          </cell>
        </row>
        <row r="25">
          <cell r="A25" t="str">
            <v>AHR000</v>
          </cell>
          <cell r="B25" t="str">
            <v>People &amp; Culture</v>
          </cell>
          <cell r="D25" t="str">
            <v>General HR</v>
          </cell>
          <cell r="F25" t="str">
            <v>General HR</v>
          </cell>
          <cell r="G25" t="str">
            <v xml:space="preserve">Designs, implements and monitors a variety of human resource programs. Anticipates and plans for long-term human resource needs and trends in partnership with business management. HR generalists are responsible for the deployment of all HR strategy processes and act as a business partner to operational staff.  Their role covers all or a large part of HR activities. Also HR Business Partnering positions and positions with regards to Labor Relations are covered here. </v>
          </cell>
        </row>
        <row r="26">
          <cell r="A26" t="str">
            <v>AHR160</v>
          </cell>
          <cell r="B26" t="str">
            <v>People &amp; Culture</v>
          </cell>
          <cell r="D26" t="str">
            <v>HR Operations/Services</v>
          </cell>
          <cell r="F26" t="str">
            <v>HR Operations/Services</v>
          </cell>
          <cell r="G26" t="str">
            <v xml:space="preserve">Provides centralized human resource services focused on employment relationship, benefits and other transactions. Establishes standards and procedures for handling employee questions, transactions and administration of human resource programs. Ensures efficiency of service center operations, technology and transaction processes.
</v>
          </cell>
        </row>
        <row r="27">
          <cell r="A27" t="str">
            <v>AHR130</v>
          </cell>
          <cell r="B27" t="str">
            <v>People &amp; Culture</v>
          </cell>
          <cell r="D27" t="str">
            <v>Learning &amp; Development</v>
          </cell>
          <cell r="F27" t="str">
            <v>Learning &amp; Development</v>
          </cell>
          <cell r="G27" t="str">
            <v>Develops, implements and evaluates employee development programs to support organizational needs through technical or nontechnical training or e-learning. Monitors employee development and training programs, assesses needs and results, develops new programs and modifies existing programs. Develops and implements training activities directed at developing employees in competencies such as teamwork, management skills and problem solving. Also positions with focus on identifying, managing and developing talents are covered here.</v>
          </cell>
        </row>
        <row r="28">
          <cell r="A28" t="str">
            <v>AHR140</v>
          </cell>
          <cell r="B28" t="str">
            <v>People &amp; Culture</v>
          </cell>
          <cell r="D28" t="str">
            <v>Talent Acquisition</v>
          </cell>
          <cell r="F28" t="str">
            <v>Talent Acquisition</v>
          </cell>
          <cell r="G28" t="str">
            <v>Sources, recruits, screens, interviews and recommends external and/or internal candidates for all level jobs, including entry level, experienced professional/technical, IT, support staff and hourly, and possibly management. May utilize the services of employment agencies. Places employment ads in appropriate sources, including the Internet and print media. Ensures the maintenance of accurate and concise records and reports concerning all phases of the recruitment process.</v>
          </cell>
        </row>
        <row r="29">
          <cell r="A29" t="str">
            <v>AHR125</v>
          </cell>
          <cell r="B29" t="str">
            <v>People &amp; Culture</v>
          </cell>
          <cell r="D29" t="str">
            <v>Learning &amp; Development</v>
          </cell>
          <cell r="F29" t="str">
            <v>Talent Management</v>
          </cell>
          <cell r="G29" t="str">
            <v>Develops, implements and evaluates employee development programs to support organizational needs through technical or nontechnical training or e-learning. Monitors employee development and training programs, assesses needs and results, develops new programs and modifies existing programs. Develops and implements training activities directed at developing employees in competencies such as teamwork, management skills and problem solving. Also positions with focus on identifying, managing and developing talents are covered here.</v>
          </cell>
        </row>
        <row r="30">
          <cell r="A30" t="str">
            <v>AHR010</v>
          </cell>
          <cell r="B30" t="str">
            <v>People &amp; Culture</v>
          </cell>
          <cell r="D30" t="str">
            <v>Total Rewards/ Compensation &amp; Benefits</v>
          </cell>
          <cell r="F30" t="str">
            <v>Total Rewards/ Compensation &amp; Benefits</v>
          </cell>
          <cell r="G30" t="str">
            <v>Plans, designs, evaluates, administers and implement employee compensation and benefit programs such as salaries, short- and long-term incentives, job evaluations, performance appraisals, salary increases and salary surveys, retirement plans, and life, health and disability insurance. May identify and incorporate environmental, social and governance (ESG) and diversity, equity and inclusion (DEI) considerations into compensation and benefit programs. Develops and evaluates wellness programs to support employees’ physical, emotional, social and/or financial wellbeing.</v>
          </cell>
        </row>
        <row r="31">
          <cell r="A31" t="str">
            <v>AHR005</v>
          </cell>
          <cell r="B31" t="str">
            <v>People &amp; Culture</v>
          </cell>
          <cell r="D31" t="str">
            <v>General HR</v>
          </cell>
          <cell r="F31" t="str">
            <v>HR Business Partnering</v>
          </cell>
          <cell r="G31" t="str">
            <v xml:space="preserve">Designs, implements and monitors a variety of human resource programs. Anticipates and plans for long-term human resource needs and trends in partnership with business management. HR generalists are responsible for the deployment of all HR strategy processes and act as a business partner to operational staff.  Their role covers all or a large part of HR activities. Also HR Business Partnering positions and positions with regards to Labor Relations are covered here. </v>
          </cell>
        </row>
        <row r="32">
          <cell r="A32" t="str">
            <v>AIC000</v>
          </cell>
          <cell r="B32" t="str">
            <v>IT</v>
          </cell>
          <cell r="D32" t="str">
            <v>General IT</v>
          </cell>
          <cell r="F32" t="str">
            <v>General IT</v>
          </cell>
          <cell r="G32" t="str">
            <v>Responsible for both the design, development and implementation of short- and long-term solutions to information technology (IT) and digital needs through new and existing applications, systems architecture, network systems and applications infrastructure and the management of the IT infrastructure within an organization.</v>
          </cell>
        </row>
        <row r="33">
          <cell r="A33" t="str">
            <v>AIT000</v>
          </cell>
          <cell r="B33" t="str">
            <v>IT</v>
          </cell>
          <cell r="D33" t="str">
            <v xml:space="preserve">IT Adminstration &amp; Support  </v>
          </cell>
          <cell r="F33" t="str">
            <v>IT Adminstration &amp; Support</v>
          </cell>
          <cell r="G33" t="str">
            <v xml:space="preserve">Manages the Information Technology (IT) infrastructure within an organization, including the physical network (e.g., LANs/WANs, servers, terminals) as well as server applications and software (e.g., PeopleSoft, Oracle). Configures, installs, maintains and upgrades server applications and hardware.
Provides (on-site) technical support to the organization's internal users of computer applications and hardware (e.g., PCs, servers, mainframes). Answers questions regarding system procedures, online transactions, systems status and downtime procedures and is typically located within a call center. Collaborates with network services, software systems engineering and/or application development in order to restore service and/or identify problems. Maintains a troubleshooting tracking log ensuring timely resolution of problems.
</v>
          </cell>
        </row>
        <row r="34">
          <cell r="A34" t="str">
            <v>AID010</v>
          </cell>
          <cell r="B34" t="str">
            <v>IT</v>
          </cell>
          <cell r="D34" t="str">
            <v>IT Development/IT &amp; Digital Transformation</v>
          </cell>
          <cell r="F34" t="str">
            <v>Application Development</v>
          </cell>
          <cell r="G34" t="str">
            <v xml:space="preserve">Designs, develops, codes, tests, debugs and/or customizes information technology (IT) solutions for own business or external clients | Applies best practices and advanced methodologies, including Scrum techniques, to address and review system requirements, business processes, changing development and technology environments .
</v>
          </cell>
        </row>
        <row r="35">
          <cell r="A35" t="str">
            <v>AIT070</v>
          </cell>
          <cell r="B35" t="str">
            <v>IT</v>
          </cell>
          <cell r="D35" t="str">
            <v>IT Security</v>
          </cell>
          <cell r="F35" t="str">
            <v>IT Security</v>
          </cell>
          <cell r="G35" t="str">
            <v>Ensures protection of information and IT infrastructure by designing and implementing an information security landscape, promoting cyber security and adequate human behavior, conducting security assessments and resolving security incidents as well as recommending enhancements to improve security. Develops and enforces general technical, procedural and operational IT guidelines.</v>
          </cell>
        </row>
        <row r="36">
          <cell r="A36" t="str">
            <v>APM010</v>
          </cell>
          <cell r="B36" t="str">
            <v>IT</v>
          </cell>
          <cell r="D36" t="str">
            <v>IT/ Digital Projects</v>
          </cell>
          <cell r="F36" t="str">
            <v>IT/ Digital Projects</v>
          </cell>
          <cell r="G36" t="str">
            <v>Manages all aspects of a diverse IT project or multiple IT projects, typically involving multiple Disciplines in the IT Function. Utilizes expertise and leadership skills to direct staff and to resolve issues to ensure project goals and requirements are met. Typically uses Scrum/Agile development techniques and tools for team collaboration, issue tracking and backlog management</v>
          </cell>
        </row>
        <row r="37">
          <cell r="A37" t="str">
            <v>ACD016</v>
          </cell>
          <cell r="B37" t="str">
            <v>IT</v>
          </cell>
          <cell r="D37" t="str">
            <v>IT Development/IT &amp; Digital Transformation</v>
          </cell>
          <cell r="F37" t="str">
            <v>Digital Transformation</v>
          </cell>
          <cell r="G37" t="str">
            <v>Responsible for both the design, development and implementation of short- and long-term solutions to information technology (IT) and digital needs through new and existing applications, systems architecture, network systems and applications infrastructure and the management of the IT infrastructure within an organization.</v>
          </cell>
        </row>
        <row r="38">
          <cell r="A38" t="str">
            <v>AIT010</v>
          </cell>
          <cell r="B38" t="str">
            <v>IT</v>
          </cell>
          <cell r="D38" t="str">
            <v xml:space="preserve">IT Adminstration &amp; Support  </v>
          </cell>
          <cell r="F38" t="str">
            <v>IT Infrastructure</v>
          </cell>
          <cell r="G38" t="str">
            <v xml:space="preserve">Manages the Information Technology (IT) infrastructure within an organization, including the physical network (e.g., LANs/WANs, servers, terminals) as well as server applications and software (e.g., PeopleSoft, Oracle). Configures, installs, maintains and upgrades server applications and hardware.
Provides (on-site) technical support to the organization's internal users of computer applications and hardware (e.g., PCs, servers, mainframes). Answers questions regarding system procedures, online transactions, systems status and downtime procedures and is typically located within a call center. Collaborates with network services, software systems engineering and/or application development in order to restore service and/or identify problems. Maintains a troubleshooting tracking log ensuring timely resolution of problems.
</v>
          </cell>
        </row>
        <row r="39">
          <cell r="A39" t="str">
            <v>AID020</v>
          </cell>
          <cell r="B39" t="str">
            <v>IT</v>
          </cell>
          <cell r="D39" t="str">
            <v>IT Development/IT &amp; Digital Transformation</v>
          </cell>
          <cell r="F39" t="str">
            <v>Business Systems</v>
          </cell>
          <cell r="G39" t="str">
            <v xml:space="preserve">Designs, develops, codes, tests, debugs and/or customizes information technology (IT) solutions for own business or external clients | Applies best practices and advanced methodologies, including Scrum techniques, to address and review system requirements, business processes, changing development and technology environments .
</v>
          </cell>
        </row>
        <row r="40">
          <cell r="A40" t="str">
            <v>AID030</v>
          </cell>
          <cell r="B40" t="str">
            <v>IT</v>
          </cell>
          <cell r="D40" t="str">
            <v>IT Development/IT &amp; Digital Transformation</v>
          </cell>
          <cell r="F40" t="str">
            <v>IT Architecture</v>
          </cell>
          <cell r="G40" t="str">
            <v xml:space="preserve">Designs, develops, codes, tests, debugs and/or customizes information technology (IT) solutions for own business or external clients | Applies best practices and advanced methodologies, including Scrum techniques, to address and review system requirements, business processes, changing development and technology environments .
</v>
          </cell>
        </row>
        <row r="41">
          <cell r="A41" t="str">
            <v>ALG065</v>
          </cell>
          <cell r="B41" t="str">
            <v>Legal &amp; Internal Audit</v>
          </cell>
          <cell r="D41" t="str">
            <v>Compliance</v>
          </cell>
          <cell r="F41" t="str">
            <v>Compliance</v>
          </cell>
          <cell r="G41" t="str">
            <v>Defines and documents policies and procedures related to the standards established by the business that comply with applicable external legislation/regulations, but may also reflect a higher standard than the legally required minimum. Activities include employee compliance training and ensuring employee completion of all required courses; auditing compliance with programms &amp; procedures, investigating complaints, and verifying that deficiencies are connected.</v>
          </cell>
        </row>
        <row r="42">
          <cell r="A42" t="str">
            <v>ALG030</v>
          </cell>
          <cell r="B42" t="str">
            <v>Legal &amp; Internal Audit</v>
          </cell>
          <cell r="D42" t="str">
            <v xml:space="preserve">Intellectual Property </v>
          </cell>
          <cell r="F42" t="str">
            <v xml:space="preserve">Intellectual Property </v>
          </cell>
          <cell r="G42" t="str">
            <v>Advises and represents the organization on legal issues concerning patent, copyright or trademark matters. Provides legal advice on the patentability of inventions, infringement of patents or copyrights, and the validity of trademarks. Prepares applications for patents, copyrights and trademarks.</v>
          </cell>
        </row>
        <row r="43">
          <cell r="A43" t="str">
            <v>AFU010</v>
          </cell>
          <cell r="B43" t="str">
            <v>Legal &amp; Internal Audit</v>
          </cell>
          <cell r="D43" t="str">
            <v>Internal Audit</v>
          </cell>
          <cell r="F43" t="str">
            <v>Internal Audit</v>
          </cell>
          <cell r="G43" t="str">
            <v>Ensures the effectiveness of internal controls in compliance with corporate objectives and government standards. Reviews, evaluates, develops, implements, maintains and verifies internal and business controls for processes, systems, financial statements, journals and reports in accordance with internal auditing and government-mandated standards. Identifies internal control gaps in business procedures, processes or systems and initiates appropriate remedial action. Ensures that documentation for all processes across the organization is reviewed and updated periodically. May coordinate with external auditors to prepare the attestation of management assessment on internal controls.</v>
          </cell>
        </row>
        <row r="44">
          <cell r="A44" t="str">
            <v>ALG000</v>
          </cell>
          <cell r="B44" t="str">
            <v>Legal &amp; Internal Audit</v>
          </cell>
          <cell r="D44" t="str">
            <v>Legal Affairs</v>
          </cell>
          <cell r="F44" t="str">
            <v>Legal Affairs &amp; Compliance</v>
          </cell>
          <cell r="G44" t="str">
            <v xml:space="preserve">Provides a full range of legal advice and services. Creates efficient monitoring systems and incentives to ensure that executive behavior aligns with the interests of stakeholders. Plans and monitors relationships among stakeholders, Board of Directors, executive officers and independent auditors to ensure compliance with rules and policies of the organization. Identifies and resolves issues and recommends preventive and corrective measures. Ensures the organization complies with legal and regulatory requirements of the countries in which operates. </v>
          </cell>
        </row>
        <row r="45">
          <cell r="A45" t="str">
            <v>ALG000</v>
          </cell>
          <cell r="B45" t="str">
            <v>Legal &amp; Internal Audit</v>
          </cell>
          <cell r="D45" t="str">
            <v>Legal Affairs</v>
          </cell>
          <cell r="F45" t="str">
            <v>Legal Affairs</v>
          </cell>
          <cell r="G45" t="str">
            <v xml:space="preserve">Provides a full range of legal advice and services. Creates efficient monitoring systems and incentives to ensure that executive behavior aligns with the interests of stakeholders. Plans and monitors relationships among stakeholders, Board of Directors, executive officers and independent auditors to ensure compliance with rules and policies of the organization. Identifies and resolves issues and recommends preventive and corrective measures. Ensures the organization complies with legal and regulatory requirements of the countries in which operates. </v>
          </cell>
        </row>
        <row r="46">
          <cell r="A46" t="str">
            <v>AMK110</v>
          </cell>
          <cell r="B46" t="str">
            <v>Marketing</v>
          </cell>
          <cell r="D46" t="str">
            <v>Digital Marketing</v>
          </cell>
          <cell r="F46" t="str">
            <v>Digital Marketing</v>
          </cell>
          <cell r="G46" t="str">
            <v>Develops marketing, merchandising and creative strategies and affiliated programs to promote the organization's products and services through the internet or other digital channels to increase exposure to and business from the target audience. Manages the implementation of digital marketing programs and analyzes their effectiveness. Establishes and manages the relationships with search engines and portal sites that are strategically aligned with the digital goals. Tracks usage trends of the organization's websites, including number and quality of visitors and advertising campaign impact. Develops and maintains website graphic designs and layout to support the organization's image, identity and brands through a diverse mix of web material, graphical user interfaces and multimedia delivered for the web. Ensures that the organization's website provides up-to-date and comprehensive product/service information that is easily available to existing and potential customers. May be responsible for social media marketing and online community management.</v>
          </cell>
        </row>
        <row r="47">
          <cell r="A47" t="str">
            <v>AMK000</v>
          </cell>
          <cell r="B47" t="str">
            <v>Marketing</v>
          </cell>
          <cell r="D47" t="str">
            <v>General Marketing</v>
          </cell>
          <cell r="F47" t="str">
            <v>General Marketing</v>
          </cell>
          <cell r="G47" t="str">
            <v xml:space="preserve">Designs, develops and implements marketing programs and/or pricing strategies to support the organization's products, services or market sector. Uses specific marketing strategies and media (e.g., print, broadcast, digital) to launch and position products and services in a sector. Identifies and implements marketing strategies and programs in collaboration with sales and technical teams. Responsibilities are typically within the marketing function as a generalist or in a combination of disciplines. 
</v>
          </cell>
        </row>
        <row r="48">
          <cell r="A48" t="str">
            <v>AMK040</v>
          </cell>
          <cell r="B48" t="str">
            <v>Marketing</v>
          </cell>
          <cell r="D48" t="str">
            <v>Market Research/Development</v>
          </cell>
          <cell r="F48" t="str">
            <v>Market Research/Development</v>
          </cell>
          <cell r="G48" t="str">
            <v>Performs analysis and prepares forecasts and recommendations in the areas of product preferences, sales coverage, market penetration, market practices and sales trends. Researches market conditions to determine potential sales of a product.  Collects, analyzes and uses quantitative and qualitative market data to develop insights into consumer preferences, behaviors, patterns and trends and to understand perception and drivers of consumer /market dynamics. Employs methods such as consumer/ user panels, focus groups, surveys and data mining and modeling. Summarizes and communicates analysis of the performance and the progress of business programs/strategy. Provides insights to aid the development of future programs/strategy. 
Identifies new business opportunities and creates appropriate business plans. Identifies new market opportunities (i.e., products/services, technologies, markets). Monitors organization's market share and competition.</v>
          </cell>
        </row>
        <row r="49">
          <cell r="A49" t="str">
            <v>AMK050</v>
          </cell>
          <cell r="B49" t="str">
            <v>Marketing</v>
          </cell>
          <cell r="D49" t="str">
            <v>Product &amp; Portfolio Management</v>
          </cell>
          <cell r="F49" t="str">
            <v>Product &amp; Portfolio Management</v>
          </cell>
          <cell r="G49" t="str">
            <v xml:space="preserve">Develops and directs marketing programs for a significant product or product category/lines. Compiles and evaluates research on the market's product requirements and identifies enhancements to current features and functionality. Establishes marketing strategies and tactics including e. g. product direction, advertising, expense budgets, profit plans and future product (portfolio) development to meet company's portfolio objectives and manage a product or product category's life cycle. Interfaces with engineers, designers, suppliers and customers to develop product requirements and specifications. Analyze needs of the products and allocate resources to optimize market performance. </v>
          </cell>
        </row>
        <row r="50">
          <cell r="A50" t="str">
            <v>AMJ000</v>
          </cell>
          <cell r="B50" t="str">
            <v>Marketing</v>
          </cell>
          <cell r="D50" t="str">
            <v>General Marketing</v>
          </cell>
          <cell r="F50" t="str">
            <v>Business Development</v>
          </cell>
          <cell r="G50" t="str">
            <v xml:space="preserve">Designs, develops and implements marketing programs and/or pricing strategies to support the organization's products, services or market sector. Uses specific marketing strategies and media (e.g., print, broadcast, digital) to launch and position products and services in a sector. Identifies and implements marketing strategies and programs in collaboration with sales and technical teams. Responsibilities are typically within the marketing function as a generalist or in a combination of disciplines. 
</v>
          </cell>
        </row>
        <row r="51">
          <cell r="A51" t="str">
            <v>AGA036</v>
          </cell>
          <cell r="B51" t="str">
            <v>Operations</v>
          </cell>
          <cell r="D51" t="str">
            <v>General Operations</v>
          </cell>
          <cell r="F51" t="str">
            <v>General Operations</v>
          </cell>
          <cell r="G51" t="str">
            <v>Manages, directs and coordinates all or a major segment of the organization's operations in a manufacturing environment/industry, typically including assembly, machinery, processing and/or packaging. Oversees functions that support manufacturing operations, including engineering, supply chain/logistics and purchasing. May formulate policies, forecast requirements for manpower, technology and facilities and develop quality standards.</v>
          </cell>
        </row>
        <row r="52">
          <cell r="A52" t="str">
            <v>APM000</v>
          </cell>
          <cell r="B52" t="str">
            <v>Operations</v>
          </cell>
          <cell r="D52" t="str">
            <v>Operations Projects</v>
          </cell>
          <cell r="F52" t="str">
            <v>Operations Projects</v>
          </cell>
          <cell r="G52" t="str">
            <v>Plans, monitors and manages internal Operations projects from initiation through completion | Leads or coordinates project planning, resourcing, staffing, supply and subcontract management, progress reporting, troubleshooting and people management | Ensures project results meet requirements regarding technical quality, reliability, schedule and cost | Monitors performance and recommends schedule changes, cost adjustments or resource additions</v>
          </cell>
        </row>
        <row r="53">
          <cell r="A53" t="str">
            <v>AOM105</v>
          </cell>
          <cell r="B53" t="str">
            <v>Operations</v>
          </cell>
          <cell r="D53" t="str">
            <v>Plant/ Production Site Management</v>
          </cell>
          <cell r="F53" t="str">
            <v>Plant/ Production Site Management</v>
          </cell>
          <cell r="G53" t="str">
            <v xml:space="preserve">Has overall responsibility for a single manufacturing facility. Directs all aspects of production activity at the assigned plant to ensure that the desired quantities and quality of products are manufactured on schedule in a safe manner at minimum cost. May be responsible for Accounting, Human Resources and other staff functions.
</v>
          </cell>
        </row>
        <row r="54">
          <cell r="A54" t="str">
            <v>AOM010</v>
          </cell>
          <cell r="B54" t="str">
            <v>Operations</v>
          </cell>
          <cell r="D54" t="str">
            <v>Production Planning &amp; Control</v>
          </cell>
          <cell r="F54" t="str">
            <v>Production Planning &amp; Control</v>
          </cell>
          <cell r="G54" t="str">
            <v xml:space="preserve">Plans and prepares manufacturing production schedules and departmental workflows to establish sequence and lead time of each production operation to meet shipping dates according to sales forecasts or customer orders. Expedites operations that delay schedules and alters schedules to meet unforeseen conditions; includes estimating. Analyzes plant capacity and production requisition data to determine manufacturing processes and required resources; prepares production reports. </v>
          </cell>
        </row>
        <row r="55">
          <cell r="A55" t="str">
            <v>AOM015</v>
          </cell>
          <cell r="B55" t="str">
            <v>Operations</v>
          </cell>
          <cell r="D55" t="str">
            <v>Production Process</v>
          </cell>
          <cell r="F55" t="str">
            <v>Production Process</v>
          </cell>
          <cell r="G55" t="str">
            <v xml:space="preserve">Systematize and optimize process parameters and process specifications. Define processing requirements for new and further devlopment of manufacturing processes. Sets up equipment feeding, speed and temperature for optimal performance. Selects and measures raw materials and parts to specifications to prepare for production processing. Resolves issues related to the organization's production, machinery, processing and/or packaging operations. May monitor meters, gauges, valves, flow ratios, temperatures, pressures, and related controls and guidelines to ensure adherence to production/process specifications in support of maintenance engineering. Reports any malfunctions or abnormalities and makes minor adjustments and repairs to equipment. Performs all work in accordance with established safety procedures
</v>
          </cell>
        </row>
        <row r="56">
          <cell r="A56" t="str">
            <v>AOM000</v>
          </cell>
          <cell r="B56" t="str">
            <v>Operations</v>
          </cell>
          <cell r="D56" t="str">
            <v>General Operations</v>
          </cell>
          <cell r="F56" t="str">
            <v>Cleaning</v>
          </cell>
          <cell r="G56" t="str">
            <v>Manages, directs and coordinates all or a major segment of the organization's operations in a manufacturing environment/industry, typically including assembly, machinery, processing and/or packaging. Oversees functions that support manufacturing operations, including engineering, supply chain/logistics and purchasing. May formulate policies, forecast requirements for manpower, technology and facilities and develop quality standards.</v>
          </cell>
        </row>
        <row r="57">
          <cell r="A57" t="str">
            <v>AHS000</v>
          </cell>
          <cell r="B57" t="str">
            <v>Quality Management</v>
          </cell>
          <cell r="D57" t="str">
            <v>Environmental Health &amp; Safety</v>
          </cell>
          <cell r="F57" t="str">
            <v>EHS</v>
          </cell>
          <cell r="G57" t="str">
            <v xml:space="preserve">Develops and implements the organization's positions on environmental policy issues regarding the impact of the organization's operations on water, air and land quality. Designs and implements programs to ensure healthful and safe working conditions and compliance with all environmental regulations, including clean air and hazardous waste disposal, on the organization's premises. Serves as a liaison with external government environmental agencies. Monitors programs and maintains up-to-date records required by environmental permits to ensure government compliance.
And/or designs, develops, implements and oversees the organization's safety or preventive health care programs to safeguard employees. Ensures that all facilities and safety equipement are in compliance with regulations, fire safety standards. Determine and provide employees with safety training and/or medical care/nursing care for the comfort and well-being of employees. Conducts studies and investigations and prepares regular reports/ statistics of e.g. accidents and indicidents to determine the root cause and to develop recommendations for prevention. Develops and provides safety performance measures for monitoring. Maintains comprehensive knowledge of government safety and fire safety regulations or occupation health. </v>
          </cell>
        </row>
        <row r="58">
          <cell r="A58" t="str">
            <v>AQY000</v>
          </cell>
          <cell r="B58" t="str">
            <v>Quality Management</v>
          </cell>
          <cell r="D58" t="str">
            <v xml:space="preserve">General Quality Management </v>
          </cell>
          <cell r="F58" t="str">
            <v xml:space="preserve">General Quality Management </v>
          </cell>
          <cell r="G58" t="str">
            <v>Develops policies, procedures and methods to evaluate and improve the quality of products, materials, components and/or operations. Develops, assures and maintains the quality of products and processes, including standard procedures (e.g., ISO 9001:2000, ISO 14000 family of standards or other certifications). Conducts quality audits/reviews. Applies Taguchi methods, process reengineering or other fundamental methods/ procedures to develop and ensure sustainable quality.</v>
          </cell>
        </row>
        <row r="59">
          <cell r="A59" t="str">
            <v>AZE030</v>
          </cell>
          <cell r="B59" t="str">
            <v>Quality Management</v>
          </cell>
          <cell r="D59" t="str">
            <v>Quality Assurance</v>
          </cell>
          <cell r="F59" t="str">
            <v>Quality Assurance</v>
          </cell>
          <cell r="G59" t="str">
            <v>Develops and implements methods and procedures for process control, process improvement, testing and inspection to ensure that the products are free of flaws and function as designed. Designs and installs sophisticated testing equipment and performs product testing and analysis to maintain quality levels and minimize defects and failure rates. Analyzes reports and defective products to determine trends and recommend corrective actions. Collaborates with supplier representatives on quality problems, ensures that effective corrective actions are implemented and contributes to supplier quality improvement programs</v>
          </cell>
        </row>
        <row r="60">
          <cell r="A60" t="str">
            <v>AZT060</v>
          </cell>
          <cell r="B60" t="str">
            <v>Quality Management</v>
          </cell>
          <cell r="D60" t="str">
            <v>Quality Control</v>
          </cell>
          <cell r="F60" t="str">
            <v>Quality Control</v>
          </cell>
          <cell r="G60" t="str">
            <v xml:space="preserve">Provides technical support to the poduction quality and quality engineering (QE) functions. Conducts nondestructive examination (NDE) and quality control (QC) inspections on products, materials, components, parts, etc., at various stages of the production process to ensure compliance with established quality and reliability standards. Captures and analyzes statistical data from processes to either confirm compliance with established standards or identify deviations from standards. Recommends new or enhanced methods, procedures and standards. Develops testing programs throughout the entire product development lifecycle to ensure flawless quality. </v>
          </cell>
        </row>
        <row r="61">
          <cell r="A61" t="str">
            <v>ARS000</v>
          </cell>
          <cell r="B61" t="str">
            <v>Research &amp; Development</v>
          </cell>
          <cell r="D61" t="str">
            <v>General R&amp;D</v>
          </cell>
          <cell r="F61" t="str">
            <v>General R&amp;D</v>
          </cell>
          <cell r="G61" t="str">
            <v xml:space="preserve">Performs basic theoretical and experimental scientific and technological investigation directed toward the acquisition of new knowledge. Prepares comprehensive documented observations, analyses and interpretations of results, including technical reports, summaries, protocols and quantitative analyses. Publishes activities, findings and conclusions in recognized scientific publications and presents same at appropriate scientific conferences and forums. Documents research leading to patent disclosure or technical and/or scientific advancement.
</v>
          </cell>
        </row>
        <row r="62">
          <cell r="A62" t="str">
            <v>ARP000</v>
          </cell>
          <cell r="B62" t="str">
            <v>Research &amp; Development</v>
          </cell>
          <cell r="D62" t="str">
            <v>Product Development</v>
          </cell>
          <cell r="F62" t="str">
            <v>Product Development</v>
          </cell>
          <cell r="G62" t="str">
            <v xml:space="preserve">Discovers, develops and evaluates new product ideas, enhancements to existing products or strategic product extensions, and translates research discoveries into usable and marketable products to determine their potential to address customer needs and to achieve goals in revenue growth and market share. Leads, plans and tracks all phases of the product life cycle, from inception to introduction into the marketplace. Develops design briefs for new product ideas, including specifications, sketches and/or models to present a clear, focused concept for strategic consideration. 
</v>
          </cell>
        </row>
        <row r="63">
          <cell r="A63" t="str">
            <v>APM050</v>
          </cell>
          <cell r="B63" t="str">
            <v>Research &amp; Development</v>
          </cell>
          <cell r="D63" t="str">
            <v>R&amp;D Projects</v>
          </cell>
          <cell r="F63" t="str">
            <v>R&amp;D Projects</v>
          </cell>
          <cell r="G63" t="str">
            <v>Leads or coordinates cross-functional project/program teams from design to delivery of fully-developed products that are ready for customer use. Monitors performance and recommends schedule changes, cost adjustments or resource additions. Investigates facts and develops solutions to problems during the design and planning phases. Provides timely and accurate information and status updates to functional leaders. May be responsible for feasibility studies, field trials management, identifying product gaps, defining product requirements and engaging with customers to understand market needs and trends.</v>
          </cell>
        </row>
        <row r="64">
          <cell r="A64" t="str">
            <v>CAM000</v>
          </cell>
          <cell r="B64" t="str">
            <v>Sales</v>
          </cell>
          <cell r="D64" t="str">
            <v>Account Management</v>
          </cell>
          <cell r="F64" t="str">
            <v>Account Management</v>
          </cell>
          <cell r="G64" t="str">
            <v>Builds and maintains effective long-term relationships and a high level of satisfaction with decision makers and influencers at an assigned group of customer accounts that may include major strategic customers within a geographic or portfolio focus. Identifies, develops and typically closes new sales opportunities. Creates demand for the organization's products and services by raising their profile with customers. Achieves revenue targets by increasing revenue spend per account.</v>
          </cell>
        </row>
        <row r="65">
          <cell r="A65" t="str">
            <v>CSA000</v>
          </cell>
          <cell r="B65" t="str">
            <v>Sales</v>
          </cell>
          <cell r="D65" t="str">
            <v>General Sales/ Sales Management</v>
          </cell>
          <cell r="F65" t="str">
            <v>General Sales/ Sales Management</v>
          </cell>
          <cell r="G65" t="str">
            <v>Designs, develops and implements sales strategies to support the organization's products, services or market sector. Designs, develops and implements sales programs to meet the organization's business objectives. Plans, directs and coordinates the efforts of sales, buying and merchandising toward the accomplishment of objectives</v>
          </cell>
        </row>
        <row r="66">
          <cell r="A66" t="str">
            <v>CUS000</v>
          </cell>
          <cell r="B66" t="str">
            <v>Sales</v>
          </cell>
          <cell r="D66" t="str">
            <v>Sales Administration &amp; Coordination</v>
          </cell>
          <cell r="F66" t="str">
            <v>Sales Administration &amp; Coordination</v>
          </cell>
          <cell r="G66" t="str">
            <v>Supports sales representatives and channel partners in administrative areas such as order processing, customer quotes, sales information management, product training and financing. Also includes internal/remote sales functions.</v>
          </cell>
        </row>
        <row r="67">
          <cell r="A67" t="str">
            <v>AMS000</v>
          </cell>
          <cell r="B67" t="str">
            <v>Supply Chain &amp; Logistics</v>
          </cell>
          <cell r="D67" t="str">
            <v xml:space="preserve">Customer Service &amp; Support </v>
          </cell>
          <cell r="F67" t="str">
            <v xml:space="preserve">Customer Service &amp; Support </v>
          </cell>
          <cell r="G67" t="str">
            <v>Contains activities referring to order management and customer support to ensure smooth processes taking into account the needs of external stakeholders.
Provides new and existing customers with the best possible service in relation to service requests, suggestions and complaints. Resolves customer inquiries and complaints fairly and effectively. Recommends and implements programs to support customer needs. Handles customer orders and continously improve order management processes and automation.</v>
          </cell>
        </row>
        <row r="68">
          <cell r="A68" t="str">
            <v>ASC000</v>
          </cell>
          <cell r="B68" t="str">
            <v>Supply Chain &amp; Logistics</v>
          </cell>
          <cell r="D68" t="str">
            <v>General Supply Chain</v>
          </cell>
          <cell r="F68" t="str">
            <v>General Supply Chain</v>
          </cell>
          <cell r="G68" t="str">
            <v xml:space="preserve">Oversees supply chain and logistics functions such as material procurement, production planning, inventory control, outsourcing, vendor selection and distribution. Sets strategic direction and creates integrated processes among internal functions (e.g., operations, purchasing and logistics) and outside suppliers. Responsibilities are typically within the supply chain function as a generalist or in a combination of disciplines. </v>
          </cell>
        </row>
        <row r="69">
          <cell r="A69" t="str">
            <v>ASC030</v>
          </cell>
          <cell r="B69" t="str">
            <v>Supply Chain &amp; Logistics</v>
          </cell>
          <cell r="D69" t="str">
            <v>Logistics</v>
          </cell>
          <cell r="F69" t="str">
            <v>Logistics</v>
          </cell>
          <cell r="G69" t="str">
            <v>Coordinates inbound and outbound logistical operations, including inventory management, warehousing and transportation to ensure sufficient supply of goods and products. Controls the commercial impact of the complete range of activities from receiving, locating and dispatching, and optimizing inventory levels. Administers an effective system that meets the organization's inventory control needs through efficient transportation of raw materials, component parts and/or finished goods. May also include positions typically found in logistics environment, such as e.g. forklift drivers.</v>
          </cell>
        </row>
        <row r="70">
          <cell r="A70" t="str">
            <v>ASC015</v>
          </cell>
          <cell r="B70" t="str">
            <v>Supply Chain &amp; Logistics</v>
          </cell>
          <cell r="D70" t="str">
            <v>Materials Planning/Management</v>
          </cell>
          <cell r="F70" t="str">
            <v>Materials Planning/Management</v>
          </cell>
          <cell r="G70" t="str">
            <v>Determines material requirements and plans, schedules and coordinates the efficient movement of materials from suppliers as well as product and material movement through production. Prepares and maintains volume and demand planning analyses/ supply and production schedules based on internal and external information to establish and effectively manage an order backlog.</v>
          </cell>
        </row>
        <row r="71">
          <cell r="A71" t="str">
            <v>ASC060</v>
          </cell>
          <cell r="B71" t="str">
            <v>Supply Chain &amp; Logistics</v>
          </cell>
          <cell r="D71" t="str">
            <v xml:space="preserve">Procurement &amp; Sourcing </v>
          </cell>
          <cell r="F71" t="str">
            <v xml:space="preserve">Procurement &amp; Sourcing </v>
          </cell>
          <cell r="G71" t="str">
            <v>Negotiates favorable terms, volume discounts and long-term contracts with suppliers and prepares and processes requisitions and purchase orders for the procurement of goods, services and supplies for customer-related business processes or for internal use.</v>
          </cell>
        </row>
        <row r="72">
          <cell r="A72" t="str">
            <v>ASC040</v>
          </cell>
          <cell r="B72" t="str">
            <v>Supply Chain &amp; Logistics</v>
          </cell>
          <cell r="D72" t="str">
            <v xml:space="preserve">Warehouse/Fulfillment </v>
          </cell>
          <cell r="F72" t="str">
            <v xml:space="preserve">Warehouse/Fulfillment </v>
          </cell>
          <cell r="G72" t="str">
            <v xml:space="preserve">Warehouse: Administers and operates the organization's warehouses, including processing, packaging and storage of supplies, materials and equipment. Accounts for all materials and supplies in the stores facilities; audits goods received into warehouse. Oversees receipt, storage and shipment of materials, and related reporting in accordance with established procedures. Prepares and coordinates schedules for shipping and receiving materials to control the flow of goods and regulate warehouse space
Fulfillment: Fulfills orders, including order entry, administration and shipping. Processes orders and oversees related activities of third-party vendors to ensure orders flow effectively through systems and processes in accordance with the organization's customer service standards. Develops capacity plans to support build-to-stock and/or build-to-order environments. Ensures adequate inventory levels are maintained to maximize customer satisfaction and minimize cost. Prepares and maintains volume and demand planning analyses and supply and production schedules based on internal and external information to establish and effectively manage an order backlog
</v>
          </cell>
        </row>
        <row r="73">
          <cell r="A73" t="str">
            <v>ASC034</v>
          </cell>
          <cell r="B73" t="str">
            <v>Supply Chain &amp; Logistics</v>
          </cell>
          <cell r="D73" t="str">
            <v>General Supply Chain</v>
          </cell>
          <cell r="F73" t="str">
            <v>Demand &amp; Supply Planning</v>
          </cell>
          <cell r="G73" t="str">
            <v xml:space="preserve">Oversees supply chain and logistics functions such as material procurement, production planning, inventory control, outsourcing, vendor selection and distribution. Sets strategic direction and creates integrated processes among internal functions (e.g., operations, purchasing and logistics) and outside suppliers. Responsibilities are typically within the supply chain function as a generalist or in a combination of disciplines. </v>
          </cell>
        </row>
        <row r="74">
          <cell r="A74" t="str">
            <v>ASC022</v>
          </cell>
          <cell r="B74" t="str">
            <v>Supply Chain &amp; Logistics</v>
          </cell>
          <cell r="D74" t="str">
            <v>Logistics</v>
          </cell>
          <cell r="F74" t="str">
            <v>Forklift Operations</v>
          </cell>
          <cell r="G74" t="str">
            <v>Coordinates inbound and outbound logistical operations, including inventory management, warehousing and transportation to ensure sufficient supply of goods and products. Controls the commercial impact of the complete range of activities from receiving, locating and dispatching, and optimizing inventory levels. Administers an effective system that meets the organization's inventory control needs through efficient transportation of raw materials, component parts and/or finished goods. May also include positions typically found in logistics environment, such as e.g. forklift drivers.</v>
          </cell>
        </row>
        <row r="75">
          <cell r="A75" t="str">
            <v>AZE000</v>
          </cell>
          <cell r="B75" t="str">
            <v>Engineering</v>
          </cell>
          <cell r="D75" t="str">
            <v>General Engineering</v>
          </cell>
          <cell r="F75" t="str">
            <v>General Engineering</v>
          </cell>
          <cell r="G75" t="str">
            <v xml:space="preserve">Performs generally engineering work in operations, production, construction or maintenance environments. Responsibilities are trypically within the engineering function as a generalist or in a combination of disciplines. </v>
          </cell>
        </row>
        <row r="76">
          <cell r="A76" t="str">
            <v>AZT010</v>
          </cell>
          <cell r="B76" t="str">
            <v>Engineering</v>
          </cell>
          <cell r="D76" t="str">
            <v xml:space="preserve">Maintenance Engineering </v>
          </cell>
          <cell r="F76" t="str">
            <v>Maintenance</v>
          </cell>
          <cell r="G76" t="str">
            <v>Designs maintenance strategies, procedures and methods to facilitate installation and/or commissioning and increase of efficiency. Ensures correctly working equipement and machines through e. g. inspections, routine maintainence work and regularly controls.  Deals with and solves unplanned problems, emergencies or breakdowns using e.g. computerised systems. May monitor and control costs referring to maintainance activities. 
Directs and coordinates installation, operation, application of mechanical or electromechanical machines, equipment, tools, engines and systems. Plans and implements the design, manufacture, maintainence of electrical systems and apparatus. Ensures that quality levels and industry standards are maintained or improved in the manufacturing process.  Evaluates mechanical products to determine their cost effectiveness and efficiency. May evaluate field installations and recommend design modifications to eliminate malfunctions.</v>
          </cell>
        </row>
        <row r="77">
          <cell r="A77" t="str">
            <v>AZE060</v>
          </cell>
          <cell r="B77" t="str">
            <v>Engineering</v>
          </cell>
          <cell r="D77" t="str">
            <v>Process Engineering</v>
          </cell>
          <cell r="F77" t="str">
            <v>Process Engineering</v>
          </cell>
          <cell r="G77" t="str">
            <v>Develops and modifies process formulations, methods and controls to meet quality standards. Recommends and implements improvements, modifications or additions to document work. Reviews product development requirements for compatibility with processing methods to determine costs and schedules. Integrates equipment and material capabilities to meet process module target specifications and technology target specifications.</v>
          </cell>
        </row>
        <row r="78">
          <cell r="A78" t="str">
            <v>APM030</v>
          </cell>
          <cell r="B78" t="str">
            <v>Engineering</v>
          </cell>
          <cell r="D78" t="str">
            <v>Project Engineering</v>
          </cell>
          <cell r="F78" t="str">
            <v>Project Engineering</v>
          </cell>
          <cell r="G78" t="str">
            <v xml:space="preserve">Leads or coordinates project planning, resourcing, staffing, progress reporting, people management and troubleshooting for engineering projects. Ensures project results meet requirements regarding technical quality, reliability, schedule and cost. </v>
          </cell>
        </row>
        <row r="79">
          <cell r="A79" t="str">
            <v>AMT000</v>
          </cell>
          <cell r="B79" t="str">
            <v>Technical Services</v>
          </cell>
          <cell r="D79" t="str">
            <v>Technical Services</v>
          </cell>
          <cell r="F79" t="str">
            <v>Technical Services</v>
          </cell>
          <cell r="G79" t="str">
            <v>Provides technical expertise to internal stakeholders, e.g. from commercial area and customers. Performs technical support at customer sites or on a multiple-site basis.
Develops and implements training activities directed at both employee competencies and technical skills. Collaborates with other functions to ensure that current specifications and information on new processes and equipment is reflected.</v>
          </cell>
        </row>
        <row r="80">
          <cell r="A80" t="str">
            <v>CUT040</v>
          </cell>
          <cell r="B80" t="str">
            <v>Technical Services</v>
          </cell>
          <cell r="D80" t="str">
            <v>Technical Services</v>
          </cell>
          <cell r="F80" t="str">
            <v>Training</v>
          </cell>
          <cell r="G80" t="str">
            <v>Provides technical expertise to internal stakeholders, e.g. from commercial area and customers. Performs technical support at customer sites or on a multiple-site basis.
Develops and implements training activities directed at both employee competencies and technical skills. Collaborates with other functions to ensure that current specifications and information on new processes and equipment is reflected.</v>
          </cell>
        </row>
        <row r="81">
          <cell r="A81" t="str">
            <v>CUT010</v>
          </cell>
          <cell r="B81" t="str">
            <v>Technical Services</v>
          </cell>
          <cell r="D81" t="str">
            <v>Technical Services</v>
          </cell>
          <cell r="F81" t="str">
            <v>Pre-Sales Technical Support</v>
          </cell>
          <cell r="G81" t="str">
            <v>Provides technical expertise to internal stakeholders, e.g. from commercial area and customers. Performs technical support at customer sites or on a multiple-site basis.
Develops and implements training activities directed at both employee competencies and technical skills. Collaborates with other functions to ensure that current specifications and information on new processes and equipment is reflected.</v>
          </cell>
        </row>
        <row r="82">
          <cell r="A82" t="str">
            <v>AAA000</v>
          </cell>
          <cell r="B82" t="str">
            <v xml:space="preserve">Top Executive/General Management </v>
          </cell>
          <cell r="D82" t="str">
            <v>Top Executive/General Management</v>
          </cell>
          <cell r="F82" t="str">
            <v xml:space="preserve">Top Executive/General Management </v>
          </cell>
          <cell r="G82" t="str">
            <v xml:space="preserve">Has primary responsibility for the organization's operations in a single country or group of countries or the assinged Business Line. Sets the overall strategic direction and the establishment of long-range plans and policy of the respective area, region or country. Manages the line and staff operations. Includes country General Manager Roles or Business Line management roles. 
In case of the Management Board: Establishes the overall strategic direction of the company as a member of the Management Board. Is accountable for long-range planning and major initiatives of the company. Has direct and lasting impact on overall corporate performance and image.
</v>
          </cell>
        </row>
        <row r="83">
          <cell r="A83" t="str">
            <v>AID030</v>
          </cell>
          <cell r="B83" t="str">
            <v>IT</v>
          </cell>
          <cell r="D83" t="str">
            <v>IT/ Digital Projects</v>
          </cell>
          <cell r="F83" t="str">
            <v>IT/ Digital Projects</v>
          </cell>
          <cell r="G83" t="str">
            <v>Manages all aspects of a diverse IT project or multiple IT projects, typically involving multiple Disciplines in the IT Function. Utilizes expertise and leadership skills to direct staff and to resolve issues to ensure project goals and requirements are met.Typically uses Scrum/Agile development techniques and tools for team collaboration, issue tracking and backlog management.</v>
          </cell>
        </row>
      </sheetData>
      <sheetData sheetId="9"/>
      <sheetData sheetId="10">
        <row r="1">
          <cell r="D1" t="str">
            <v>Career Path-SG</v>
          </cell>
          <cell r="H1" t="str">
            <v>Qualifications</v>
          </cell>
        </row>
        <row r="2">
          <cell r="D2" t="str">
            <v>Management-10</v>
          </cell>
          <cell r="H2" t="str">
            <v>University degree or equivalent and 5-7 years of work experience or equivalent
Experienced in application of management techniques
Experience in operationally managing a mixed-level team</v>
          </cell>
        </row>
        <row r="3">
          <cell r="D3" t="str">
            <v>Management-11</v>
          </cell>
          <cell r="H3" t="str">
            <v>University degree or equivalent and 5-7 years of work experience or equivalent
Experienced in application of management techniques
Experience in operationally managing a mixed-level team</v>
          </cell>
        </row>
        <row r="4">
          <cell r="D4" t="str">
            <v>Management-12</v>
          </cell>
          <cell r="H4" t="str">
            <v>University degree or equivalent and 7-10 years of work experience or equivalent
Experience in managing mixed-level team(s) of professionals and subordinate managers</v>
          </cell>
        </row>
        <row r="5">
          <cell r="D5" t="str">
            <v>Management-13</v>
          </cell>
          <cell r="H5" t="str">
            <v>University degree or equivalent and 7-10 years of work experience or equivalent
Experience in managing mixed-level team(s) of professionals and subordinate managers</v>
          </cell>
        </row>
        <row r="6">
          <cell r="D6" t="str">
            <v>Management-14</v>
          </cell>
          <cell r="H6" t="str">
            <v xml:space="preserve">University degree or equivalent and 10+ years of work experience or equivalent
Profound experience in managing performance and results of diverse activities / multiple teams </v>
          </cell>
        </row>
        <row r="7">
          <cell r="D7" t="str">
            <v>Management-15</v>
          </cell>
          <cell r="H7" t="str">
            <v xml:space="preserve">University degree or equivalent and 10+ years of work experience or equivalent
Profound experience in managing performance and results of diverse activities / multiple teams </v>
          </cell>
        </row>
        <row r="8">
          <cell r="D8" t="str">
            <v>Management-16</v>
          </cell>
          <cell r="H8" t="str">
            <v>University degree or equivalent and 10-15 years of work experience or equivalent
Profound experience in management of a global function or major region including setting the respective strategy</v>
          </cell>
        </row>
        <row r="9">
          <cell r="D9" t="str">
            <v>Management-17</v>
          </cell>
          <cell r="H9" t="str">
            <v>University degree or equivalent and 10-15 years of work experience or equivalent
Profound experience in management of a global function or major region including setting the respective strategy</v>
          </cell>
        </row>
        <row r="10">
          <cell r="D10" t="str">
            <v>Management-18</v>
          </cell>
          <cell r="H10" t="str">
            <v xml:space="preserve">University degree or equivalent and 15+ years of work experience or equivalent
Extensive leadership experience of a major, business critical and strategic segment
</v>
          </cell>
        </row>
        <row r="11">
          <cell r="D11" t="str">
            <v>Management-19</v>
          </cell>
          <cell r="H11" t="str">
            <v xml:space="preserve">University degree or equivalent and 15+ years of work experience or equivalent
Extensive leadership experience of a major, business critical and strategic segment
</v>
          </cell>
        </row>
        <row r="12">
          <cell r="D12" t="str">
            <v>Management-20</v>
          </cell>
          <cell r="H12" t="str">
            <v xml:space="preserve">University degree or equivalent and 15+ years of work experience or equivalent
Extensive leadership experience of a major, business critical and strategic segment
</v>
          </cell>
        </row>
        <row r="13">
          <cell r="D13" t="str">
            <v>Management-21</v>
          </cell>
          <cell r="H13" t="str">
            <v xml:space="preserve">University degree or equivalent and 15-20 years of work experience or equivalent
Extensive leadership experience across functions and geographies in comparable industry and organizational size
</v>
          </cell>
        </row>
        <row r="14">
          <cell r="D14" t="str">
            <v>Operations-02</v>
          </cell>
          <cell r="H14" t="str">
            <v>Training time up to 6 weeks - 6 months, No formal training required</v>
          </cell>
        </row>
        <row r="15">
          <cell r="D15" t="str">
            <v>Operations-03</v>
          </cell>
          <cell r="H15" t="str">
            <v>Training time up to 6 weeks - 6 months, No formal training required</v>
          </cell>
        </row>
        <row r="16">
          <cell r="D16" t="str">
            <v>Operations-04</v>
          </cell>
          <cell r="H16" t="str">
            <v>Vocational training in e.g. manual or technical  field or equivalent work experience. 0-4 years of experience</v>
          </cell>
        </row>
        <row r="17">
          <cell r="D17" t="str">
            <v>Operations-05</v>
          </cell>
          <cell r="H17" t="str">
            <v>Vocational training in e.g. manual or technical  field or equivalent work experience. 0-4 years of experience</v>
          </cell>
        </row>
        <row r="18">
          <cell r="D18" t="str">
            <v>Operations-06</v>
          </cell>
          <cell r="H18" t="str">
            <v>Vocational training in e.g. manual or technical  field or equivalent work experience. 0-4 years of experience</v>
          </cell>
        </row>
        <row r="19">
          <cell r="D19" t="str">
            <v>Operations-07</v>
          </cell>
          <cell r="H19" t="str">
            <v>Vocational training in e.g. manual or technical  field or equivalent work experience. 4-7 years of experience, possibly further internal trainings and/or external advanced training</v>
          </cell>
        </row>
        <row r="20">
          <cell r="D20" t="str">
            <v>Operations-08</v>
          </cell>
          <cell r="H20" t="str">
            <v>Vocational training in e.g. manual or technical  field or equivalent work experience. 4-7 years of experience, possibly further internal trainings and/or external advanced training</v>
          </cell>
        </row>
        <row r="21">
          <cell r="D21" t="str">
            <v>Operations-09</v>
          </cell>
          <cell r="H21" t="str">
            <v>Typically an Associate’s degree or 2 to 4 years of vocational technical training preferred. HS diploma or equivalent required. Specialized skill training/certification often required to meet specific needs. Up to 8 years of experience.</v>
          </cell>
        </row>
        <row r="22">
          <cell r="D22" t="str">
            <v>Operations-10</v>
          </cell>
          <cell r="H22" t="str">
            <v>Typically an Associate’s degree or 2 to 4 years of vocational technical training preferred. HS diploma or equivalent required. Specialized skill training/certification often required to meet specific needs. Deep and specialized practical experience required, often more then 10 years.</v>
          </cell>
        </row>
        <row r="23">
          <cell r="D23" t="str">
            <v>Operations / Technician-07</v>
          </cell>
          <cell r="H23" t="str">
            <v>Typically an Associate’s degree or 2 to 4 years of vocational technical training preferred. HS diploma or equivalent required. Specialized skill training/certification often required to meet specific needs. Up to 8 years of experience.</v>
          </cell>
        </row>
        <row r="24">
          <cell r="D24" t="str">
            <v>Operations / Technician-08</v>
          </cell>
          <cell r="H24" t="str">
            <v>Typically an Associate’s degree or 2 to 4 years of vocational technical training preferred. HS diploma or equivalent required. Specialized skill training/certification often required to meet specific needs. Up to 8 years of experience.</v>
          </cell>
        </row>
        <row r="25">
          <cell r="D25" t="str">
            <v>Professional-05</v>
          </cell>
          <cell r="H25" t="str">
            <v>Vocational training in e.g. commercial field or equivalent work experience. Up to 5 years of experience, possibly further internal trainings.</v>
          </cell>
        </row>
        <row r="26">
          <cell r="D26" t="str">
            <v>Professional-06</v>
          </cell>
          <cell r="H26" t="str">
            <v>Vocational training in e.g. commercial field or equivalent work experience. Up to 5 years of experience, possibly further internal trainings.</v>
          </cell>
        </row>
        <row r="27">
          <cell r="D27" t="str">
            <v>Professional-07</v>
          </cell>
          <cell r="H27" t="str">
            <v>Vocational training in e.g. commercial field or equivalent work experience. Up to 5 years of experience, possibly further internal trainings.</v>
          </cell>
        </row>
        <row r="28">
          <cell r="D28" t="str">
            <v>Professional-08</v>
          </cell>
          <cell r="H28" t="str">
            <v>University degree or equivalent and 0-1 year of work experience or equivalent</v>
          </cell>
        </row>
        <row r="29">
          <cell r="D29" t="str">
            <v>Professional-09</v>
          </cell>
          <cell r="H29" t="str">
            <v>University degree or equivalent and 2-4 years of work experience or equivalent</v>
          </cell>
        </row>
        <row r="30">
          <cell r="D30" t="str">
            <v>Professional-10</v>
          </cell>
          <cell r="H30" t="str">
            <v>University degree or equivalent and 2-4 years of work experience or equivalent</v>
          </cell>
        </row>
        <row r="31">
          <cell r="D31" t="str">
            <v>Professional-11</v>
          </cell>
          <cell r="H31" t="str">
            <v>University degree or equivalent and 4-8 years of work experience or equivalent, 
Initial experience in functionally leading (sub-) projects</v>
          </cell>
        </row>
        <row r="32">
          <cell r="D32" t="str">
            <v>Professional-12</v>
          </cell>
          <cell r="H32" t="str">
            <v>University degree or equivalent and 4-8 years of work experience or equivalent, 
Initial experience in functionally leading (sub-) projects</v>
          </cell>
        </row>
        <row r="33">
          <cell r="D33" t="str">
            <v>Professional-13</v>
          </cell>
          <cell r="H33" t="str">
            <v>University degree or equivalent and 8-10 years of work experience or equivalent, 
Experience in functionally leading (sub-)projects / teams</v>
          </cell>
        </row>
        <row r="34">
          <cell r="D34" t="str">
            <v>Professional-14</v>
          </cell>
          <cell r="H34" t="str">
            <v>University degree or equivalent and 8-10 years of work experience or equivalent, 
Experience in functionally leading (sub-)projects / teams</v>
          </cell>
        </row>
        <row r="35">
          <cell r="D35" t="str">
            <v>Professional-15</v>
          </cell>
          <cell r="H35" t="str">
            <v>University degree or equivalent and 10+ years of work experience or equivalent, 
Very experienced in functionally leading cross-functional projects</v>
          </cell>
        </row>
        <row r="36">
          <cell r="D36" t="str">
            <v>Professional-16</v>
          </cell>
          <cell r="H36" t="str">
            <v>University degree or equivalent and 10+ years of work experience or equivalent, 
Very experienced in functionally leading cross-functional projects</v>
          </cell>
        </row>
        <row r="37">
          <cell r="D37" t="str">
            <v>Projects-10</v>
          </cell>
          <cell r="H37" t="str">
            <v>University degree or equivalent and 2-4 years of work experience or equivalent</v>
          </cell>
        </row>
        <row r="38">
          <cell r="D38" t="str">
            <v>Projects-11</v>
          </cell>
          <cell r="H38" t="str">
            <v>University degree or equivalent and 4-8 years of work experience or equivalent, 
Initial experience in functionally leading (sub-) projects</v>
          </cell>
        </row>
        <row r="39">
          <cell r="D39" t="str">
            <v>Projects-12</v>
          </cell>
          <cell r="H39" t="str">
            <v>University degree or equivalent and 4-8 years of work experience or equivalent, 
Initial experience in functionally leading (sub-) projects</v>
          </cell>
        </row>
        <row r="40">
          <cell r="D40" t="str">
            <v>Projects-13</v>
          </cell>
          <cell r="H40" t="str">
            <v>University degree or equivalent and 8-10 years of work experience or equivalent, 
Experience in functionally leading (sub-)projects / teams</v>
          </cell>
        </row>
        <row r="41">
          <cell r="D41" t="str">
            <v>Projects-14</v>
          </cell>
          <cell r="H41" t="str">
            <v>University degree or equivalent and 8-10 years of work experience or equivalent, 
Experience in functionally leading (sub-)projects / teams</v>
          </cell>
        </row>
        <row r="42">
          <cell r="D42" t="str">
            <v>Projects-15</v>
          </cell>
          <cell r="H42" t="str">
            <v>University degree or equivalent and 10+ years of work experience or equivalent, 
Very experienced in functionally leading cross-functional projects</v>
          </cell>
        </row>
        <row r="43">
          <cell r="D43" t="str">
            <v>Projects-16</v>
          </cell>
          <cell r="H43" t="str">
            <v>University degree or equivalent and 10+ years of work experience or equivalent, 
Very experienced in functionally leading cross-functional projects</v>
          </cell>
        </row>
        <row r="44">
          <cell r="D44" t="str">
            <v>Projects-08</v>
          </cell>
          <cell r="H44" t="str">
            <v>University degree or equivalent and 0-1 year of work experience or equivalent</v>
          </cell>
        </row>
        <row r="45">
          <cell r="D45" t="str">
            <v>Projects-09</v>
          </cell>
          <cell r="H45" t="str">
            <v>University degree or equivalent and 2-4 years of work experience or equivalent</v>
          </cell>
        </row>
        <row r="46">
          <cell r="D46" t="str">
            <v>Sales-08</v>
          </cell>
          <cell r="H46" t="str">
            <v>University degree or equivalent and 0-1 year of work experience or equivalent</v>
          </cell>
        </row>
        <row r="47">
          <cell r="D47" t="str">
            <v>Sales-09</v>
          </cell>
          <cell r="H47" t="str">
            <v>University degree or equivalent and 2-4 years of work experience or equivalent</v>
          </cell>
        </row>
        <row r="48">
          <cell r="D48" t="str">
            <v>Sales-10</v>
          </cell>
          <cell r="H48" t="str">
            <v>University degree or equivalent and 2-4 years of work experience or equivalent</v>
          </cell>
        </row>
        <row r="49">
          <cell r="D49" t="str">
            <v>Sales-11</v>
          </cell>
          <cell r="H49" t="str">
            <v>University degree or equivalent and 4-8 years of work experience or equivalent, 
Initial experience in functionally leading (sub-) projects</v>
          </cell>
        </row>
        <row r="50">
          <cell r="D50" t="str">
            <v>Sales-12</v>
          </cell>
          <cell r="H50" t="str">
            <v>University degree or equivalent and 4-8 years of work experience or equivalent, 
Initial experience in functionally leading (sub-) projects</v>
          </cell>
        </row>
        <row r="51">
          <cell r="D51" t="str">
            <v>Sales-13</v>
          </cell>
          <cell r="H51" t="str">
            <v>University degree or equivalent and 8-10 years of work experience or equivalent, 
Experience in functionally leading (sub-)projects / teams</v>
          </cell>
        </row>
        <row r="52">
          <cell r="D52" t="str">
            <v>Sales-14</v>
          </cell>
          <cell r="H52" t="str">
            <v>University degree or equivalent and 8-10 years of work experience or equivalent, 
Experience in functionally leading (sub-)projects / teams</v>
          </cell>
        </row>
        <row r="53">
          <cell r="D53" t="str">
            <v>Sales-15</v>
          </cell>
          <cell r="H53" t="str">
            <v>University degree or equivalent and 10+ years of work experience or equivalent, 
Very experienced in functionally leading cross-functional projects</v>
          </cell>
        </row>
        <row r="54">
          <cell r="D54" t="str">
            <v>Sales-16</v>
          </cell>
          <cell r="H54" t="str">
            <v>University degree or equivalent and 10+ years of work experience or equivalent, 
Very experienced in functionally leading cross-functional projects</v>
          </cell>
        </row>
      </sheetData>
      <sheetData sheetId="11">
        <row r="5">
          <cell r="E5" t="str">
            <v>2022 Code</v>
          </cell>
          <cell r="G5" t="str">
            <v>2022 Description</v>
          </cell>
        </row>
        <row r="6">
          <cell r="E6" t="str">
            <v>AAA</v>
          </cell>
          <cell r="G6" t="str">
            <v>Responsible for the profitability and growth of the organization. Directs the organization in establishing long-range plans, strategy and policy. Manages line and staff operations.</v>
          </cell>
        </row>
        <row r="7">
          <cell r="E7" t="str">
            <v>AAA</v>
          </cell>
          <cell r="G7" t="str">
            <v>Match Chief Executive Officers (CEOs) who head parent organizations to this function. Match CEOs who head subsidiary organizations to the appropriate discipline in the AAB-Business Unit Management Function.</v>
          </cell>
        </row>
        <row r="8">
          <cell r="E8" t="str">
            <v>AAA</v>
          </cell>
          <cell r="G8" t="str">
            <v>Note: The EX Career Band is not applicable in North America. Executives are collected as Executive Benchmarks in North America's Executive Surveys.</v>
          </cell>
        </row>
        <row r="9">
          <cell r="E9" t="str">
            <v>AAA</v>
          </cell>
          <cell r="G9" t="str">
            <v>EX (Executive)</v>
          </cell>
        </row>
        <row r="10">
          <cell r="E10" t="str">
            <v>AAA000</v>
          </cell>
          <cell r="G10" t="str">
            <v>Manages the profitability and growth of the organization | Accountable to the Board of Directors for all activities of the organization | Directs the organization in establishing long-range plans, strategy and policy</v>
          </cell>
        </row>
        <row r="11">
          <cell r="E11" t="str">
            <v>AAA020</v>
          </cell>
          <cell r="G11" t="str">
            <v>Under the direction of the Chief Executive Officer, typically has primary responsibility for the profitability of the organization's line operations | Corporate staff functions (e.g., legal, employee relations, finance) may report to this position</v>
          </cell>
        </row>
        <row r="12">
          <cell r="E12" t="str">
            <v>AAA030</v>
          </cell>
          <cell r="G12" t="str">
            <v>Has primary responsibility for the revenue generation strategy and commercial operations of the organization | Optimizes go-to-market strategy across all revenue-generating operations, including product design, pricing, marketing, sales, support and delivery | Oversees the application of analytics to predict consumer behavior and optimize product availability and price | Monitors contract terms and deliverables through key performance indicators (e.g., customer acquisition cost, average selling price, speed to revenue) to ensure a smooth customer experience and meet targeted profit margins | May be involved with lead generation, supply negotiations, compensation planning and corporate development (e.g., strategic alliances, new ventures)</v>
          </cell>
        </row>
        <row r="13">
          <cell r="E13" t="str">
            <v>AAA030</v>
          </cell>
          <cell r="G13" t="str">
            <v>May be known as Chief Commercial Officer, Chief Revenue Officer or Chief Growth Officer.</v>
          </cell>
        </row>
        <row r="14">
          <cell r="E14" t="str">
            <v>AAA030</v>
          </cell>
          <cell r="G14" t="str">
            <v>Typically found in vertically integrated industries where a high level of coordination between sales and supply is required (e.g., consumer goods, retail, aerospace and defense).</v>
          </cell>
        </row>
        <row r="15">
          <cell r="E15" t="str">
            <v>AAA030</v>
          </cell>
          <cell r="G15" t="str">
            <v>Match Top Commercial Executives that are primarily concerned with sales and marketing to AMJ000-Sales, Marketing and Business Development Generalist/Multidiscipline and the Executive Career Band.</v>
          </cell>
        </row>
        <row r="16">
          <cell r="E16" t="str">
            <v>AAB</v>
          </cell>
          <cell r="G16" t="str">
            <v>Responsible for the profitability and growth of a single or multiple profit center or business unit. Directs the establishment of long-range plans, strategy and policy. Manages the line and staff operations.</v>
          </cell>
        </row>
        <row r="17">
          <cell r="E17" t="str">
            <v>AAB</v>
          </cell>
          <cell r="G17" t="str">
            <v>Match Chief Executive Officers (CEOs) who head parent organizations to AAA000-Chief Executive Officer in the AAA-Top Executive Function. Match CEOs who head subsidiary organizations to the appropriate discipline in this function.</v>
          </cell>
        </row>
        <row r="18">
          <cell r="E18" t="str">
            <v>AAB</v>
          </cell>
          <cell r="G18" t="str">
            <v>Match Chief Operating Officers to AAA020-Chief Operating Officer and the Executive Career Band. Match incumbents who manage all or most major segments of the organization's operations to AGA035-General Operations Management (Nonmanufacturing) and the Executive Career Band or AGA036-General Operations Management (Manufacturing) and the Executive Career Band. All Executives in North America should be reported as Executive Benchmarks in one of the Executive surveys conducted in North America.</v>
          </cell>
        </row>
        <row r="19">
          <cell r="E19" t="str">
            <v>AAB</v>
          </cell>
          <cell r="G19" t="str">
            <v>Match executives responsible for sales only to the Executive Career Band and one of the Customer/Client Management and Sales functions (e.g., CAM-Account/Relationship Management, CSD-Direct Sales). Match executives responsible for customer service only to the Executive Career Band and the Discipline AMS000-Customer Support/Operations Generalist/Multidiscipline in the AMS-Customer Support/Operations Function. All Executives in North America should be reported as Executive Benchmarks in one of the Executive surveys conducted in North America.</v>
          </cell>
        </row>
        <row r="20">
          <cell r="E20" t="str">
            <v>AAB</v>
          </cell>
          <cell r="G20" t="str">
            <v>Match incumbents responsible for either sales, account management or relationship management to the appropriate discipline in one of the Customer/Client Management and Sales Functions.</v>
          </cell>
        </row>
        <row r="21">
          <cell r="E21" t="str">
            <v>AAB</v>
          </cell>
          <cell r="G21" t="str">
            <v>Note: The EX Career Band is not applicable in North America. Executives are collected as Executive Benchmarks in North America's Executive Surveys.</v>
          </cell>
        </row>
        <row r="22">
          <cell r="E22" t="str">
            <v>AAB</v>
          </cell>
          <cell r="G22" t="str">
            <v>EX (Executive)</v>
          </cell>
        </row>
        <row r="23">
          <cell r="E23" t="str">
            <v>AAB001</v>
          </cell>
          <cell r="G23" t="str">
            <v>Has primary responsibility for a major segment of the organization's operations, which may consist of multiple divisions and typically represents a significant portion (15% or more) of corporate revenues | Sets the overall strategic direction for the segment | Typically reports to the CEO or COO | Corporate/Noncorporate must be "N" (Noncorporate)</v>
          </cell>
        </row>
        <row r="24">
          <cell r="E24" t="str">
            <v>AAB001</v>
          </cell>
          <cell r="G24" t="str">
            <v>Match heads of a region to AAB012-Region Head if geography represents 15% or more of corporate revenue.</v>
          </cell>
        </row>
        <row r="25">
          <cell r="E25" t="str">
            <v>AAB001</v>
          </cell>
          <cell r="G25" t="str">
            <v>Match heads of a small segment to AAB003-Division Head if segment revenues represent less than 15% of corporate revenues and/or they do not report directly to the CEO or COO.</v>
          </cell>
        </row>
        <row r="26">
          <cell r="E26" t="str">
            <v>AAB001</v>
          </cell>
          <cell r="G26" t="str">
            <v>Match heads of a large segment or division to AAB003-Division Head if segment revenues represents 15% or more of corporate revenue, but incumbent does not report to the CEO or COO.</v>
          </cell>
        </row>
        <row r="27">
          <cell r="E27" t="str">
            <v>AAB003</v>
          </cell>
          <cell r="G27" t="str">
            <v>Has primary responsibility for the profitability and growth of a division, which typically represents a small to moderate portion of corporate revenues (less than 15%) | Sets the overall strategic direction for the division that may include a range of activities (e.g., sales, marketing, operations, staff functions) | Typically reports to the head of a segment or head of a larger division | Corporate/Noncorporate must be "N" (Noncorporate)</v>
          </cell>
        </row>
        <row r="28">
          <cell r="E28" t="str">
            <v>AAB003</v>
          </cell>
          <cell r="G28" t="str">
            <v>Match heads of a geography to AAB020-General/Country Manager if the geography is different than the home country and its revenues represent less than 15% of corporate revenues.</v>
          </cell>
        </row>
        <row r="29">
          <cell r="E29" t="str">
            <v>AAB003</v>
          </cell>
          <cell r="G29" t="str">
            <v>Match heads of divisions responsible for all operations in the home country to this Benchmark if revenues represent less than 15% of corporate revenues and/or they do not report directly to the CEO or COO.</v>
          </cell>
        </row>
        <row r="30">
          <cell r="E30" t="str">
            <v>AAB003</v>
          </cell>
          <cell r="G30" t="str">
            <v>Match heads of multiple small divisions to this discipline if division revenues represent less than 15% of corporate revenue.</v>
          </cell>
        </row>
        <row r="31">
          <cell r="E31" t="str">
            <v>AAB003</v>
          </cell>
          <cell r="G31" t="str">
            <v>Match heads of a large segment to AAB001-Segment Head if segment revenues represent 15% or more of corporate revenue.</v>
          </cell>
        </row>
        <row r="32">
          <cell r="E32" t="str">
            <v>AAB005</v>
          </cell>
          <cell r="G32" t="str">
            <v>Has primary responsibility for the profitability of line operations within a segment or division; staff functions (e.g., legal, employee relations, finance) may report to this position | Typically reports to the head of the segment/division as the second highest-ranking executive | Corporate/Noncorporate must be "N" (Noncorporate)</v>
          </cell>
        </row>
        <row r="33">
          <cell r="E33" t="str">
            <v>AAB012</v>
          </cell>
          <cell r="G33" t="str">
            <v>Has primary responsibility for one of the organization's main geographic regions (e.g., Asia Pacific, Europe, Latin America), which typically represents a significant portion (15% or more) of corporate revenues | Sets the overall strategic direction for the geographic region | Typically reports to the CEO or COO | Corporate/Noncorporate must be "N" (Noncorporate)</v>
          </cell>
        </row>
        <row r="34">
          <cell r="E34" t="str">
            <v>AAB012</v>
          </cell>
          <cell r="G34" t="str">
            <v>Match heads of a small region to AAB020-Country/General Manager if revenues represent less than 15% of corporate revenues and/or they do not report directly to the CEO or COO. The region may consist of a group of countries or single, large country within a geographic region (revenues 15% or more of corporate revenues).</v>
          </cell>
        </row>
        <row r="35">
          <cell r="E35" t="str">
            <v>AAB012</v>
          </cell>
          <cell r="G35" t="str">
            <v>Match incumbents responsible for all operations in the home country to AAB003-Division Head if revenues represent less than 15% of corporate revenues.</v>
          </cell>
        </row>
        <row r="36">
          <cell r="E36" t="str">
            <v>AAB020</v>
          </cell>
          <cell r="G36" t="str">
            <v>Has primary responsibility for the organization's operations in a single country or group of countries (different from the home country) | Sets the overall strategic direction for the country or group of countries and represents the organization for legal, tax and regulation purposes | Corporate/Noncorporate must be "N" (Noncorporate)</v>
          </cell>
        </row>
        <row r="37">
          <cell r="E37" t="str">
            <v>AAB020</v>
          </cell>
          <cell r="G37" t="str">
            <v>Match heads of a geography to AAB012-Region Head if incumbent is responsible for a large country that represents 15% or more of corporate revenues.</v>
          </cell>
        </row>
        <row r="38">
          <cell r="E38" t="str">
            <v>AAB020</v>
          </cell>
          <cell r="G38" t="str">
            <v>Match incumbents who are responsible for only some (not all) operations (e.g., specific segment) within a country or group of countries to AAB003-Division Head.</v>
          </cell>
        </row>
        <row r="39">
          <cell r="E39" t="str">
            <v>AAB020</v>
          </cell>
          <cell r="G39" t="str">
            <v>Match incumbents responsible for operations in the home country to the AAB003-Division Head if revenues represent less than 15% of corporate revenues and/or they do not report directly to the CEO or COO.</v>
          </cell>
        </row>
        <row r="40">
          <cell r="E40" t="str">
            <v>AAB032</v>
          </cell>
          <cell r="G40" t="str">
            <v>Has primary responsibility for the profitability and growth of the organization's e-commerce business | Develops and implements strategies to manage the organization's digital commerce or e-commerce products, services and/or e-business platforms that align with the organization's overall strategies | Identifies market trends and e-commerce opportunities across the organization, working closely with both the relevant business and technology functions to develop these opportunities</v>
          </cell>
        </row>
        <row r="41">
          <cell r="E41" t="str">
            <v>AAS</v>
          </cell>
          <cell r="G41" t="str">
            <v>Provides various office and location support activities. Identifies, enhances and follows specific processes and procedures to maximize the efficiencies of the business to which the support is being provided; ensures the correct functioning of facilities, office and/or business support services.</v>
          </cell>
        </row>
        <row r="42">
          <cell r="E42" t="str">
            <v>AAS</v>
          </cell>
          <cell r="G42" t="str">
            <v>Match incumbents responsible for library and/or archive services to the MPO100-Library/Archive Services Discipline in the MPO-Media Production Function.</v>
          </cell>
        </row>
        <row r="43">
          <cell r="E43" t="str">
            <v>AAS</v>
          </cell>
          <cell r="G43" t="str">
            <v>Incumbents responsible for outsourced services in this function focus mainly on coordination with the procurement function on developing requirements and criteria for vendor selection, negotiating new vendor contracts and ensuring vendor compliance with contracts for service delivery.</v>
          </cell>
        </row>
        <row r="44">
          <cell r="E44" t="str">
            <v>AAS</v>
          </cell>
          <cell r="G44" t="str">
            <v>Match incumbents in specialized administrative jobs to the function in which they work (e.g., match HRIS support specialist staff to the AHR150-HRIS Discipline in the AHR-Human Resources Function).</v>
          </cell>
        </row>
        <row r="45">
          <cell r="E45" t="str">
            <v>AAS</v>
          </cell>
          <cell r="G45" t="str">
            <v>Match incumbents responsible for facilities management to the ARE020-Facilities Management Discipline in the ARE-Real Estate and Facilities Function.</v>
          </cell>
        </row>
        <row r="46">
          <cell r="E46" t="str">
            <v>AAS</v>
          </cell>
          <cell r="G46" t="str">
            <v>Match incumbents who provide general administrative support services to this function regardless of the department being supported (e.g., match secretarial staff in the AHR-Human Resources Function to this function).</v>
          </cell>
        </row>
        <row r="47">
          <cell r="E47" t="str">
            <v>AAS</v>
          </cell>
          <cell r="G47" t="str">
            <v>Match legal secretaries to the ALS040-Legal Secretarial/Administrative Assistance Discipline in the ALS-Legal Support Function.</v>
          </cell>
        </row>
        <row r="48">
          <cell r="E48" t="str">
            <v>AAS</v>
          </cell>
          <cell r="G48" t="str">
            <v>M (Supervisory/Management)</v>
          </cell>
        </row>
        <row r="49">
          <cell r="E49" t="str">
            <v>AAS</v>
          </cell>
          <cell r="G49" t="str">
            <v>P (Professional)</v>
          </cell>
        </row>
        <row r="50">
          <cell r="E50" t="str">
            <v>AAS</v>
          </cell>
          <cell r="G50" t="str">
            <v>U (Business Support)</v>
          </cell>
        </row>
        <row r="51">
          <cell r="E51" t="str">
            <v>AAS</v>
          </cell>
          <cell r="G51" t="str">
            <v>W (Production/Manual Labor) (for AAS072, AAS074 only)</v>
          </cell>
        </row>
        <row r="52">
          <cell r="E52" t="str">
            <v>AAS000</v>
          </cell>
          <cell r="G52" t="str">
            <v>Supports general business operations by providing various administrative support activities as a generalist or in a combination of Disciplines in the Administrative Services Function</v>
          </cell>
        </row>
        <row r="53">
          <cell r="E53" t="str">
            <v>AAS010</v>
          </cell>
          <cell r="G53" t="str">
            <v>Coordinates the administrative activities of an office | Evaluates office production and devises alternative methods to improve workflow | Oversees opening, sorting and routing of incoming and makes preparations for outgoing correspondence, post, mail and packages; organizes special mailings | Coordinates the receipt, storage and issuance of stationery and office supplies; oversees periodic inventories and reorders items as required | Acts as the first point of contact for internal facilities issues and logs all maintenance, cleaning and office/location services and refers related issues to the appropriate personnel; negotiates contracts for services such as cleaning and maintenance | May be responsible for conference/meeting room administration including catering and setup</v>
          </cell>
        </row>
        <row r="54">
          <cell r="E54" t="str">
            <v>AAS011</v>
          </cell>
          <cell r="G54" t="str">
            <v>Performs routine clerical duties, such as filing, tabulating, compiling and/or posting records and photocopying using an array of business software applications such as a word processor or spreadsheet</v>
          </cell>
        </row>
        <row r="55">
          <cell r="E55" t="str">
            <v>AAS013</v>
          </cell>
          <cell r="G55" t="str">
            <v>Operates and maintains a range of printing equipment (e.g., photocopier, digital printing press) and finishing equipment (e.g., trimmer, binder) to print quantities of various documents</v>
          </cell>
        </row>
        <row r="56">
          <cell r="E56" t="str">
            <v>AAS020</v>
          </cell>
          <cell r="G56" t="str">
            <v>Provides timely delivery of information services, including printed, nonprinted and electronic materials | Classifies and catalogues various types of media | Conducts research and prepares summaries of findings to requesting personnel | Identifies and evaluates sources of information, manages these sources and communicates their presence to all employees within the organization | May develop and maintain record retention/knowledge management policies, practices and procedures</v>
          </cell>
        </row>
        <row r="57">
          <cell r="E57" t="str">
            <v>AAS030</v>
          </cell>
          <cell r="G57" t="str">
            <v>Greets clients and visitors at front desk | Answers incoming calls and typically operates a multi-line telephone system | Organizes meeting room, taxi and chauffeur bookings | Completes security procedures (e.g., issues badges, ensures proper completion of visitors' log) | May perform clerical tasks (e.g., mail distribution, word processing)</v>
          </cell>
        </row>
        <row r="58">
          <cell r="E58" t="str">
            <v>AAS041</v>
          </cell>
          <cell r="G58" t="str">
            <v>Provides secretarial/administrative support to nonexecutive employees or groups in the organization | Uses business software applications (e.g., word processing, presentation and spreadsheet) to prepare correspondence, reports, presentations, agendas, minutes, etc. | Receives, screens and directs incoming calls, visitors, mail and email | Maintains files, records, calendars and diaries | May arrange business travel, coordinate meeting arrangements, and/or track expenses</v>
          </cell>
        </row>
        <row r="59">
          <cell r="E59" t="str">
            <v>AAS041</v>
          </cell>
          <cell r="G59" t="str">
            <v>Match secretaries/administrative assistants who indirectly support executives or the CEO (e.g., through more senior executive secretaries/administrative assistants) to this discipline.</v>
          </cell>
        </row>
        <row r="60">
          <cell r="E60" t="str">
            <v>AAS042</v>
          </cell>
          <cell r="G60" t="str">
            <v>Provides secretarial/administrative support directly to executives (excluding CEO), exercising confidentiality, tact and diplomacy | Uses business software applications (e.g., word processing, presentation and spreadsheet) to prepare correspondence, reports, presentations, agendas, minutes, etc.; may prepare responses to routine correspondence and inquiries | Receives, screens and directs incoming calls, visitors, mail and email | Maintains files, records, calendars and diaries; typically arranges business travel, coordinates meeting arrangements and tracks expenses | Participates in the development and implementation of secretarial standards, policies and practices for the organization</v>
          </cell>
        </row>
        <row r="61">
          <cell r="E61" t="str">
            <v>AAS043</v>
          </cell>
          <cell r="G61" t="str">
            <v>Provides or leads a full range of secretarial/administrative support to the Chief Executive Officer (CEO) of the organization, exercising confidentiality, tact and diplomacy | Communicates directives and information from the CEO to executives, managers and others in the organization and follows up on the status of assignments | Receives, screens and directs incoming calls, visitors, mail and email | Maintains files, records, calendars and diaries; typically arranges business travel, coordinates meeting arrangements and tracks expenses | Participates in the development and implementation of secretarial/administrative standards, policies and practices for the organization</v>
          </cell>
        </row>
        <row r="62">
          <cell r="E62" t="str">
            <v>AAS043</v>
          </cell>
          <cell r="G62" t="str">
            <v>Match secretaries/administrative assistants who directly support the corporate CEO or subsidiary CEO to this discipline.</v>
          </cell>
        </row>
        <row r="63">
          <cell r="E63" t="str">
            <v>AAS050</v>
          </cell>
          <cell r="G63" t="str">
            <v>Coordinates travel arrangements for employees consistent with established policies and cost guidelines | Ensures that reservations for air travel, car rentals and overnight accommodations are accurate and that itineraries, tickets and instructions are available to employees on a timely basis | Analyzes services provided by travel vendors and recommends changes as appropriate | May utilize an outside travel agency and/or an online reservation system</v>
          </cell>
        </row>
        <row r="64">
          <cell r="E64" t="str">
            <v>AAS070</v>
          </cell>
          <cell r="G64" t="str">
            <v>Plans menus to accommodate all employees | Determines food service budget expenditures | Coordinates purchases and ensures that adequate supplies of food are maintained | Assesses food service activities and recommends modifications to improve operating efficiency</v>
          </cell>
        </row>
        <row r="65">
          <cell r="E65" t="str">
            <v>AAS072</v>
          </cell>
          <cell r="G65" t="str">
            <v>Performs routine duties related to serving food and beverages, as well as clearing dishes and cleaning | May operate dishwasher or assist with washing dishes, glassware, silverware, utensils, pots, pans, etc. | Collects and disposes of garbage left at tables | May assist with stocking food inventory and with light cooking</v>
          </cell>
        </row>
        <row r="66">
          <cell r="E66" t="str">
            <v>AAS072</v>
          </cell>
          <cell r="G66" t="str">
            <v>Match Tea Person to this discipline.</v>
          </cell>
        </row>
        <row r="67">
          <cell r="E67" t="str">
            <v>AAS074</v>
          </cell>
          <cell r="G67" t="str">
            <v>Reviews menus and work or customer orders to determine type and quantities of food to be prepared | Prepares, seasons and cooks food | Carves portions of meat, fish or fowl for individual servings | May plan menus and estimate required food quantities, labor and overhead costs | May coordinate food storage and maintenance of kitchen and storage facilities</v>
          </cell>
        </row>
        <row r="68">
          <cell r="E68" t="str">
            <v>AAS086</v>
          </cell>
          <cell r="G68" t="str">
            <v>Operates a data entry device to key and/or verify a variety of standard and/or complex coded or uncoded business and statistical source data into a computer</v>
          </cell>
        </row>
        <row r="69">
          <cell r="E69" t="str">
            <v>AAS700</v>
          </cell>
          <cell r="G69" t="str">
            <v>Provides support for the production team at the organization's office, production facilities or on location | Performs various general administrative tasks and deliveries, and assists with production logistics as needed | Coordinates support services obtained from internal and external resources</v>
          </cell>
        </row>
        <row r="70">
          <cell r="E70" t="str">
            <v>AAS700</v>
          </cell>
          <cell r="G70" t="str">
            <v>Match runners to this discipline.</v>
          </cell>
        </row>
        <row r="71">
          <cell r="E71" t="str">
            <v>AAS710</v>
          </cell>
          <cell r="G71" t="str">
            <v>Provides various administrative services to talent engaged, represented or supported by the organization (talent may include artists, musicians, actors, personalities, broadcasters, entertainers, athletes, celebrities and other public figures) | Makes travel arrangements and organizes appropriate facilities and support services | May develop, monitor and report on budgets and costs of supported commercial activities of the talent | May complete and submit various documents in support of the talent's business affairs (e.g., copyright registration, song splits, royalties)</v>
          </cell>
        </row>
        <row r="72">
          <cell r="E72" t="str">
            <v>AAS715</v>
          </cell>
          <cell r="G72" t="str">
            <v>Provides research and administrative support to journalists and/or other media groups | Gathers information, conducts background searches and checks facts | May monitor other media (e.g., websites of competitors) | Sets up and maintains electronic databases</v>
          </cell>
        </row>
        <row r="73">
          <cell r="E73" t="str">
            <v>AAS999</v>
          </cell>
          <cell r="G73" t="str">
            <v>Responsibilities are within the Administrative Services Function but are not described in other Discipline summaries</v>
          </cell>
        </row>
        <row r="74">
          <cell r="E74" t="str">
            <v>AAT</v>
          </cell>
          <cell r="G74" t="str">
            <v>Provides and administers passenger transportation and vehicle services such as vehicle fleet management, chauffeur services, aircraft management and operations.</v>
          </cell>
        </row>
        <row r="75">
          <cell r="E75" t="str">
            <v>AAT</v>
          </cell>
          <cell r="G75" t="str">
            <v>Match incumbents responsible for delivery/transportation vehicle operations (e.g., truck drivers) to the ASC052-Transportation - Delivery Vehicle Operations Generalist/Multidiscipline code in the ASC-Supply Chain and Logistics Function.</v>
          </cell>
        </row>
        <row r="76">
          <cell r="E76" t="str">
            <v>AAT</v>
          </cell>
          <cell r="G76" t="str">
            <v>M (Supervisory/Management)</v>
          </cell>
        </row>
        <row r="77">
          <cell r="E77" t="str">
            <v>AAT</v>
          </cell>
          <cell r="G77" t="str">
            <v>P (Professional)</v>
          </cell>
        </row>
        <row r="78">
          <cell r="E78" t="str">
            <v>AAT</v>
          </cell>
          <cell r="G78" t="str">
            <v>T (Technical Support)</v>
          </cell>
        </row>
        <row r="79">
          <cell r="E79" t="str">
            <v>AAT</v>
          </cell>
          <cell r="G79" t="str">
            <v>U (Business Support)</v>
          </cell>
        </row>
        <row r="80">
          <cell r="E80" t="str">
            <v>AAT</v>
          </cell>
          <cell r="G80" t="str">
            <v>W (Production/Manual Labor) (for AAT020 only)</v>
          </cell>
        </row>
        <row r="81">
          <cell r="E81" t="str">
            <v>AAT000</v>
          </cell>
          <cell r="G81" t="str">
            <v>Supports general business operations by providing various transportation and related support activities as a generalist or in a combination of Disciplines in the Transportation Services and Administration Function</v>
          </cell>
        </row>
        <row r="82">
          <cell r="E82" t="str">
            <v>AAT010</v>
          </cell>
          <cell r="G82" t="str">
            <v>Operates and maintains motor vehicles and equipment | Schedules and dispatches the organization's vehicles and drivers | Prepares reports on inspection findings and ensures proper vehicle maintenance to comply with prescribed safety regulations | Develops design specifications for vehicle requisitions | May negotiate vehicle and/or equipment purchase terms in coordination with the procurement function</v>
          </cell>
        </row>
        <row r="83">
          <cell r="E83" t="str">
            <v>AAT016</v>
          </cell>
          <cell r="G83" t="str">
            <v>Performs preventive maintenance on motorcars through washing and cleaning, oil changes, greasing, and inspection of hoses, belts, fluids and wiring | Performs repairs by disassembling and overhauling engines, transmissions, clutches, rear ends and other assemblies | Replaces worn or broken parts, aligns wheels, adjusts brakes, tightens bearings, tunes engines and performs minor body work | Performs all work in accordance with established safety procedures and holds appropriate certification as may be required by law | Estimates time and material costs on vehicle repairs, and requisitions new parts and equipment</v>
          </cell>
        </row>
        <row r="84">
          <cell r="E84" t="str">
            <v>AAT017</v>
          </cell>
          <cell r="G84" t="str">
            <v>Performs preventive maintenance on motorcycles through washing and cleaning, oil changes, greasing, and inspection of hoses, belts, fluids and wiring | Performs repairs by disassembling and overhauling engines, transmissions, clutches, rear ends and other assemblies | Replaces worn or broken parts, aligns wheels, adjusts brakes, tightens bearings, tunes engines and performs minor body work | Performs all work in accordance with established safety procedures and holds appropriate certification as may be required by law | Estimates time and material costs on vehicle repairs, and requisitions new parts and equipment</v>
          </cell>
        </row>
        <row r="85">
          <cell r="E85" t="str">
            <v>AAT018</v>
          </cell>
          <cell r="G85" t="str">
            <v>Performs preventive maintenance on commercial vehicles (trucks) through washing and cleaning, oil changes, greasing, and inspection of hoses, belts, fluids and wiring | Performs repairs by disassembling and overhauling engines, transmissions, clutches, rear ends and other assemblies | Replaces worn or broken parts, aligns wheels, adjusts brakes, tightens bearings, tunes engines and performs minor body work | Performs all work in accordance with established safety procedures and holds appropriate certification as may be required by law | Estimates time and material costs on vehicle repairs, and requisitions new parts and equipment</v>
          </cell>
        </row>
        <row r="86">
          <cell r="E86" t="str">
            <v>AAT020</v>
          </cell>
          <cell r="G86" t="str">
            <v>Picks up and transports employees or visitors as directed | May be the designated driver of a manager or executive within the organization | Occasionally picks up and delivers packages</v>
          </cell>
        </row>
        <row r="87">
          <cell r="E87" t="str">
            <v>AAT020</v>
          </cell>
          <cell r="G87" t="str">
            <v>Use the Production/Manual Labor Career Band for incumbents matched to this discipline.</v>
          </cell>
        </row>
        <row r="88">
          <cell r="E88" t="str">
            <v>AAT030</v>
          </cell>
          <cell r="G88" t="str">
            <v>Maintains, supplies and staffs all aircraft owned or leased for use by the organization</v>
          </cell>
        </row>
        <row r="89">
          <cell r="E89" t="str">
            <v>AAT040</v>
          </cell>
          <cell r="G89" t="str">
            <v>Provides centralized scheduling service, equipment maintenance and crew assignments for all organization aircraft; may utilize computerized scheduling system(s) | Coordinates departures and arrivals | May coordinate in-flight commissary requirements, customs and immigration paperwork, and ground transportation | May hold applicable FAA certification</v>
          </cell>
        </row>
        <row r="90">
          <cell r="E90" t="str">
            <v>AAT050</v>
          </cell>
          <cell r="G90" t="str">
            <v>Pilots or acts as second-in-command in operating the organization's aircraft | Schedules and completes flights as needed to meet the organization's travel requirements</v>
          </cell>
        </row>
        <row r="91">
          <cell r="E91" t="str">
            <v>AAT120</v>
          </cell>
          <cell r="G91" t="str">
            <v>Pilots and operates flying drones or other unmanned aircraft systems in accordance with aviation regulations | Performs equipment maintenance to ensure drone is prepared for flight | Schedules flight paths and completes drone flights as needed to meet organization's business needs</v>
          </cell>
        </row>
        <row r="92">
          <cell r="E92" t="str">
            <v>AAT999</v>
          </cell>
          <cell r="G92" t="str">
            <v>Responsibilities are within the Transportation Services and Administration Function but are not described in other Discipline summaries</v>
          </cell>
        </row>
        <row r="93">
          <cell r="E93" t="str">
            <v>AAY</v>
          </cell>
          <cell r="G93" t="str">
            <v>Protects the organization's employees, properties and all items of value on the organization's premises from any preventable harm or danger.</v>
          </cell>
        </row>
        <row r="94">
          <cell r="E94" t="str">
            <v>AAY</v>
          </cell>
          <cell r="G94" t="str">
            <v>Match incumbents responsible for inventory control to the RIL010-Inventory Control Discipline and incumbents responsible for inventory loss prevention to the RIL020-Inventory Loss Prevention Discipline in the RIL-Inventory Control/Loss Prevention Function.</v>
          </cell>
        </row>
        <row r="95">
          <cell r="E95" t="str">
            <v>AAY</v>
          </cell>
          <cell r="G95" t="str">
            <v>Match incumbents responsible for store security to this function.</v>
          </cell>
        </row>
        <row r="96">
          <cell r="E96" t="str">
            <v>AAY</v>
          </cell>
          <cell r="G96" t="str">
            <v>Match incumbents responsible for the information technology aspects of contingency planning for disasters to the AIT060-IS Disaster Recovery/Business Continuation Discipline in the AIT-IT Administration Function.</v>
          </cell>
        </row>
        <row r="97">
          <cell r="E97" t="str">
            <v>AAY</v>
          </cell>
          <cell r="G97" t="str">
            <v>Match incumbents who develop, test and modify computer software and/or hardware to ensure the security of the organization's computer systems and networks to the AIT070-IS and Cyber Security Discipline in the AIT-IT Administration Function.</v>
          </cell>
        </row>
        <row r="98">
          <cell r="E98" t="str">
            <v>AAY</v>
          </cell>
          <cell r="G98" t="str">
            <v>Note: The EX Career Band is not applicable in North America. Executives are collected as Executive Benchmarks in North America's Executive Surveys.</v>
          </cell>
        </row>
        <row r="99">
          <cell r="E99" t="str">
            <v>AAY</v>
          </cell>
          <cell r="G99" t="str">
            <v>EX (Executive)</v>
          </cell>
        </row>
        <row r="100">
          <cell r="E100" t="str">
            <v>AAY</v>
          </cell>
          <cell r="G100" t="str">
            <v>M (Supervisory/Management)</v>
          </cell>
        </row>
        <row r="101">
          <cell r="E101" t="str">
            <v>AAY</v>
          </cell>
          <cell r="G101" t="str">
            <v>P (Professional)</v>
          </cell>
        </row>
        <row r="102">
          <cell r="E102" t="str">
            <v>AAY</v>
          </cell>
          <cell r="G102" t="str">
            <v>U (Business Support)</v>
          </cell>
        </row>
        <row r="103">
          <cell r="E103" t="str">
            <v>AAY000</v>
          </cell>
          <cell r="G103" t="str">
            <v>Protects the organization's employees, properties and all items of value on premises from any preventable harm or danger | Develops security policies and procedures that comply with government guidelines and standards | Conducts investigations to protect organization assets | Responds to contingency events, including bomb threats, sabotage and severe weather conditions through on-site security force or with the assistance of government law enforcement agencies | Recommends hiring of outside security contractors as necessary and may oversee contract guard force | Responsibilities are within the Security Function as a generalist or in a combination of Disciplines</v>
          </cell>
        </row>
        <row r="104">
          <cell r="E104" t="str">
            <v>AAY000</v>
          </cell>
          <cell r="G104" t="str">
            <v>Match security guards primarily responsible for controlling entry onto premises, logging entry and departure times, issuing security passes, etc., to this discipline.</v>
          </cell>
        </row>
        <row r="105">
          <cell r="E105" t="str">
            <v>AAY002</v>
          </cell>
          <cell r="G105" t="str">
            <v>Guards property against damage, fire, theft, trespassing and illegal entry | Makes periodic tours around buildings and grounds, examining doors, windows and gates to ensure that they are properly secured | Ensures identification of employees or visitors by fingerprinting, photographing, interviewing and preparing badges | Investigates disturbances, may serve as a liaison with police and maintains order and safety of personnel in the event of an emergency | Holds a valid firearms license and carries a firearm at all times when on duty</v>
          </cell>
        </row>
        <row r="106">
          <cell r="E106" t="str">
            <v>AAY002</v>
          </cell>
          <cell r="G106" t="str">
            <v>Match armed security guards to the Business Support Career Band, Career Level U3-Senior or higher.</v>
          </cell>
        </row>
        <row r="107">
          <cell r="E107" t="str">
            <v>AAY003</v>
          </cell>
          <cell r="G107" t="str">
            <v>Guards property against damage, fire, theft, trespassing and illegal entry | Makes periodic tours around buildings and grounds, examining doors, windows and gates to ensure that they are properly secured | Ensures identification of employees or visitors by fingerprinting, photographing, interviewing and preparing badges | Investigates disturbances, may serve as a liaison with police and maintains order and safety of personnel in the event of an emergency</v>
          </cell>
        </row>
        <row r="108">
          <cell r="E108" t="str">
            <v>AAY010</v>
          </cell>
          <cell r="G108" t="str">
            <v>Develops and implements plans and practices to achieve efficient and effective communication and restoration of operations during emergencies | Conducts assessments to identify gaps in business continuity, emergency and disaster recovery plans | Develops and tests infrastructure protection strategies and incident response exercises | Coordinates disaster recovery initiatives and plans with staff and line functions | Develops and coordinates prevention and emergency preparation plans with government safety and security agencies (e.g., police, fire, military)</v>
          </cell>
        </row>
        <row r="109">
          <cell r="E109" t="str">
            <v>AAY999</v>
          </cell>
          <cell r="G109" t="str">
            <v>Responsibilities are within the Security Function but are not described in other Discipline summaries</v>
          </cell>
        </row>
        <row r="110">
          <cell r="E110" t="str">
            <v>ACA</v>
          </cell>
          <cell r="G110" t="str">
            <v>Researches, develops, plans, designs, maintains and implements policies and programs that enhance the organization's relations with the community, the public, government and regulatory authorities, shareholders and employees. Delivers communications through various media. Coordinates dissemination of the organization's communications with news or trade media contacts, through special events, public speaking or other means to reach defined audiences and meet specific program objectives.</v>
          </cell>
        </row>
        <row r="111">
          <cell r="E111" t="str">
            <v>ACA</v>
          </cell>
          <cell r="G111" t="str">
            <v>Match incumbents who design graphics exclusively for the organization's website(s) to the AMK130-Digital Graphic/Visual Design Discipline in the AMK-Marketing Function.</v>
          </cell>
        </row>
        <row r="112">
          <cell r="E112" t="str">
            <v>ACA</v>
          </cell>
          <cell r="G112" t="str">
            <v>Note: The EX Career Band is not applicable in North America. Executives are collected as Executive Benchmarks in North America's Executive Surveys.</v>
          </cell>
        </row>
        <row r="113">
          <cell r="E113" t="str">
            <v>ACA</v>
          </cell>
          <cell r="G113" t="str">
            <v>EX (Executive)</v>
          </cell>
        </row>
        <row r="114">
          <cell r="E114" t="str">
            <v>ACA</v>
          </cell>
          <cell r="G114" t="str">
            <v>M (Supervisory/Management)</v>
          </cell>
        </row>
        <row r="115">
          <cell r="E115" t="str">
            <v>ACA</v>
          </cell>
          <cell r="G115" t="str">
            <v>P (Professional)</v>
          </cell>
        </row>
        <row r="116">
          <cell r="E116" t="str">
            <v>ACA</v>
          </cell>
          <cell r="G116" t="str">
            <v>U (Business Support)</v>
          </cell>
        </row>
        <row r="117">
          <cell r="E117" t="str">
            <v>ACA000</v>
          </cell>
          <cell r="G117" t="str">
            <v>Researches, develops, plans, designs, maintains and implements policies and programs that enhance the organization's relations with the community, the public, government and regulatory authorities, shareholders and employees | Responsibilities are within the Corporate Affairs/Communications Function as a generalist or in a combination of Disciplines</v>
          </cell>
        </row>
        <row r="118">
          <cell r="E118" t="str">
            <v>ACA010</v>
          </cell>
          <cell r="G118" t="str">
            <v>Coordinates media relations and prepares external communications | Plans, prepares and relays information concerning the organization to the press and the wider community to gain understanding and acceptance for the organization | Develops and maintains lines of communication with media contacts and other external audience groups</v>
          </cell>
        </row>
        <row r="119">
          <cell r="E119" t="str">
            <v>ACA020</v>
          </cell>
          <cell r="G119" t="str">
            <v>Develops and maintains a favorable relationship with the surrounding community | Develops and coordinates programs to promote good will by disseminating information to the community and soliciting feedback from residents | Organizes and supports employee volunteer programs and coordinates with local groups | May participate in the organization's charitable giving programs as they affect community initiatives | May represent the organization at community gatherings or forums</v>
          </cell>
        </row>
        <row r="120">
          <cell r="E120" t="str">
            <v>ACA030</v>
          </cell>
          <cell r="G120" t="str">
            <v>Plans and implements efforts to demonstrate the organization's commitment to sustainability, the environment and social responsibility | Coordinates internal and external social responsibility programs and activities with other groups (e.g., Human Resources, Legal, Government Relations, Marketing) | Reviews the impact of the organization's social responsibility programs and activities on key stakeholders (e.g., employees, shareholders, communities)</v>
          </cell>
        </row>
        <row r="121">
          <cell r="E121" t="str">
            <v>ACA040</v>
          </cell>
          <cell r="G121" t="str">
            <v>Prepares, coordinates and oversees the organization's charitable activities | Acts as a liaison with charitable organizations | Determines the types of programs available for employee participation | Provides information to employees concerning various types of charitable organizations and programs</v>
          </cell>
        </row>
        <row r="122">
          <cell r="E122" t="str">
            <v>ACA050</v>
          </cell>
          <cell r="G122" t="str">
            <v>Maintains the organization's ongoing relationships with regulatory commissions/authorities | Coordinates and conducts the assessment of internal controls to ensure compliance as required by regulatory commissions/authorities | Develops programs and processes to manage complaint cases brought to regulatory authorities and develops process improvements to avoid future complaints | Advances organization positions with internal and external parties | Prepares and sponsors testimony to governmental or regulatory agencies</v>
          </cell>
        </row>
        <row r="123">
          <cell r="E123" t="str">
            <v>ACA050</v>
          </cell>
          <cell r="G123" t="str">
            <v>Match incumbents responsible for managing relationships with regulatory authorities to this discipline.</v>
          </cell>
        </row>
        <row r="124">
          <cell r="E124" t="str">
            <v>ACA050</v>
          </cell>
          <cell r="G124" t="str">
            <v>Match incumbents who ensure compliance with government quality regulations and set practices and procedures including Good Practices (GxP), Standard Operating Procedures (SOP), Good Manufacturing Practices (GMP), Good Laboratory Practices (GLP), Good Distribution Practices (GDP), and Good Clinical Practices (GCP) to this discipline.</v>
          </cell>
        </row>
        <row r="125">
          <cell r="E125" t="str">
            <v>ACA060</v>
          </cell>
          <cell r="G125" t="str">
            <v>Develops and implements the organization's positions on environmental policy issues regarding the impact of the organization's operations on water, air and land quality | Designs and implements programs to ensure healthful and safe working conditions and compliance with all environmental regulations, including clean air and hazardous waste disposal, on the organization's premises | Serves as a liaison with external government environmental agencies | Monitors programs and maintains up-to-date records required by environmental permits to ensure government compliance</v>
          </cell>
        </row>
        <row r="126">
          <cell r="E126" t="str">
            <v>ACA063</v>
          </cell>
          <cell r="G126" t="str">
            <v>Coordinates the development, implementation and administration of policies and procedures to ensure the protection of personal data in compliance with organization and regulatory requirements | Collaborates with Legal and IT departments in order to identify personal data risks and to establish procedures to eliminate these risks | Monitors procedures related to the collection, storage, retrieval and disclosure of personal data | Identifies and follows up on data protection issues that require investigation, resolution and/or legal action | Plans and conducts personal data compliance training programs | May provide professional legal advice regarding personal data privacy</v>
          </cell>
        </row>
        <row r="127">
          <cell r="E127" t="str">
            <v>ACA064</v>
          </cell>
          <cell r="G127" t="str">
            <v>Develops, implements and administers policies and procedures to ensure the quality and protection of organizational data, in compliance with strategic priorities along with regulatory requirements, to minimize risk to the organization | Works with leadership to help define specific roles and responsibilities related to the organization's data assets | Develops and maintains rules and policies regarding the organization's data and access restrictions</v>
          </cell>
        </row>
        <row r="128">
          <cell r="E128" t="str">
            <v>ACA065</v>
          </cell>
          <cell r="G128" t="str">
            <v>Plans, implements and maintains the organization's sustainability programs to reduce the use of nonrenewable resources and minimize the environmental impact of operations | Communicates the organization's sustainability vision and program information | Monitors and facilitates progress of sustainability programs consistent with strategies, goals, measurements and reporting standards</v>
          </cell>
        </row>
        <row r="129">
          <cell r="E129" t="str">
            <v>ACA070</v>
          </cell>
          <cell r="G129" t="str">
            <v>Develops and maintains policies and programs to ensure organizational awareness of government legislation and/or regulatory issues that affect the organization and respond to same | Ensures that the organization's interests are represented and protected in legislative proceedings and in the development of market rules and procedures | Prepares and organizes forums and gatherings with government officials to exchange ideas and information on business activities and potential legislation that may affect the organization | Acts as a resource on regulatory matters with regard to product changes</v>
          </cell>
        </row>
        <row r="130">
          <cell r="E130" t="str">
            <v>ACA070</v>
          </cell>
          <cell r="G130" t="str">
            <v>Match incumbents responsible for managing relationships with elected officials (e.g., legislators, governors) and their staffs to this discipline.</v>
          </cell>
        </row>
        <row r="131">
          <cell r="E131" t="str">
            <v>ACA080</v>
          </cell>
          <cell r="G131" t="str">
            <v>Represents the organization to the local and/or national government on proposed legislation that is of vital concern to the organization and customers | Develops and maintains credible and professional relationships with legislatures, government leaders and/or national agencies, their assistants and staff</v>
          </cell>
        </row>
        <row r="132">
          <cell r="E132" t="str">
            <v>ACA090</v>
          </cell>
          <cell r="G132" t="str">
            <v>Maintains and improves relations and communications between the organization and the investing public, shareholders and financial professionals to enhance the standing of the organization's stock and debt | Develops, maintains and enhances working relationships with institutions in the financial community that hold, or may hold, the organization's stock or debt | Monitors changes and trends in investment markets and determines appropriate strategy</v>
          </cell>
        </row>
        <row r="133">
          <cell r="E133" t="str">
            <v>ACA100</v>
          </cell>
          <cell r="G133" t="str">
            <v>Develops and coordinates lines of communication within the organization among employees | Implements policies and programs to increase employee awareness and knowledge of activities affecting employees</v>
          </cell>
        </row>
        <row r="134">
          <cell r="E134" t="str">
            <v>ACA110</v>
          </cell>
          <cell r="G134" t="str">
            <v>Develops creative, clear-written material in support of the organization's communications strategies | Plans, develops, and publishes internal or external communications (e.g., newsletters, brochures, manuals, website content) | Develops and maintains the organization's style guide, including editorial standards and policies</v>
          </cell>
        </row>
        <row r="135">
          <cell r="E135" t="str">
            <v>ACA110</v>
          </cell>
          <cell r="G135" t="str">
            <v>Match incumbents who write copy for any communication medium (e.g., printed brochure and newsletters as well as websites) to this discipline.</v>
          </cell>
        </row>
        <row r="136">
          <cell r="E136" t="str">
            <v>ACA120</v>
          </cell>
          <cell r="G136" t="str">
            <v>Develops and maintains graphic designs (e.g., art, color themes, photographs, web pages), audio and video to support the organization's image, identity and brands | Develops and maintains the organization's graphics standards, techniques and methods | Develops the organization's website design and layout</v>
          </cell>
        </row>
        <row r="137">
          <cell r="E137" t="str">
            <v>ACA120</v>
          </cell>
          <cell r="G137" t="str">
            <v>Match incumbents who design graphics for any communication medium (e.g., printed brochure and newsletters as well as websites) to this discipline.</v>
          </cell>
        </row>
        <row r="138">
          <cell r="E138" t="str">
            <v>ACA140</v>
          </cell>
          <cell r="G138" t="str">
            <v>Translates written material (e.g., newsletters, brochures, manuals, website content) in support of the organization's communications strategies | Ensures content accuracy and style interpretation of translations in accordance with the organization's editorial and style guidelines | Ensures that graphic images, symbols and colors are acceptable with local cultural and language standards while adhering to the organization's stylistic guidelines | May interpret for organization management during internal and external meetings, business negotiations, presentations, etc., to facilitate communications between foreign and local employees of the organization, local authorities and business partners</v>
          </cell>
        </row>
        <row r="139">
          <cell r="E139" t="str">
            <v>ACA190</v>
          </cell>
          <cell r="G139" t="str">
            <v>Develops, plans, designs and implements fundraising programs within a not-for-profit organization | Cultivates and solicits new funding opportunities and development strategies for a broader base of donors | Identifies potential grant opportunities and oversees the preparation of proposals</v>
          </cell>
        </row>
        <row r="140">
          <cell r="E140" t="str">
            <v>ACA191</v>
          </cell>
          <cell r="G140" t="str">
            <v>Identifies, creates and nurtures lasting relationships with high net worth individuals who could be a source of large donations</v>
          </cell>
        </row>
        <row r="141">
          <cell r="E141" t="str">
            <v>ACA192</v>
          </cell>
          <cell r="G141" t="str">
            <v>Develops, plans, designs and implements the organization's program to attract, retain and serve its members | Establishes membership policies and practices</v>
          </cell>
        </row>
        <row r="142">
          <cell r="E142" t="str">
            <v>ACA200</v>
          </cell>
          <cell r="G142" t="str">
            <v>Represents the organization on a variety of interconnection issues with other telecommunications operators regarding interconnection, usage, rates and tariffs | Builds and maintains effective relationships and a high level of satisfaction with other telecommunications operators to increase the organization's total revenues | Coordinates with engineers, accountants, economists and other quantitative professionals in the development of risk analyses, rates and tariffs, regulatory and business strategies, budgets and interorganization billing</v>
          </cell>
        </row>
        <row r="143">
          <cell r="E143" t="str">
            <v>ACA210</v>
          </cell>
          <cell r="G143" t="str">
            <v>Coordinates and monitors the organization's compliance with court ordered or legally mandated surveillance of private communications by governmental security or law enforcement agencies | Collaborates with external services and internal resources to ensure mitigation of business risks and compliance with applicable laws and regulations</v>
          </cell>
        </row>
        <row r="144">
          <cell r="E144" t="str">
            <v>ACA300</v>
          </cell>
          <cell r="G144" t="str">
            <v>Facilitates communication between the organization's corporate office and its retail stores and/or franchises of corporate initiatives/goals and store/franchise-level issues | Supports the organization's retail stores and/or franchises by developing material and methods to help them communicate with their customers | Develops and introduce programs that support retail development and operations and stores/franchises' goals, including program to increase revenue and enhance operational efficiencies</v>
          </cell>
        </row>
        <row r="145">
          <cell r="E145" t="str">
            <v>ACA999</v>
          </cell>
          <cell r="G145" t="str">
            <v>Responsibilities are within the Corporate Affairs/Communications Function but are not described in other Discipline summaries</v>
          </cell>
        </row>
        <row r="146">
          <cell r="E146" t="str">
            <v>ACD</v>
          </cell>
          <cell r="G146" t="str">
            <v>Develops the organization's strategic plan(s) to ensure its continued successful growth and profitability. Conducts environmental scans, organization positioning analyses and other studies. Identifies, investigates, evaluates and negotiates acquisitions/divestitures, licensing opportunities and strategic business alliances that are in line with the organization's long-range goals.</v>
          </cell>
        </row>
        <row r="147">
          <cell r="E147" t="str">
            <v>ACD</v>
          </cell>
          <cell r="G147" t="str">
            <v>Match incumbents who initiate, develop and recommend business process improvements and/or process reengineering to the AQY020-Business Process Improvement Discipline in the AQY-Quality Assurance Methods Function.</v>
          </cell>
        </row>
        <row r="148">
          <cell r="E148" t="str">
            <v>ACD</v>
          </cell>
          <cell r="G148" t="str">
            <v>Note: The EX Career Band is not applicable in North America. Executives are collected as Executive Benchmarks in North America's Executive Surveys.</v>
          </cell>
        </row>
        <row r="149">
          <cell r="E149" t="str">
            <v>ACD</v>
          </cell>
          <cell r="G149" t="str">
            <v>EX (Executive)</v>
          </cell>
        </row>
        <row r="150">
          <cell r="E150" t="str">
            <v>ACD</v>
          </cell>
          <cell r="G150" t="str">
            <v>M (Supervisory/Management)</v>
          </cell>
        </row>
        <row r="151">
          <cell r="E151" t="str">
            <v>ACD</v>
          </cell>
          <cell r="G151" t="str">
            <v>P (Professional)</v>
          </cell>
        </row>
        <row r="152">
          <cell r="E152" t="str">
            <v>ACD000</v>
          </cell>
          <cell r="G152" t="str">
            <v>Performs strategic planning and corporate development | Develops the organization's strategic plan(s) to ensure its continued successful growth and profitability | Identifies, investigates, evaluates and negotiates acquisitions/divestitures, licensing opportunities and strategic business alliances that are in line with the organization's long-range goals | Responsibilities are within the Strategic Planning/Corporate Development Function as a generalist or in a combination of Disciplines</v>
          </cell>
        </row>
        <row r="153">
          <cell r="E153" t="str">
            <v>ACD010</v>
          </cell>
          <cell r="G153" t="str">
            <v>Develops the organization's strategic plan(s) to ensure its continued successful growth and profitability | Conducts environmental scans, organizational positioning analyses and other studies | Coordinates input from all major business units to facilitate the integration of individual business unit plans with the corporate plan | Connects strategy with business operations, drawing from disciplines such as strategy development, business analysis, process management, operations and systems analysis | May conduct or facilitate periodic reviews of achievements and performance vs. strategic plans</v>
          </cell>
        </row>
        <row r="154">
          <cell r="E154" t="str">
            <v>ACD016</v>
          </cell>
          <cell r="G154" t="str">
            <v>Researches, brainstorms and proposes the introduction of digital products, services and/or e-business platforms | Defines scope, cost and benefits of digital initiative | Maintains in-depth knowledge of current and emerging digital technology | Oversees the implementation of new digital e-business options and ensures the growth of revenues and productivity savings through the implementation of digital business initiatives | Monitors the organization's digital options across its target markets to ensure consistency and alignment with the organization's digital strategy</v>
          </cell>
        </row>
        <row r="155">
          <cell r="E155" t="str">
            <v>ACD018</v>
          </cell>
          <cell r="G155" t="str">
            <v>Carries out projects in relation to a major activity, such as aligning two organizations following a merger or acquisition, the sale of a large part of the organization, a cultural/strategic change of direction, organizational transformation or ongoing process improvements to improve the effectiveness and efficiency of the organization | Creates and implements change management strategies and plans that maximize employee adoption and usage and minimize resistance | May use tools such as Lean Business, Six Sigma or equivalent methodologies</v>
          </cell>
        </row>
        <row r="156">
          <cell r="E156" t="str">
            <v>ACD020</v>
          </cell>
          <cell r="G156" t="str">
            <v>Performs corporate development and licensing in a combined role | Identifies, investigates, evaluates and negotiates acquisitions/divestitures, licensing opportunities and strategic business alliances that are in line with the organization's long-range goals | Conducts financial feasibility studies and appropriate due diligence to ensure the reliability of information provided by third parties | Develops proposals for new business and licensing opportunities in both new and existing markets | Identifies, analyzes and compares alternative opportunities for entering new markets and adopting new technologies</v>
          </cell>
        </row>
        <row r="157">
          <cell r="E157" t="str">
            <v>ACD030</v>
          </cell>
          <cell r="G157" t="str">
            <v>Plans and executes strategies to meet organization's long-range goals including acquisitions/divestitures and strategic business alliances | Evaluates and develops new market initiatives and analyzes business opportunities in both new and existing markets | Develops proposals, including feasibility studies, for new business opportunities | Identifies, analyzes and compares alternative opportunities for entering new markets and adopting new technologies</v>
          </cell>
        </row>
        <row r="158">
          <cell r="E158" t="str">
            <v>ACD035</v>
          </cell>
          <cell r="G158" t="str">
            <v>Provides strategic advice and mentorship to start-up companies and directs them to the relevant resources (e.g., legal support) and industry leaders from the parent company | May be involved in the investment decision making process as well as onboarding the start-up companies into the organization</v>
          </cell>
        </row>
        <row r="159">
          <cell r="E159" t="str">
            <v>ACD040</v>
          </cell>
          <cell r="G159" t="str">
            <v>Identifies, investigates, analyzes and negotiates licensing opportunities to grant or receive permission to use intellectual property rights, including trademarks, patents or technology | Engages in the transfer, use, development, manufacture and marketing of intellectual property; may participate in contract negotiations for licensing opportunities | Typically maintains portfolios of patents held by the organization</v>
          </cell>
        </row>
        <row r="160">
          <cell r="E160" t="str">
            <v>ACD050</v>
          </cell>
          <cell r="G160" t="str">
            <v>Identifies, researches, analyzes, makes recommendations and negotiates potential mergers, acquisitions and divestitures to support the organization's growth objectives | Makes recommendations regarding the impact of possible mergers, acquisitions and divestitures on the organization's profitability | Conducts appropriate due diligence to ensure the reliability of information provided by potential acquisition targets</v>
          </cell>
        </row>
        <row r="161">
          <cell r="E161" t="str">
            <v>ACD060</v>
          </cell>
          <cell r="G161" t="str">
            <v>Identifies, investigates, analyzes, negotiates and forms third-party strategic alliances to create mutually beneficial business partnerships/arrangements | Negotiates terms that maintain the organization's brand integrity and value while leveraging alliance partners' resources | Creates and executes partnership terms and collaborates with partners to present a unified solution to mutual clients | Coordinates communications with alliance partners and ensures all deliverables are met according to the partnership agreements</v>
          </cell>
        </row>
        <row r="162">
          <cell r="E162" t="str">
            <v>ACD070</v>
          </cell>
          <cell r="G162" t="str">
            <v>Optimizes product availability and yield in order to maximize revenue growth | Studies consumer behavior through KPI's and other disciplined analytics in order to optimize prices, cost, sales volume and/or yield from available product resources | Coordinates with other areas, including marketing, sales, pricing and distribution channel management</v>
          </cell>
        </row>
        <row r="163">
          <cell r="E163" t="str">
            <v>ACD080</v>
          </cell>
          <cell r="G163" t="str">
            <v>Responsible for the generation, collection, evaluation, selection and development of innovative ideas that address new or latent market needs | Uses various innovation techniques (brainstorming, design thinking, lean, prototyping, rapid experimentation) to anticipate future trends and refine business ideas or processes | Defines, plans and manages the organization's innovation strategy | May be responsible for the identification, evaluation and on-boarding of business partners in connection with specific use case scenarios</v>
          </cell>
        </row>
        <row r="164">
          <cell r="E164" t="str">
            <v>ACD999</v>
          </cell>
          <cell r="G164" t="str">
            <v>Responsibilities are within the Strategic Planning/Corporate Development Function but are not described in other Discipline summaries</v>
          </cell>
        </row>
        <row r="165">
          <cell r="E165" t="str">
            <v>AEM</v>
          </cell>
          <cell r="G165" t="str">
            <v>Extracts knowledge and insights from data in order to investigate complex business problems through a range of data preparation, modeling, analysis and/or visualization techniques, including predictive analysis, business intelligence, pattern recognition, operational effectiveness and/or economic forecasting. Key skills include data analysis techniques (e.g., A/B testing, association rule learning, cluster analysis, pattern recognition and predictive modeling), data analysis and visualization software (e.g., Domo, Looker, PowerBI, Qlik, Tableau, SiSense), object-oriented programming languages (Java, Python, R, Ruby, Scala, C++) and/or data engineering skills (relational or NoSQL databases, ETL tools).</v>
          </cell>
        </row>
        <row r="166">
          <cell r="E166" t="str">
            <v>AEM</v>
          </cell>
          <cell r="G166" t="str">
            <v>Match entry-level incumbents with a Ph.D. degree to P3-Career Level.</v>
          </cell>
        </row>
        <row r="167">
          <cell r="E167" t="str">
            <v>AEM</v>
          </cell>
          <cell r="G167" t="str">
            <v>Match incumbents responsible for creating linkages between databases to this function. Match incumbents responsible for building databases and database systems to the AID-IT Development Function.</v>
          </cell>
        </row>
        <row r="168">
          <cell r="E168" t="str">
            <v>AEM</v>
          </cell>
          <cell r="G168" t="str">
            <v>Match incumbents responsible for "big data analytics," general business intelligence or who work within a Business Intelligence or Analytics Department to this function. Match incumbents responsible for analytics within a specific function (e.g., AMK-Marketing) to the appropriate discipline within that function.</v>
          </cell>
        </row>
        <row r="169">
          <cell r="E169" t="str">
            <v>AEM</v>
          </cell>
          <cell r="G169" t="str">
            <v>Match incumbents who initiate, develop and recommend business process improvements and/or process reengineering to the AQY020-Business Process Improvement Discipline in the AQY-Quality Assurance Methods Function.</v>
          </cell>
        </row>
        <row r="170">
          <cell r="E170" t="str">
            <v>AEM</v>
          </cell>
          <cell r="G170" t="str">
            <v>Note: The EX Career Band is not applicable in North America. Executives are collected as Executive Benchmarks in North America's Executive Surveys.</v>
          </cell>
        </row>
        <row r="171">
          <cell r="E171" t="str">
            <v>AEM</v>
          </cell>
          <cell r="G171" t="str">
            <v>EX (Executive)</v>
          </cell>
        </row>
        <row r="172">
          <cell r="E172" t="str">
            <v>AEM</v>
          </cell>
          <cell r="G172" t="str">
            <v>M (Supervisory/Management)</v>
          </cell>
        </row>
        <row r="173">
          <cell r="E173" t="str">
            <v>AEM</v>
          </cell>
          <cell r="G173" t="str">
            <v>P (Professional)</v>
          </cell>
        </row>
        <row r="174">
          <cell r="E174" t="str">
            <v>AEM000</v>
          </cell>
          <cell r="G174" t="str">
            <v>Extracts knowledge and insights from high volume, high dimensional data in order to investigate complex business problems through a range of data preparation, modeling, analysis and/or visualization techniques, which may include the use of advanced statistical analysis, algorithms, predictive modeling, experimentation and pattern recognition to create solutions that enable enhanced business performance | Typically uses existing data platforms and tools (ERP/CRM systems, relational or NoSQL databases, data analysis and visualization software) but may also use object-oriented programming to develop own scripts and visualizations</v>
          </cell>
        </row>
        <row r="175">
          <cell r="E175" t="str">
            <v>AEM000</v>
          </cell>
          <cell r="G175" t="str">
            <v>Match data scientists to this discipline.</v>
          </cell>
        </row>
        <row r="176">
          <cell r="E176" t="str">
            <v>AEM020</v>
          </cell>
          <cell r="G176" t="str">
            <v>Collects, analyzes and reports management data to support decisions on day-to-day operations, strategic planning and specific business performance issues and improvements | Uses data to obtain quantifiable economic benefit to accrue market share, revenue or cost savings (internal monetization) | Collates, models, interprets and analyzes data; explains variances and trends | Identifies and documents enhancements to modeling techniques</v>
          </cell>
        </row>
        <row r="177">
          <cell r="E177" t="str">
            <v>AEM050</v>
          </cell>
          <cell r="G177" t="str">
            <v>Retrieves, analyzes and summarizes business, operations, customer and/or economic data in order to develop business intelligence, optimize effectiveness and/or predict business outcomes | Identifies, analyzes, and interprets trends or patterns and prepares ongoing reports and data visualizations (e.g., charts, dashboards, heat maps) in order to support business decisions | Typically uses dedicated business intelligence applications and/or cloud services (e.g., Domo, Looker, PowerBI, Qlik, Tableau, SiSense), but may also leverage the reporting capabilities of existing ERP, CRM and/or database software vendors (e.g., Oracle BI, Salesforce, SAP Business Objects, Pentaho, SSRS)</v>
          </cell>
        </row>
        <row r="178">
          <cell r="E178" t="str">
            <v>AEM060</v>
          </cell>
          <cell r="G178" t="str">
            <v>Applies data extraction, transformation and loading techniques in order to connect large data sets from a variety of sources | Creates data collection frameworks for structured and unstructured data | Develops and maintains infrastructure systems (e.g., data warehouses, data lakes) including data access APIs | Prepares and manipulates data using Hadoop or equivalent MapReduce platform</v>
          </cell>
        </row>
        <row r="179">
          <cell r="E179" t="str">
            <v>AEM080</v>
          </cell>
          <cell r="G179" t="str">
            <v>Constructs, studies and trains algorithms that can learn from complex, high dimensionality data in order to uncover patterns from which practical and usable predictive models and applications can be developed | Uses a variety of techniques (e.g., random forests, deep learning, generative modeling, neural network memory) in order to improve the predictive capability of individual natural language processing and/or machine perception algorithms</v>
          </cell>
        </row>
        <row r="180">
          <cell r="E180" t="str">
            <v>AEM080</v>
          </cell>
          <cell r="G180" t="str">
            <v>Match incumbents who focus on the programming of artificial intelligence applications to the AID140-Artificial Intelligence (AI) Applications Discipline.</v>
          </cell>
        </row>
        <row r="181">
          <cell r="E181" t="str">
            <v>AEM999</v>
          </cell>
          <cell r="G181" t="str">
            <v>Responsibilities are within the Data Science and Business Intelligence Function but are not described in other Discipline summaries</v>
          </cell>
        </row>
        <row r="182">
          <cell r="E182" t="str">
            <v>AFA</v>
          </cell>
          <cell r="G182" t="str">
            <v>Develops, implements and maintains the financial plans and policies of the organization. Establishes fiscal controls, prepares financial reports, maintains relations with investment and banking communities, advises management of financial affairs and assists in long-range planning.</v>
          </cell>
        </row>
        <row r="183">
          <cell r="E183" t="str">
            <v>AFA</v>
          </cell>
          <cell r="G183" t="str">
            <v>Match incumbents with responsibilities that span two or more of the finance related functions to this function.</v>
          </cell>
        </row>
        <row r="184">
          <cell r="E184" t="str">
            <v>AFA</v>
          </cell>
          <cell r="G184" t="str">
            <v>Match incumbents with responsibilities that span two or more of the Finance Functions, AFB-Accounting, AFP-Business Unit Control, AFT-Financial Analysis and Tax, AFU-Audit and Financial/Business Controls, AFY-Risk Management and AFZ-Credit Policy/Administration and Collection, to the AFA-Finance Function.</v>
          </cell>
        </row>
        <row r="185">
          <cell r="E185" t="str">
            <v>AFA</v>
          </cell>
          <cell r="G185" t="str">
            <v>Note: The EX Career Band is not applicable in North America. Executives are collected as Executive Benchmarks in North America's Executive Surveys.</v>
          </cell>
        </row>
        <row r="186">
          <cell r="E186" t="str">
            <v>AFA</v>
          </cell>
          <cell r="G186" t="str">
            <v>EX (Executive)</v>
          </cell>
        </row>
        <row r="187">
          <cell r="E187" t="str">
            <v>AFA</v>
          </cell>
          <cell r="G187" t="str">
            <v>M (Supervisory/Management)</v>
          </cell>
        </row>
        <row r="188">
          <cell r="E188" t="str">
            <v>AFA</v>
          </cell>
          <cell r="G188" t="str">
            <v>P (Professional)</v>
          </cell>
        </row>
        <row r="189">
          <cell r="E189" t="str">
            <v>AFA</v>
          </cell>
          <cell r="G189" t="str">
            <v>U (Business Support)</v>
          </cell>
        </row>
        <row r="190">
          <cell r="E190" t="str">
            <v>AFA000</v>
          </cell>
          <cell r="G190" t="str">
            <v>Performs a variety of financial activities, including accounting, financial analysis, audit, tax, credit and collections | Develops and evaluates financial plans and policies | Establishes and maintains accounting, financial, and reporting policies and controls</v>
          </cell>
        </row>
        <row r="191">
          <cell r="E191" t="str">
            <v>AFA000</v>
          </cell>
          <cell r="G191" t="str">
            <v>Match CFOs (Chief Financial Officers) to this discipline and the Executive Career Band.</v>
          </cell>
        </row>
        <row r="192">
          <cell r="E192" t="str">
            <v>AFA999</v>
          </cell>
          <cell r="G192" t="str">
            <v>Responsibilities are within the Finance Function but are not described in other Discipline summaries</v>
          </cell>
        </row>
        <row r="193">
          <cell r="E193" t="str">
            <v>AFB</v>
          </cell>
          <cell r="G193" t="str">
            <v>Establishes and maintains accounting policies and controls, fiscal controls, preparing financial reports and safeguarding the organization's assets. Maintains accounting and financial records and reports, including general ledger, financial statements, regulatory and management reports.</v>
          </cell>
        </row>
        <row r="194">
          <cell r="E194" t="str">
            <v>AFB</v>
          </cell>
          <cell r="G194" t="str">
            <v>Match incumbents responsible for high-volume billing (e.g., electric or telecom service or credit card billing) to the AMS030-High Volume Customer Billing Discipline in the AMS-Customer Support/Operations Function.</v>
          </cell>
        </row>
        <row r="195">
          <cell r="E195" t="str">
            <v>AFB</v>
          </cell>
          <cell r="G195" t="str">
            <v>Match incumbents responsible for high-volume billing (e.g., electric or telecom service or credit card billing) to the AMS030-High Volume Customer Billing Discipline in the AMS-Customer Support/Operations Function; incumbents responsible for Accounts Receivable may be responsible for low-volume billing.</v>
          </cell>
        </row>
        <row r="196">
          <cell r="E196" t="str">
            <v>AFB</v>
          </cell>
          <cell r="G196" t="str">
            <v>Match incumbents with responsibilities that span two or more of the finance related functions to the AFA-Finance Function.</v>
          </cell>
        </row>
        <row r="197">
          <cell r="E197" t="str">
            <v>AFB</v>
          </cell>
          <cell r="G197" t="str">
            <v>Match incumbents with responsibilities that span two or more of the Finance Functions, AFB-Accounting, AFP-Business Unit Control, AFT-Financial Analysis and Tax, AFU-Audit and Financial/Business Controls, AFY-Risk Management and AFZ-Credit Policy/Administration and Collection, to the AFA-Finance Function.</v>
          </cell>
        </row>
        <row r="198">
          <cell r="E198" t="str">
            <v>AFB</v>
          </cell>
          <cell r="G198" t="str">
            <v>Match incumbents with responsibilities that span two or more of the Finance Functions, AFB-Accounting, AFT-Financial Analysis and Tax, AFU-Audit and Financial/Business Controls and AFY-Risk Management, to the AFA-Finance Function.</v>
          </cell>
        </row>
        <row r="199">
          <cell r="E199" t="str">
            <v>AFB</v>
          </cell>
          <cell r="G199" t="str">
            <v>Note: The EX Career Band is not applicable in North America. Executives are collected as Executive Benchmarks in North America's Executive Surveys.</v>
          </cell>
        </row>
        <row r="200">
          <cell r="E200" t="str">
            <v>AFB</v>
          </cell>
          <cell r="G200" t="str">
            <v>EX (Executive)</v>
          </cell>
        </row>
        <row r="201">
          <cell r="E201" t="str">
            <v>AFB</v>
          </cell>
          <cell r="G201" t="str">
            <v>M (Supervisory/Management)</v>
          </cell>
        </row>
        <row r="202">
          <cell r="E202" t="str">
            <v>AFB</v>
          </cell>
          <cell r="G202" t="str">
            <v>P (Professional)</v>
          </cell>
        </row>
        <row r="203">
          <cell r="E203" t="str">
            <v>AFB</v>
          </cell>
          <cell r="G203" t="str">
            <v>U (Business Support)</v>
          </cell>
        </row>
        <row r="204">
          <cell r="E204" t="str">
            <v>AFB000</v>
          </cell>
          <cell r="G204" t="str">
            <v>Establishes and maintains accounting policies and controls, fiscal controls, preparing financial reports and safeguarding the organization's assets | Responsibilities are within the Accounting Function as a generalist or in a combination of Disciplines</v>
          </cell>
        </row>
        <row r="205">
          <cell r="E205" t="str">
            <v>AFB000</v>
          </cell>
          <cell r="G205" t="str">
            <v>Match Financial Controllers to this discipline.</v>
          </cell>
        </row>
        <row r="206">
          <cell r="E206" t="str">
            <v>AFB010</v>
          </cell>
          <cell r="G206" t="str">
            <v>Performs general accounting activities, including the preparation, maintenance and reconciliation of ledger accounts and financial statements such as balance sheets, profit-and-loss statements and capital expenditure schedules | Prepares, records, analyzes and reports accounting transactions and ensures the integrity of accounting records for completeness, accuracy and compliance with accepted accounting policies and principles | Provides financial support, including forecasting, budgeting and analyzing variations from budget | Analyzes and prepares statutory accounts, financial statements and reports | Conducts or assists in the documentation of accounting projects</v>
          </cell>
        </row>
        <row r="207">
          <cell r="E207" t="str">
            <v>AFB010</v>
          </cell>
          <cell r="G207" t="str">
            <v>Match incumbents focused on fund accounting and depository services within hedge fund services to this discipline.</v>
          </cell>
        </row>
        <row r="208">
          <cell r="E208" t="str">
            <v>AFB010</v>
          </cell>
          <cell r="G208" t="str">
            <v>Indicate the incumbent's area of specialization/focus by selecting a Modifier.</v>
          </cell>
        </row>
        <row r="209">
          <cell r="E209" t="str">
            <v>AFB015</v>
          </cell>
          <cell r="G209" t="str">
            <v>Performs detailed review, design, development and implementation of financial systems (both manual and computerized), systems documentation and procedures/instructions | Possesses broad financial knowledge and works closely with other disciplines (e.g., accountants, tax, treasury) | Liaises closely with colleagues in information technology | Plays a key role in ensuring systems operate effectively</v>
          </cell>
        </row>
        <row r="210">
          <cell r="E210" t="str">
            <v>AFB020</v>
          </cell>
          <cell r="G210" t="str">
            <v>Prepares and distributes periodic financial statements for users other than those directly employed by the organization | Ensures all reports and disclosures comply with applicable government regulations, professional standards and organization policies | Prepares consolidation journal entries, eliminates interorganization transactions and consolidates divisional and subsidiary financial accounts in a timely and accurate basis for inclusion in internal and external financial statements</v>
          </cell>
        </row>
        <row r="211">
          <cell r="E211" t="str">
            <v>AFB030</v>
          </cell>
          <cell r="G211" t="str">
            <v>Conducts extensive research regarding the impact to financial statements of potential changes to accounting rules proposed by accounting standards setters and advises senior management regarding same | Develops, implements and communicates new policies and processes to comply with newly issued accounting standards | Provides accounting guidance related to proposed transactions to ensure conformity with local country Generally Accepted Accounting Principles, International Financial Reporting Standards, and organization policies and procedures | Ensures that relevant accounting standards are appropriately and consistently applied</v>
          </cell>
        </row>
        <row r="212">
          <cell r="E212" t="str">
            <v>AFB030</v>
          </cell>
          <cell r="G212" t="str">
            <v>Match incumbents who research accounting and financial reporting standards and regulations such as Sarbanes-Oxley (SOX), 8th Company Law Directive, Basel II and Markets in Financial Instruments Directive (MiFID) to support the organization's financial records compliance with same to this discipline.</v>
          </cell>
        </row>
        <row r="213">
          <cell r="E213" t="str">
            <v>AFB040</v>
          </cell>
          <cell r="G213" t="str">
            <v>Prepares, records, analyzes and reports on the cost of producing the organization's products and services | Analyzes capital budget requests | Maintains ledgers and financial statements</v>
          </cell>
        </row>
        <row r="214">
          <cell r="E214" t="str">
            <v>AFB050</v>
          </cell>
          <cell r="G214" t="str">
            <v>Performs bookkeeping, data entry and verification procedures | Prepares and maintains records of amounts owed or receivable</v>
          </cell>
        </row>
        <row r="215">
          <cell r="E215" t="str">
            <v>AFB060</v>
          </cell>
          <cell r="G215" t="str">
            <v>Prepares, records, verifies, analyzes and reports accounts payable/receivable transactions | Pays vendor invoices and receives and posts customer payments on a timely basis | Maintains and reconciles accounts payable/receivable ledger accounts, financial statements and reports | Prepares analyses and reconciliations of bill runs to detect fraud | Ensures that transaction entry verification procedures are followed | May prepare and deliver low-volume customer billing and respond to resulting queries</v>
          </cell>
        </row>
        <row r="216">
          <cell r="E216" t="str">
            <v>AFB060</v>
          </cell>
          <cell r="G216" t="str">
            <v>Match incumbents responsible for low-volume billing to this discipline.</v>
          </cell>
        </row>
        <row r="217">
          <cell r="E217" t="str">
            <v>AFB061</v>
          </cell>
          <cell r="G217" t="str">
            <v>Prepares, records, verifies and pays vendor invoices for goods and services on a timely basis and responds to vendor queries | Maintains, analyzes and reconciles accounts payable ledger accounts, financial statements and reports | Develops, directs, plans and evaluates accounts payable policies and procedures, and ensures external and internal controls and policies are adhered to | May process employee expenses reimbursement requests for payment</v>
          </cell>
        </row>
        <row r="218">
          <cell r="E218" t="str">
            <v>AFB062</v>
          </cell>
          <cell r="G218" t="str">
            <v>Prepares, records, verifies, analyzes and reports accounts receivable transactions, and posts customer payments on a timely basis | Maintains and reconciles accounts receivable ledger accounts, financial statements and reports | Develops, directs, plans and evaluates accounts receivable policies and procedures, and ensures external and internal controls and policies are adhered to | Produces reports of accounts that are in arrears and analyses of bad debt, and prepares analyses and reconciliations of bill runs to detect fraud | May be responsible for low-volume customer billing, including preparation, delivery and responding to resulting queries</v>
          </cell>
        </row>
        <row r="219">
          <cell r="E219" t="str">
            <v>AFB070</v>
          </cell>
          <cell r="G219" t="str">
            <v>Prepares, documents and disburses payroll checks, payroll taxes and employee benefit payments | Evaluates current systems, and recommends and develops operating efficiency improvements | Monitors and ensures proper documentation of employee benefit payments | Prepares reports illustrating payroll expenditures, including such items as tax payments and benefit plan disbursements</v>
          </cell>
        </row>
        <row r="220">
          <cell r="E220" t="str">
            <v>AFB070</v>
          </cell>
          <cell r="G220" t="str">
            <v>Match incumbents responsible for payroll to this discipline even if they are part of the Human Resources organization.</v>
          </cell>
        </row>
        <row r="221">
          <cell r="E221" t="str">
            <v>AFB110</v>
          </cell>
          <cell r="G221" t="str">
            <v>Oversees financial operations for one or more projects, including cost accounting, cash flow, budgeting, forecasting, analysis, accounts payable and payroll | Establishes project budgeting and cost control processes using budget tracking tools | Produces and maintains monthly financial statements, work-in-progress reports and general ledgers | Reviews and signs off on final accounts for projects | May maintain local registrations, business and tax licenses</v>
          </cell>
        </row>
        <row r="222">
          <cell r="E222" t="str">
            <v>AFB700</v>
          </cell>
          <cell r="G222" t="str">
            <v>Ensures correct royalty payments are made to third parties in line with the organization's commitments | Prepares royalty forecasts and budgets, and coordinates reporting of royalty payments | Analyzes the impact of royalty payments on the organization</v>
          </cell>
        </row>
        <row r="223">
          <cell r="E223" t="str">
            <v>AFB999</v>
          </cell>
          <cell r="G223" t="str">
            <v>Responsibilities are within the Accounting Function but are not described in other Discipline summaries</v>
          </cell>
        </row>
        <row r="224">
          <cell r="E224" t="str">
            <v>AFC</v>
          </cell>
          <cell r="G224" t="str">
            <v>Minimizes financial risk to the organization by assessing and advising on creditworthiness of prospective and existing customers. Negotiates and advises on collection of overdue bills and takes appropriate action to recover overdue payments.</v>
          </cell>
        </row>
        <row r="225">
          <cell r="E225" t="str">
            <v>AFC</v>
          </cell>
          <cell r="G225" t="str">
            <v>Match incumbents responsible for high-volume billing (e.g., electric or telecom service or credit card billing) to the AMS030-High Volume Customer Billing Discipline in the AMS-Customer Support/Operations Function.</v>
          </cell>
        </row>
        <row r="226">
          <cell r="E226" t="str">
            <v>AFC</v>
          </cell>
          <cell r="G226" t="str">
            <v>Match incumbents with responsibilities that span two or more of the finance related functions to the AFA-Finance Function.</v>
          </cell>
        </row>
        <row r="227">
          <cell r="E227" t="str">
            <v>AFC</v>
          </cell>
          <cell r="G227" t="str">
            <v>Note: The EX Career Band is not applicable in North America. Executives are collected as Executive Benchmarks in North America's Executive Surveys.</v>
          </cell>
        </row>
        <row r="228">
          <cell r="E228" t="str">
            <v>AFC</v>
          </cell>
          <cell r="G228" t="str">
            <v>EX (Executive)</v>
          </cell>
        </row>
        <row r="229">
          <cell r="E229" t="str">
            <v>AFC</v>
          </cell>
          <cell r="G229" t="str">
            <v>M (Supervisory/Management)</v>
          </cell>
        </row>
        <row r="230">
          <cell r="E230" t="str">
            <v>AFC</v>
          </cell>
          <cell r="G230" t="str">
            <v>P (Professional)</v>
          </cell>
        </row>
        <row r="231">
          <cell r="E231" t="str">
            <v>AFC</v>
          </cell>
          <cell r="G231" t="str">
            <v>U (Business Support)</v>
          </cell>
        </row>
        <row r="232">
          <cell r="E232" t="str">
            <v>AFC000</v>
          </cell>
          <cell r="G232" t="str">
            <v>Minimizes financial risk to the organization by assessing and advising on creditworthiness of prospective and existing customers | Investigates credit applications and approves applications within established guidelines for organizations and individuals | Liaises with corporate customers and other departments to resolve credit problems | Collects and negotiates terms of payment on overdue accounts with corporate and individual clients | Conducts investigations and collection activities from an office or in the field | Responsibilities are within the Credit and Collections Function as a generalist or in a combination of Disciplines</v>
          </cell>
        </row>
        <row r="233">
          <cell r="E233" t="str">
            <v>AFC010</v>
          </cell>
          <cell r="G233" t="str">
            <v>Minimizes financial risk to the organization by assessing and advising on creditworthiness of prospective and existing customers | Investigates credit applications and approves applications within established guidelines for organizations and individuals | Liaises with corporate customers and other departments to resolve credit problems</v>
          </cell>
        </row>
        <row r="234">
          <cell r="E234" t="str">
            <v>AFC020</v>
          </cell>
          <cell r="G234" t="str">
            <v>Collects and negotiates terms of payment on overdue accounts with corporate and individual clients | Conducts investigations and collection activities from an office or in the field</v>
          </cell>
        </row>
        <row r="235">
          <cell r="E235" t="str">
            <v>AFC030</v>
          </cell>
          <cell r="G235" t="str">
            <v>Makes a high volume of telephone calls to customers regarding the collection of delinquent accounts due to the organization for goods and/or services rendered | Determines the reason for the delinquent account and arranges terms of Deferred Payment Arrangement (DPA) | Performs the necessary follow-up with customers who have not met the terms of the DPA | May refer certain accounts to collection agencies</v>
          </cell>
        </row>
        <row r="236">
          <cell r="E236" t="str">
            <v>AFC999</v>
          </cell>
          <cell r="G236" t="str">
            <v>Responsibilities are within the Credit and Collections Function but are not described in other Discipline summaries</v>
          </cell>
        </row>
        <row r="237">
          <cell r="E237" t="str">
            <v>AFT</v>
          </cell>
          <cell r="G237" t="str">
            <v>Conducts financial analyses. Develops and prepares the organization's financial plans and budgets, interprets financial reports and tax returns, and maintains good corporate relations with the investment and banking communities.</v>
          </cell>
        </row>
        <row r="238">
          <cell r="E238" t="str">
            <v>AFT</v>
          </cell>
          <cell r="G238" t="str">
            <v>Match incumbents responsible for conducting analyses of business operation metrics requiring a solid understanding of the organization's facilities and operations to the AEM050-Predictive Analytics/Business Intelligence Discipline.</v>
          </cell>
        </row>
        <row r="239">
          <cell r="E239" t="str">
            <v>AFT</v>
          </cell>
          <cell r="G239" t="str">
            <v>Match incumbents who initiate, fully develop and recommend business process improvements and/or process reengineering to the AQY020-Business Process Improvement Discipline in the AQY-Quality Assurance Methods Function.</v>
          </cell>
        </row>
        <row r="240">
          <cell r="E240" t="str">
            <v>AFT</v>
          </cell>
          <cell r="G240" t="str">
            <v>Match incumbents with responsibilities that span two or more of the finance related functions to the AFA-Finance Function.</v>
          </cell>
        </row>
        <row r="241">
          <cell r="E241" t="str">
            <v>AFT</v>
          </cell>
          <cell r="G241" t="str">
            <v>Transfer pricing positions should be matched to this function.</v>
          </cell>
        </row>
        <row r="242">
          <cell r="E242" t="str">
            <v>AFT</v>
          </cell>
          <cell r="G242" t="str">
            <v>Note: The EX Career Band is not applicable in North America. Executives are collected as Executive Benchmarks in North America's Executive Surveys.</v>
          </cell>
        </row>
        <row r="243">
          <cell r="E243" t="str">
            <v>AFT</v>
          </cell>
          <cell r="G243" t="str">
            <v>EX (Executive)</v>
          </cell>
        </row>
        <row r="244">
          <cell r="E244" t="str">
            <v>AFT</v>
          </cell>
          <cell r="G244" t="str">
            <v>M (Supervisory/Management)</v>
          </cell>
        </row>
        <row r="245">
          <cell r="E245" t="str">
            <v>AFT</v>
          </cell>
          <cell r="G245" t="str">
            <v>P (Professional)</v>
          </cell>
        </row>
        <row r="246">
          <cell r="E246" t="str">
            <v>AFT</v>
          </cell>
          <cell r="G246" t="str">
            <v>U (Business Support)</v>
          </cell>
        </row>
        <row r="247">
          <cell r="E247" t="str">
            <v>AFT000</v>
          </cell>
          <cell r="G247" t="str">
            <v>Performs a variety of financial activities | Develops and evaluates financial plans and policies | Typically performs both financial planning analysis and tax functions within the organization | Responsibilities are within the Financial Analysis and Tax Function as a generalist or in a combination of Disciplines</v>
          </cell>
        </row>
        <row r="248">
          <cell r="E248" t="str">
            <v>AFT000</v>
          </cell>
          <cell r="G248" t="str">
            <v>Match incumbents responsible for Financial Planning and Analysis to the AFT010 Financial Analysis Discipline; match Tax Generalists to the AFT050 Tax Reporting Discipline.</v>
          </cell>
        </row>
        <row r="249">
          <cell r="E249" t="str">
            <v>AFT010</v>
          </cell>
          <cell r="G249" t="str">
            <v>Performs economic research and studies of rates of return, depreciation and investments | Analyzes profit-and-loss income statements and prepares reports and recommendations to management | Generates forecasts and analyzes trends in sales, finance and other areas of business | Researches economic progressions to assist the organization's financial planning | Creates financial models of "what if" scenarios for future business planning decisions in areas such as new product development, new marketing strategies, etc.</v>
          </cell>
        </row>
        <row r="250">
          <cell r="E250" t="str">
            <v>AFT010</v>
          </cell>
          <cell r="G250" t="str">
            <v>Match incumbents who perform management accounting not covered by other disciplines to this discipline.</v>
          </cell>
        </row>
        <row r="251">
          <cell r="E251" t="str">
            <v>AFT020</v>
          </cell>
          <cell r="G251" t="str">
            <v>Compiles and reviews the budgets for corporate departments, taking into consideration actual performance, previous expenditures, and estimated expenses and income | Maintains accurate spending records and establishes measures for budgetary control</v>
          </cell>
        </row>
        <row r="252">
          <cell r="E252" t="str">
            <v>AFT030</v>
          </cell>
          <cell r="G252" t="str">
            <v>Performs treasury operations involving cash funds, foreign exchange, debt and capital management | Provides analytical and technical support to treasury-related activities</v>
          </cell>
        </row>
        <row r="253">
          <cell r="E253" t="str">
            <v>AFT040</v>
          </cell>
          <cell r="G253" t="str">
            <v>Supports corporate planning by conducting analyses of competitors, operational effectiveness and capacity utilization | May research, evaluate and analyze prospective mergers, acquisitions and divestitures</v>
          </cell>
        </row>
        <row r="254">
          <cell r="E254" t="str">
            <v>AFT050</v>
          </cell>
          <cell r="G254" t="str">
            <v>Prepares and maintains tax records, returns, reports and other related materials | Recommends alternative tax treatments to alleviate or reduce tax burden | May be responsible for tax accounting</v>
          </cell>
        </row>
        <row r="255">
          <cell r="E255" t="str">
            <v>AFT055</v>
          </cell>
          <cell r="G255" t="str">
            <v>Designs, develops and implements tax strategy for the organization | Devises legal means to minimize tax liability using thorough knowledge of tax laws and regulations</v>
          </cell>
        </row>
        <row r="256">
          <cell r="E256" t="str">
            <v>AFT060</v>
          </cell>
          <cell r="G256" t="str">
            <v>Conducts research and analyses of existing and upcoming tax legislation (domestic and/or international) to support the organization's planning and strategy | Conducts research as necessary to advise management of the tax implications resulting from projected organizational actions</v>
          </cell>
        </row>
        <row r="257">
          <cell r="E257" t="str">
            <v>AFT080</v>
          </cell>
          <cell r="G257" t="str">
            <v>Develops, recommends and administers risk management and loss prevention programs, such as property and casualty insurance and product liability service (excluding insured employee benefit plans), to attain maximum protection at the most economical rates</v>
          </cell>
        </row>
        <row r="258">
          <cell r="E258" t="str">
            <v>AFT090</v>
          </cell>
          <cell r="G258" t="str">
            <v>Develops, analyzes, revises and administers the organization's tariff schedules | Compiles, studies and maintains rate, revenue, load and customer data to assess the effectiveness of current tariff schedules and rules, and develops proposals to change the organization's existing rates and rules | Typically found in regulated telecommunications, electric and/or gas utility organizations</v>
          </cell>
        </row>
        <row r="259">
          <cell r="E259" t="str">
            <v>AFT700</v>
          </cell>
          <cell r="G259" t="str">
            <v>Develops and manages media production budgets based on input from producers, including location costs, script, visual effects and anticipated production needs | Conducts ad hoc analyses of the impact of production changes and creative decisions that influence production budget assumptions | May participate with legal and business affairs in negotiating budgets with independent producers</v>
          </cell>
        </row>
        <row r="260">
          <cell r="E260" t="str">
            <v>AFT999</v>
          </cell>
          <cell r="G260" t="str">
            <v>Responsibilities are within the Financial Analysis and Tax Function but are not described in other Discipline summaries</v>
          </cell>
        </row>
        <row r="261">
          <cell r="E261" t="str">
            <v>AFU</v>
          </cell>
          <cell r="G261" t="str">
            <v>Designs, develops and implements the organization's audit program for accounting and financial control systems.</v>
          </cell>
        </row>
        <row r="262">
          <cell r="E262" t="str">
            <v>AFU</v>
          </cell>
          <cell r="G262" t="str">
            <v>Match incumbents with responsibilities that span two or more of the finance related functions to the AFA-Finance Function.</v>
          </cell>
        </row>
        <row r="263">
          <cell r="E263" t="str">
            <v>AFU</v>
          </cell>
          <cell r="G263" t="str">
            <v>Note: The EX Career Band is not applicable in North America. Executives are collected as Executive Benchmarks in North America's Executive Surveys.</v>
          </cell>
        </row>
        <row r="264">
          <cell r="E264" t="str">
            <v>AFU</v>
          </cell>
          <cell r="G264" t="str">
            <v>EX (Executive)</v>
          </cell>
        </row>
        <row r="265">
          <cell r="E265" t="str">
            <v>AFU</v>
          </cell>
          <cell r="G265" t="str">
            <v>M (Supervisory/Management)</v>
          </cell>
        </row>
        <row r="266">
          <cell r="E266" t="str">
            <v>AFU</v>
          </cell>
          <cell r="G266" t="str">
            <v>P (Professional)</v>
          </cell>
        </row>
        <row r="267">
          <cell r="E267" t="str">
            <v>AFU</v>
          </cell>
          <cell r="G267" t="str">
            <v>U (Business Support)</v>
          </cell>
        </row>
        <row r="268">
          <cell r="E268" t="str">
            <v>AFU000</v>
          </cell>
          <cell r="G268" t="str">
            <v>Ensures the effectiveness of internal controls in compliance with corporate objectives and government standards such as the Sarbanes-Oxley Act (SOX) or the 8th Company Law Directive | Reviews, evaluates, develops, implements, maintains and verifies internal and business controls for processes, systems, financial statements, journals and reports in accordance with internal auditing and government-mandated standards | Identifies internal control gaps in business procedures, processes or systems and initiates appropriate remedial action | Ensures that documentation for all processes across the organization is reviewed and updated periodically | May coordinate with external auditors to prepare the attestation of management assessment on internal controls in accordance with Section 404 of the Sarbanes-Oxley Act | Responsibilities are within the Audit and Financial/Business Controls Function as a generalist or in a combination of Disciplines</v>
          </cell>
        </row>
        <row r="269">
          <cell r="E269" t="str">
            <v>AFU010</v>
          </cell>
          <cell r="G269" t="str">
            <v>Develops, plans and evaluates internal audit programs for the organization's accounting and statistical records and the activities of various departments to ensure compliance with the organization's policies, procedures and standards | Determines proper accountability of assets | Audits accounting records of contract agreements in which the organization is involved | Prepares reports for management on the results of audits, providing recommendations on improvements | Interfaces with and assists outside auditors to expedite their work</v>
          </cell>
        </row>
        <row r="270">
          <cell r="E270" t="str">
            <v>AFU020</v>
          </cell>
          <cell r="G270" t="str">
            <v>Develops, directs, plans and evaluates internal audit programs for the organization's information systems and related procedures to ensure compliance with the organization's policies, procedures and standards | Audits information systems applications to ensure that appropriate controls exist and that information produced by the system is accurate | Advises others on information systems, internal controls and security procedures | Prepares reports and recommendations for management on the results of information systems audits</v>
          </cell>
        </row>
        <row r="271">
          <cell r="E271" t="str">
            <v>AFU030</v>
          </cell>
          <cell r="G271" t="str">
            <v>Designs, develops, implements and promotes awareness of the organization's business ethics policies | Monitors the organization's standards of conduct and ethical relationships with customers, contractors, suppliers, employees and the communities in which business is conducted | Investigates allegations of unethical activity and develops safeguards to eliminate future breaches of the organization's ethics policies</v>
          </cell>
        </row>
        <row r="272">
          <cell r="E272" t="str">
            <v>AFU040</v>
          </cell>
          <cell r="G272" t="str">
            <v>Develops, implements and monitors strategies/systems for the minimization of fraud across the portfolio of the organization's interests, activities and services | Liaises with clients and external parties to monitor and resolve fraud issues | Ensures prevention strategies are effectively implemented | Focuses on prevention of fraudulent activity, particularly through knowledge and development of systems | Keeps up-to-date with legislative and guidance changes</v>
          </cell>
        </row>
        <row r="273">
          <cell r="E273" t="str">
            <v>AFU060</v>
          </cell>
          <cell r="G273" t="str">
            <v>Investigates and responds to fraudulent and/or disputed monetary transactions | Tracks and monitors transactions and identifies and traces any suspicious or high-risk transactions | Prepares evidence, collects information, analyzes complex datasets and prepares detailed reports | Models and analyzes fraud to determine patterns and to identify loopholes in security</v>
          </cell>
        </row>
        <row r="274">
          <cell r="E274" t="str">
            <v>AFU200</v>
          </cell>
          <cell r="G274" t="str">
            <v>Conducts software license reviews and audits, including the analysis of usage data, to ensure that customers are in compliance with enterprise-wide site licensing or other types of agreements | Identifies unauthorized use of the organization's software and takes measures, including legal enforcement, to protect the organization's legal rights and revenues | Takes appropriate measures to secure compensation for unauthorized software use</v>
          </cell>
        </row>
        <row r="275">
          <cell r="E275" t="str">
            <v>AFU300</v>
          </cell>
          <cell r="G275" t="str">
            <v>Identifies, documents and investigates transactional discrepancies to determine possible causes | Matches register data to cash office data to verify, reconcile and balance store sales information | Reviews, analyzes and resolves incorrect or fraudulent merchant card transactions | Audits paid-outs, voids, refunds, deposits, change fund fluctuations, charge card purchases, gift certificates and employee discounts for consistency, reasonableness and organization policy</v>
          </cell>
        </row>
        <row r="276">
          <cell r="E276" t="str">
            <v>AFU999</v>
          </cell>
          <cell r="G276" t="str">
            <v>Responsibilities are within the Audit and Financial/Business Controls Function but are not described in other Discipline summaries</v>
          </cell>
        </row>
        <row r="277">
          <cell r="E277" t="str">
            <v>AFY</v>
          </cell>
          <cell r="G277" t="str">
            <v>Develops, recommends and implements controls and cost-effective approaches to minimize the organization's risks effects. Identifies and analyzes potential sources of loss to minimize risk and estimates the potential financial consequences of an occurring loss.</v>
          </cell>
        </row>
        <row r="278">
          <cell r="E278" t="str">
            <v>AFY</v>
          </cell>
          <cell r="G278" t="str">
            <v>Match incumbents with responsibilities that span two or more of the finance related functions to the AFA-Finance Function.</v>
          </cell>
        </row>
        <row r="279">
          <cell r="E279" t="str">
            <v>AFY</v>
          </cell>
          <cell r="G279" t="str">
            <v>Match support level incumbents who assist professionals or managers in this function to the appropriate discipline in the AAS-Administrative Support Function and the Business Support Career Band.</v>
          </cell>
        </row>
        <row r="280">
          <cell r="E280" t="str">
            <v>AFY</v>
          </cell>
          <cell r="G280" t="str">
            <v>Match incumbents responsible for piracy prevention to the MBL050-Content Protection and Piracy Prevention Discipline in the MBL-Media Business Affairs Function.</v>
          </cell>
        </row>
        <row r="281">
          <cell r="E281" t="str">
            <v>AFY</v>
          </cell>
          <cell r="G281" t="str">
            <v>Note: The EX Career Band is not applicable in North America. Executives are collected as Executive Benchmarks in North America's Executive Surveys.</v>
          </cell>
        </row>
        <row r="282">
          <cell r="E282" t="str">
            <v>AFY</v>
          </cell>
          <cell r="G282" t="str">
            <v>EX (Executive)</v>
          </cell>
        </row>
        <row r="283">
          <cell r="E283" t="str">
            <v>AFY</v>
          </cell>
          <cell r="G283" t="str">
            <v>M (Supervisory/Management)</v>
          </cell>
        </row>
        <row r="284">
          <cell r="E284" t="str">
            <v>AFY</v>
          </cell>
          <cell r="G284" t="str">
            <v>P (Professional)</v>
          </cell>
        </row>
        <row r="285">
          <cell r="E285" t="str">
            <v>AFY000</v>
          </cell>
          <cell r="G285" t="str">
            <v>Identifies and analyzes potential sources of loss to minimize risk | Estimates the potential financial consequences of an occurring loss | Develops and implements controls and cost-effective approaches to minimize the organization's risks | Assesses and communicates information regarding business risks with functions across the organization</v>
          </cell>
        </row>
        <row r="286">
          <cell r="E286" t="str">
            <v>AFY040</v>
          </cell>
          <cell r="G286" t="str">
            <v>Develops, recommends and administers risk management and loss prevention programs, such as property and casualty insurance and product liability service (excluding insured employee benefit plans), to attain maximum protection at the most economical rates</v>
          </cell>
        </row>
        <row r="287">
          <cell r="E287" t="str">
            <v>AFY999</v>
          </cell>
          <cell r="G287" t="str">
            <v>Responsibilities are within the Risk Management Function but are not described in other Discipline summaries</v>
          </cell>
        </row>
        <row r="288">
          <cell r="E288" t="str">
            <v>AGA</v>
          </cell>
          <cell r="G288" t="str">
            <v>Performs or leads a combination of staff functions and/or operations that support the organization's short- and long-range goals and strategies. Plans, coordinates and manages the allocation of resources (e.g., people, equipment) to deliver timely results.</v>
          </cell>
        </row>
        <row r="289">
          <cell r="E289" t="str">
            <v>AGA</v>
          </cell>
          <cell r="G289" t="str">
            <v>Match parent Chief Operating Officers to AAA020-Chief Operating Officer and the Executive Career Band; match subsidiary or division Chief Operating Officers to AAB005-Chief Operating Officer - Segment/Division and the Executive Career Band. Match incumbents who manage all or most major segments of the organization's operations in a nonmanufacturing environment to AGA035-General Operations Management (Nonmanufacturing) and the Executive Career Band or AGA036-General Operations Management (Manufacturing) and the Executive Career Band. All Executives in North America should be reported as Executive Benchmarks in one of the Executive surveys conducted in North America.</v>
          </cell>
        </row>
        <row r="290">
          <cell r="E290" t="str">
            <v>AGA</v>
          </cell>
          <cell r="G290" t="str">
            <v>Match executives who are responsible for multiple staff functions of which only one is a major function to the Executive Career Band in that major function. All Executives in North America should be reported as Executive Benchmarks in one of the Executive surveys conducted in North America.</v>
          </cell>
        </row>
        <row r="291">
          <cell r="E291" t="str">
            <v>AGA</v>
          </cell>
          <cell r="G291" t="str">
            <v>Match incumbents who provide general administrative support services to the AAS-Administrative Services Function.</v>
          </cell>
        </row>
        <row r="292">
          <cell r="E292" t="str">
            <v>AGA</v>
          </cell>
          <cell r="G292" t="str">
            <v>Match managers of multiple staff functions whose primary responsibility is a major (e.g., finance, public relations, legal, human resources) function to the Generalist/Multidiscipline code in that Function.</v>
          </cell>
        </row>
        <row r="293">
          <cell r="E293" t="str">
            <v>AGA</v>
          </cell>
          <cell r="G293" t="str">
            <v>Match project managers of multifunctional teams that are not responsible for employee pay determination, review, and hire and fire decisions to an individual contributor Career Level (i.e., Career Levels P1-P6) in the APM-Project/Program Management Function.</v>
          </cell>
        </row>
        <row r="294">
          <cell r="E294" t="str">
            <v>AGA</v>
          </cell>
          <cell r="G294" t="str">
            <v>Match sales managers who have limited additional responsibilities (e.g., marketing) to the Generalist/Multidiscipline code in the appropriate sales Function.</v>
          </cell>
        </row>
        <row r="295">
          <cell r="E295" t="str">
            <v>AGA</v>
          </cell>
          <cell r="G295" t="str">
            <v>Note: The EX Career Band is not applicable in North America. Executives are collected as Executive Benchmarks in North America's Executive Surveys.</v>
          </cell>
        </row>
        <row r="296">
          <cell r="E296" t="str">
            <v>AGA</v>
          </cell>
          <cell r="G296" t="str">
            <v>EX (Executive)</v>
          </cell>
        </row>
        <row r="297">
          <cell r="E297" t="str">
            <v>AGA</v>
          </cell>
          <cell r="G297" t="str">
            <v>M (Supervisory/Management)</v>
          </cell>
        </row>
        <row r="298">
          <cell r="E298" t="str">
            <v>AGA</v>
          </cell>
          <cell r="G298" t="str">
            <v>P (Professional)</v>
          </cell>
        </row>
        <row r="299">
          <cell r="E299" t="str">
            <v>AGA000</v>
          </cell>
          <cell r="G299" t="str">
            <v>Leads the business development team and may manage a small business unit with responsibility for budgets and profitability | Performs two or more staff functions such as Accounting, Human Resources, Training, Records Management, Materials Management, Security or Facilities Management | Plans, coordinates and manages the allocation of resources (e.g., people, equipment) to deliver timely results | May manage the development and implementation of general operating policies, processes and procedures for the organization and lead special projects in multiple areas</v>
          </cell>
        </row>
        <row r="300">
          <cell r="E300" t="str">
            <v>AGA035</v>
          </cell>
          <cell r="G300" t="str">
            <v>Manages, directs and coordinates one or more segments of the organization's day-to-day operations in a nonmanufacturing environment/industry | Manages the development, implementation and enhancement of operating policies, processes and procedures that affect the organization's short- and long-range goals and strategies | Plans and coordinates operations and special projects in multiple areas (e.g., short- to long-term planning, joint ventures, business development, internal communications, budgeting) | Responsibilities are typically diverse and vary according to the organization's changing needs; this discipline is not typically classified into a single Function (e.g., Engineering, Finance, Human Resources)</v>
          </cell>
        </row>
        <row r="301">
          <cell r="E301" t="str">
            <v>AGA036</v>
          </cell>
          <cell r="G301" t="str">
            <v>Manages, directs and coordinates all or a major segment of the organization's operations in a manufacturing environment/industry, typically including assembly, machinery, processing and/or packaging | Oversees functions that support manufacturing operations, including engineering, supply chain/logistics and purchasing | May formulate policies, forecast requirements for manpower, technology and facilities and develop quality standards</v>
          </cell>
        </row>
        <row r="302">
          <cell r="E302" t="str">
            <v>AGA036</v>
          </cell>
          <cell r="G302" t="str">
            <v>Match incumbents responsible for all manufacturing, engineering, supply chain and purchasing operations to this discipline.</v>
          </cell>
        </row>
        <row r="303">
          <cell r="E303" t="str">
            <v>AGA040</v>
          </cell>
          <cell r="G303" t="str">
            <v>Provides centralized service for two or more functions (e.g., Human Resources, Information Technology) to multiple business units in a shared services environment | Sets operational strategy for the functions and is responsible for policy interpretation and administration</v>
          </cell>
        </row>
        <row r="304">
          <cell r="E304" t="str">
            <v>AGA050</v>
          </cell>
          <cell r="G304" t="str">
            <v>Develops outsourcing policies, standards and procedures for the organization | Evaluates and implements outsourcing options that align to the desired systems and services of the business, its systems and processes | Develops and administers contracts with outsourcing services in coordination with the organization's procurement and legal functions | Analyzes and reports on outsourcing vendor performance | Manages the organization's relationship with outsourcing vendors and ensures that the outsourcing vendor's performance meets the organization's requirements</v>
          </cell>
        </row>
        <row r="305">
          <cell r="E305" t="str">
            <v>AGA060</v>
          </cell>
          <cell r="G305" t="str">
            <v>Undertakes specific graduate management trainee schemes across various functions for a set period (usually two to three years), as a means of fast-tracking to managerial or specialist roles | Rotates through a range of department placements across an organization, with each placement usually lasting between three and twelve months | Undertakes specific project and operational work in each area and may be receiving training towards a relevant professional qualification | May spend time in a head office department in order to understand the relevant industry and experience the strategic issues facing the business</v>
          </cell>
        </row>
        <row r="306">
          <cell r="E306" t="str">
            <v>AGA999</v>
          </cell>
          <cell r="G306" t="str">
            <v>Responsibilities are within the General Management and Administration Function but are not described in other Discipline summaries</v>
          </cell>
        </row>
        <row r="307">
          <cell r="E307" t="str">
            <v>AGS</v>
          </cell>
          <cell r="G307" t="str">
            <v>Plans, schedules and coordinates detailed phases of various geological/geophysical assignments requiring expertise in a specific aspect of the scientific principles to understand the Earth such as location of mineral and energy resources. Participates in generation, evaluation, development and proposal of exploration plays. Applies expertise in various subfields that may include mineralogy, petrology, stratigraphy, structural geology, paleontology, sedimentology, earth surface processes (geomorphology), glacial geology and environmental geology — as well as geophysics, geochemistry, hydrogeology, paleoclimatology, paleoecology, engineering geology and remote sensing.</v>
          </cell>
        </row>
        <row r="308">
          <cell r="E308" t="str">
            <v>AGS</v>
          </cell>
          <cell r="G308" t="str">
            <v>Note: The EX Career Band is not applicable in North America. Executives are collected as Executive Benchmarks in North America's Executive Surveys.</v>
          </cell>
        </row>
        <row r="309">
          <cell r="E309" t="str">
            <v>AGS</v>
          </cell>
          <cell r="G309" t="str">
            <v>EX (Executive)</v>
          </cell>
        </row>
        <row r="310">
          <cell r="E310" t="str">
            <v>AGS</v>
          </cell>
          <cell r="G310" t="str">
            <v>M (Supervisory/Management)</v>
          </cell>
        </row>
        <row r="311">
          <cell r="E311" t="str">
            <v>AGS</v>
          </cell>
          <cell r="G311" t="str">
            <v>P (Professional)</v>
          </cell>
        </row>
        <row r="312">
          <cell r="E312" t="str">
            <v>AGS</v>
          </cell>
          <cell r="G312" t="str">
            <v>T (Technical Support)</v>
          </cell>
        </row>
        <row r="313">
          <cell r="E313" t="str">
            <v>AGS000</v>
          </cell>
          <cell r="G313" t="str">
            <v>Plans, schedules and coordinates detailed phases of various geological/geophysical assignments requiring expertise in a specific aspect of the scientific principles to understand the Earth such as location of mineral and energy resources | Participates in generation, evaluation, development and proposal of exploration plays | Applies expertise in various subfields that may include mineralogy, petrology, stratigraphy, structural geology, paleontology, sedimentology, earth surface processes (geomorphology), glacial geology and environmental geology — as well as geophysics, geochemistry, hydrogeology, paleoclimatology, paleoecology, engineering geology and remote sensing</v>
          </cell>
        </row>
        <row r="314">
          <cell r="E314" t="str">
            <v>AGS010</v>
          </cell>
          <cell r="G314" t="str">
            <v>Surveys physical geological data | Identifies and classifies minerals and rocks | Identifies relationships between types of rocks, rock structures, geological processes of running water, subsurface water, glaciation, wind, waves and landform evolution</v>
          </cell>
        </row>
        <row r="315">
          <cell r="E315" t="str">
            <v>AGS020</v>
          </cell>
          <cell r="G315" t="str">
            <v>Utilizes geological data for exploration and development purposes | May execute geophysical field studies as well as interpret the acquired data</v>
          </cell>
        </row>
        <row r="316">
          <cell r="E316" t="str">
            <v>AGS999</v>
          </cell>
          <cell r="G316" t="str">
            <v>Responsibilities are within the Geosciences Function but are not described in other Discipline summaries</v>
          </cell>
        </row>
        <row r="317">
          <cell r="E317" t="str">
            <v>AHR</v>
          </cell>
          <cell r="G317" t="str">
            <v>Designs, implements and monitors human resource programs and policies, including recruitment, learning and development, performance management, compensation, benefits, equal opportunity and diversity, etc. Anticipates and plans for long-term human resource needs and trends.</v>
          </cell>
        </row>
        <row r="318">
          <cell r="E318" t="str">
            <v>AHR</v>
          </cell>
          <cell r="G318" t="str">
            <v>Match incumbents responsible for delivering technical product training to customers to the CUT040-Technical/Product Training Discipline in the CUT-Technical Sales Support Function.</v>
          </cell>
        </row>
        <row r="319">
          <cell r="E319" t="str">
            <v>AHR</v>
          </cell>
          <cell r="G319" t="str">
            <v>Match incumbents responsible for employee communications to the ACA100-Internal/Employee Communications Discipline in the ACA-Corporate Affairs/Communications Function.</v>
          </cell>
        </row>
        <row r="320">
          <cell r="E320" t="str">
            <v>AHR</v>
          </cell>
          <cell r="G320" t="str">
            <v>Match incumbents responsible for employee wellness programs to the AHS000-Environmental Health and Safety Generalist/Multidiscipline code in the AHS-Environmental Health and Safety Function.</v>
          </cell>
        </row>
        <row r="321">
          <cell r="E321" t="str">
            <v>AHR</v>
          </cell>
          <cell r="G321" t="str">
            <v>Match incumbents responsible for payroll to the AFB070-Payroll Discipline in the AFB-Accounting Function even if they are part of the Human Resources organization.</v>
          </cell>
        </row>
        <row r="322">
          <cell r="E322" t="str">
            <v>AHR</v>
          </cell>
          <cell r="G322" t="str">
            <v>Match incumbents responsible for sales compensation and one or more other sales support areas to the CUS000-Sales Support and Administration Generalist/Multidiscipline Discipline in the CUS-Sales Support and Administration Function.</v>
          </cell>
        </row>
        <row r="323">
          <cell r="E323" t="str">
            <v>AHR</v>
          </cell>
          <cell r="G323" t="str">
            <v>Match incumbents responsible for training the organization's own employees on information technology to the AIT080-IT Training/Documentation Discipline in the AIT-IT Administration Function.</v>
          </cell>
        </row>
        <row r="324">
          <cell r="E324" t="str">
            <v>AHR</v>
          </cell>
          <cell r="G324" t="str">
            <v>Match incumbents responsible for training the organization's sales representatives to the CUS010-Sales Training Discipline in the CUS-Sales Support and Administration Function.</v>
          </cell>
        </row>
        <row r="325">
          <cell r="E325" t="str">
            <v>AHR</v>
          </cell>
          <cell r="G325" t="str">
            <v>Match incumbents responsible for HR Administration to the AHR090-Employee/Labor Relations Generalist/Multidiscipline.</v>
          </cell>
        </row>
        <row r="326">
          <cell r="E326" t="str">
            <v>AHR</v>
          </cell>
          <cell r="G326" t="str">
            <v>Note: The EX Career Band is not applicable in North America. Executives are collected as Executive Benchmarks in North America's Executive Surveys.</v>
          </cell>
        </row>
        <row r="327">
          <cell r="E327" t="str">
            <v>AHR</v>
          </cell>
          <cell r="G327" t="str">
            <v>EX (Executive)</v>
          </cell>
        </row>
        <row r="328">
          <cell r="E328" t="str">
            <v>AHR</v>
          </cell>
          <cell r="G328" t="str">
            <v>M (Supervisory/Management)</v>
          </cell>
        </row>
        <row r="329">
          <cell r="E329" t="str">
            <v>AHR</v>
          </cell>
          <cell r="G329" t="str">
            <v>P (Professional)</v>
          </cell>
        </row>
        <row r="330">
          <cell r="E330" t="str">
            <v>AHR</v>
          </cell>
          <cell r="G330" t="str">
            <v>U (Business Support)</v>
          </cell>
        </row>
        <row r="331">
          <cell r="E331" t="str">
            <v>AHR000</v>
          </cell>
          <cell r="G331" t="str">
            <v>Designs, implements and monitors a variety of human resource programs | Anticipates and plans for long-term human resource needs and trends in partnership with business management | Responsibilities are within the Human Resources Function as a generalist or in a combination of Disciplines</v>
          </cell>
        </row>
        <row r="332">
          <cell r="E332" t="str">
            <v>AHR000</v>
          </cell>
          <cell r="G332" t="str">
            <v>Match HR business partners who work with an assigned business unit in a variety of HR disciplines to the AHR005-HR Business Partner Discipline.</v>
          </cell>
        </row>
        <row r="333">
          <cell r="E333" t="str">
            <v>AHR000</v>
          </cell>
          <cell r="G333" t="str">
            <v>Match incumbents responsible for employee quality of life programs to this discipline.</v>
          </cell>
        </row>
        <row r="334">
          <cell r="E334" t="str">
            <v>AHR005</v>
          </cell>
          <cell r="G334" t="str">
            <v>Works closely with senior management within specific business units or regions to develop and implement predominately medium to long-term HR solutions aligned to business strategy | Supported by centralized HR professionals who have specialized in particular functions</v>
          </cell>
        </row>
        <row r="335">
          <cell r="E335" t="str">
            <v>AHR010</v>
          </cell>
          <cell r="G335" t="str">
            <v>Plans, designs, evaluates and administers employee compensation and benefit programs such as salaries, short- and long-term incentives, job evaluations, performance appraisals, retirement plans, and life, health and disability insurance</v>
          </cell>
        </row>
        <row r="336">
          <cell r="E336" t="str">
            <v>AHR020</v>
          </cell>
          <cell r="G336" t="str">
            <v>Develops, implements and administers compensation such as salaries, short- and long-term incentives, job evaluations, performance appraisals, salary increases and salary surveys | May provide services in Executive Compensation, International Compensation, Sales Compensation and other specialized areas of compensation | May identify and incorporate environmental, social and governance (ESG) considerations into compensation programs</v>
          </cell>
        </row>
        <row r="337">
          <cell r="E337" t="str">
            <v>AHR030</v>
          </cell>
          <cell r="G337" t="str">
            <v>Develops, implements, and analyzes compensation programs for executives, officers and other top key positions, including short- and long-term incentive plans, financial and tax treatment of compensation programs, and proxy disclosure and analysis | May identify and incorporate environmental, social and governance (ESG) considerations into compensation programs</v>
          </cell>
        </row>
        <row r="338">
          <cell r="E338" t="str">
            <v>AHR050</v>
          </cell>
          <cell r="G338" t="str">
            <v>Develops, implements and analyzes compensation programs for sales personnel, including sales plan analysis and design, calculation of plan payments and trend analysis</v>
          </cell>
        </row>
        <row r="339">
          <cell r="E339" t="str">
            <v>AHR060</v>
          </cell>
          <cell r="G339" t="str">
            <v>Develops, implements and administers cost-effective benefits programs such as pension plans and life, health, and disability insurance | Develops and evaluates wellness programs to support employees’ physical, emotional, social and/or financial wellbeing | May identify and incorporate diversity, equity and inclusion (DEI) in benefits programs</v>
          </cell>
        </row>
        <row r="340">
          <cell r="E340" t="str">
            <v>AHR070</v>
          </cell>
          <cell r="G340" t="str">
            <v>Administers pension plans, either internally or through an outsourced service, including check distribution, recordkeeping, and responding to employee requests according to established policies and procedures | Assists in preparing reports to management on the status of pension activities</v>
          </cell>
        </row>
        <row r="341">
          <cell r="E341" t="str">
            <v>AHR080</v>
          </cell>
          <cell r="G341" t="str">
            <v>Implements and administers policy and/or administration of short- or long-term international assignments, including immigration services | Administers and interprets policies and regulations to ensure accurate payment of all expatriate allowances as well as special items such as moving expenses | Researches home and host country tax regulations to ensure compliance | Coordinates a variety of administrative tasks to ensure compliance with government regulations associated with expatriates</v>
          </cell>
        </row>
        <row r="342">
          <cell r="E342" t="str">
            <v>AHR090</v>
          </cell>
          <cell r="G342" t="str">
            <v>Coordinates employee and labor relations programs to ensure compliance with policies and practices | Represents the organization in contract negotiations with labor unions | Administers collective bargaining agreements and grievances | Develops and implements policies and procedures, including grievance procedures and exit interviews | Resolves employee questions, concerns and grievances</v>
          </cell>
        </row>
        <row r="343">
          <cell r="E343" t="str">
            <v>AHR095</v>
          </cell>
          <cell r="G343" t="str">
            <v>Coordinates employee relations programs to ensure compliance with policies and practices | Develops and implements policies and procedures, including grievance procedures and exit interviews | Researches and responds to employee questions, concerns and grievances | Maintains employee relations records</v>
          </cell>
        </row>
        <row r="344">
          <cell r="E344" t="str">
            <v>AHR100</v>
          </cell>
          <cell r="G344" t="str">
            <v>Establishes and maintains labor management relations | Represents the organization in contract negotiations with labor unions | Administers the collective bargaining agreements and grievances</v>
          </cell>
        </row>
        <row r="345">
          <cell r="E345" t="str">
            <v>AHR106</v>
          </cell>
          <cell r="G345" t="str">
            <v>Develops and implements employee engagement initiatives/activities (e.g., annual engagement surveys, internal forums ('lunch and learn'), community and fundraising activities) | Provides analyses and suggestions to assist management with action planning to maintain and/or improve employee engagement</v>
          </cell>
        </row>
        <row r="346">
          <cell r="E346" t="str">
            <v>AHR110</v>
          </cell>
          <cell r="G346" t="str">
            <v>Develops, implements and evaluates diversity/equal employment opportunity (EEO) and affirmative action programs to ensure compliance with government legislation and organization goals | Provides training and coaching for employees and managers on diversity issues | Determines the efficiency and effectiveness of the EEO data system | Prepares employment trend reports related to the utilization of the job market in employment practices | Recommends improvements in recruitment and employee programs to ensure compliance with diversity/EEO goals and regulations</v>
          </cell>
        </row>
        <row r="347">
          <cell r="E347" t="str">
            <v>AHR120</v>
          </cell>
          <cell r="G347" t="str">
            <v>Analyzes the organizational structure, determines changes to organizational responsibilities, staffing, managerial skills and the quality of work life | Ensures policy/program changes affecting employees do not conflict with the organization's objectives</v>
          </cell>
        </row>
        <row r="348">
          <cell r="E348" t="str">
            <v>AHR122</v>
          </cell>
          <cell r="G348" t="str">
            <v>Applies and integrates advanced and predictive analysis, people metrics and reporting to develop strategic and operational insights for workforce decision-making (e.g., staffing, learning and development, talent management, diversity, human resource compliance, DEI, ESG) | Assesses organizational staffing and identifies requirements and solutions to meet workforce objectives</v>
          </cell>
        </row>
        <row r="349">
          <cell r="E349" t="str">
            <v>AHR125</v>
          </cell>
          <cell r="G349" t="str">
            <v>Identifies and develops talents of employees based upon current and future business objectives | Identifies required skills within the organization and develops training and procedures to ensure the current skills remain within the organization</v>
          </cell>
        </row>
        <row r="350">
          <cell r="E350" t="str">
            <v>AHR130</v>
          </cell>
          <cell r="G350" t="str">
            <v>Develops, implements and evaluates employee development plans and programs to support organizational needs as a generalist or in a combination of Disciplines such as management development, talent management, succession planning, technical or nontechnical training, or e-learning | Monitors employee development and training programs, assesses needs and results, develops new programs and modifies existing programs</v>
          </cell>
        </row>
        <row r="351">
          <cell r="E351" t="str">
            <v>AHR132</v>
          </cell>
          <cell r="G351" t="str">
            <v>Designs and implements programs that supply the organization with trained executives in accordance with the organization's plans and strategies | Consults with management regarding the planning, development, implementation and evaluation of management training programs | Coordinates programs in management appraisal, counseling, promotion and placement</v>
          </cell>
        </row>
        <row r="352">
          <cell r="E352" t="str">
            <v>AHR134</v>
          </cell>
          <cell r="G352" t="str">
            <v>Develops and implements training activities directed at both employee competencies and technical skills | Collaborates with other functions (e.g., Engineering, Operations, Maintenance) to ensure that course materials reflect current specifications and to obtain information on new processes and equipment | May visit work locations to confirm effectiveness of technical training programs</v>
          </cell>
        </row>
        <row r="353">
          <cell r="E353" t="str">
            <v>AHR134</v>
          </cell>
          <cell r="G353" t="str">
            <v>Match incumbents responsible for business technical training (excluding IT training) to this discipline.</v>
          </cell>
        </row>
        <row r="354">
          <cell r="E354" t="str">
            <v>AHR136</v>
          </cell>
          <cell r="G354" t="str">
            <v>Develops and implements training activities directed at developing employees in competencies such as teamwork, management skills and problem solving</v>
          </cell>
        </row>
        <row r="355">
          <cell r="E355" t="str">
            <v>AHR138</v>
          </cell>
          <cell r="G355" t="str">
            <v>Develops and deploys computer-based training (CBT) and interactive e-learning courses and training modules | Collaborates with subject matter experts on appropriate online teaching mechanisms | Guides training staff and shares expertise in the development and use of e-learning methodologies for course design | Develops project documentation, including CBT and e-learning development standards, templates and storyboards</v>
          </cell>
        </row>
        <row r="356">
          <cell r="E356" t="str">
            <v>AHR140</v>
          </cell>
          <cell r="G356" t="str">
            <v>Sources, recruits, screens, interviews and recommends external and/or internal candidates for all level jobs, including entry level, experienced professional/technical, IT, support staff and hourly, and possibly management | May utilize the services of employment agencies | Places employment ads in appropriate sources, including the Internet and print media | Ensures the maintenance of accurate and concise records and reports concerning all phases of the recruitment process, including EEO statistics | May recruit from colleges, technical schools and job fairs</v>
          </cell>
        </row>
        <row r="357">
          <cell r="E357" t="str">
            <v>AHR150</v>
          </cell>
          <cell r="G357" t="str">
            <v>Processes the organization's human resource information using the most efficient and cost-effective computer systems and applications | Researches, analyzes, designs and maintains information systems in support of human resource administration and projects | Monitors HR information needs and designs new or modifies existing systems to meet changing requirements</v>
          </cell>
        </row>
        <row r="358">
          <cell r="E358" t="str">
            <v>AHR160</v>
          </cell>
          <cell r="G358" t="str">
            <v>Provides centralized human resource services spanning payroll, benefits and other transactions | Ensures efficiency of service center operations, technology and transaction processes | Establishes standards and procedures for handling employee questions, transactions and administration of human resource programs | Coordinates services with the human resource information systems, human resource program managers and technology specialists</v>
          </cell>
        </row>
        <row r="359">
          <cell r="E359" t="str">
            <v>AHR300</v>
          </cell>
          <cell r="G359" t="str">
            <v>Designs and implements a variety of field-based human resource programs | Maintains ongoing field contacts and monitors implementation and adherence to human resource programs and policies | Anticipates and plans for long-term field human resource needs and trends in partnership with business management</v>
          </cell>
        </row>
        <row r="360">
          <cell r="E360" t="str">
            <v>AHR999</v>
          </cell>
          <cell r="G360" t="str">
            <v>Responsibilities are within the Human Resources Function but are not described in other Discipline summaries</v>
          </cell>
        </row>
        <row r="361">
          <cell r="E361" t="str">
            <v>AHS</v>
          </cell>
          <cell r="G361" t="str">
            <v>Designs, develops, implements and oversees the organization's environmental health and safety programs and procedures to safeguard employees and surrounding communities and to ensure that all facilities are in compliance with regulations.</v>
          </cell>
        </row>
        <row r="362">
          <cell r="E362" t="str">
            <v>AHS</v>
          </cell>
          <cell r="G362" t="str">
            <v>Match environmental engineers to the AZE120-Environmental Engineering Discipline in the AZE-Engineering Function.</v>
          </cell>
        </row>
        <row r="363">
          <cell r="E363" t="str">
            <v>AHS</v>
          </cell>
          <cell r="G363" t="str">
            <v>Match incumbents responsible for environmental affairs to the ACA060-Environmental Affairs and Compliance Discipline in the ACA-Corporate Affairs/Communications Function.</v>
          </cell>
        </row>
        <row r="364">
          <cell r="E364" t="str">
            <v>AHS</v>
          </cell>
          <cell r="G364" t="str">
            <v>Match safety engineers to the AZE160-Safety Engineering Discipline in the AZE-Engineering Function.</v>
          </cell>
        </row>
        <row r="365">
          <cell r="E365" t="str">
            <v>AHS</v>
          </cell>
          <cell r="G365" t="str">
            <v>Note: The EX Career Band is not applicable in North America. Executives are collected as Executive Benchmarks in North America's Executive Surveys.</v>
          </cell>
        </row>
        <row r="366">
          <cell r="E366" t="str">
            <v>AHS</v>
          </cell>
          <cell r="G366" t="str">
            <v>EX (Executive)</v>
          </cell>
        </row>
        <row r="367">
          <cell r="E367" t="str">
            <v>AHS</v>
          </cell>
          <cell r="G367" t="str">
            <v>M (Supervisory/Management)</v>
          </cell>
        </row>
        <row r="368">
          <cell r="E368" t="str">
            <v>AHS</v>
          </cell>
          <cell r="G368" t="str">
            <v>P (Professional)</v>
          </cell>
        </row>
        <row r="369">
          <cell r="E369" t="str">
            <v>AHS</v>
          </cell>
          <cell r="G369" t="str">
            <v>T (Technical Support)</v>
          </cell>
        </row>
        <row r="370">
          <cell r="E370" t="str">
            <v>AHS000</v>
          </cell>
          <cell r="G370" t="str">
            <v>Designs, develops, implements and oversees the organization's environmental, health and safety programs and procedures to safeguard employees and surrounding communities and to ensure that all facilities are in compliance with regulations | Responsibilities are within the Environmental Health and Safety Function as a generalist or in a combination of Disciplines</v>
          </cell>
        </row>
        <row r="371">
          <cell r="E371" t="str">
            <v>AHS000</v>
          </cell>
          <cell r="G371" t="str">
            <v>Match incumbents responsible for employee wellness programs to this discipline.</v>
          </cell>
        </row>
        <row r="372">
          <cell r="E372" t="str">
            <v>AHS010</v>
          </cell>
          <cell r="G372" t="str">
            <v>Develops and implements programs to ensure that environment regulatory obligations are fulfilled in a cost-effective manner and that environmental risks are effectively managed | Analyzes and maintains detailed records of pollutant concentrations in air, water, plant and soil samples | Assists field locations in pollution prevention and waste minimization programs through periodic monitoring and technical guidance | Conducts research on the degradation of pollutants in the environment, including streams, sediments and groundwater | Maintains detailed records and prepares related reports and studies for submission to regulatory agencies</v>
          </cell>
        </row>
        <row r="373">
          <cell r="E373" t="str">
            <v>AHS020</v>
          </cell>
          <cell r="G373" t="str">
            <v>Ensures that sites contaminated with hazardous waste and production by-products are cleaned up in accordance with government regulations | Takes responsibility for site investigations, operation of treatment systems and soil/groundwater sampling | Plans, develops and executes remediation project(s) using appropriate methods, technologies and personal protective equipment to minimize the potential for catastrophic releases of, or exposure to, toxic, reactive, flammable or explosive chemicals during the remediation | Determines which neutralization and/or cleaning agents are used and their methods of application and containment | Collects, handles and contains waste from decontamination processes; may be responsible for waste repositories (e.g., landfills)</v>
          </cell>
        </row>
        <row r="374">
          <cell r="E374" t="str">
            <v>AHS030</v>
          </cell>
          <cell r="G374" t="str">
            <v>Conducts studies and investigations to ensure compliance with government safety and health laws, standards and regulations, and industrial hygiene | Investigates accidents and promotes safety-conscious work performance and training programs | Provides safety performance measures | Determines root cause analyses</v>
          </cell>
        </row>
        <row r="375">
          <cell r="E375" t="str">
            <v>AHS040</v>
          </cell>
          <cell r="G375" t="str">
            <v>Inspects facilities and premises and prescribes corrective measures to reduce the risks of disease and other job-related ailments | Investigates and prepares reports on job-related injuries and fatalities, and determines measures to avoid any recurrence | Audits facilities to ensure compliance with environmental regulations and promotes maintenance of a clean and sanitary working environment | Conducts employee training in environmental compliance and the handling of hazardous materials | Provides direction on how to contain spills and clean spill sites to avoid civil or criminal penalties</v>
          </cell>
        </row>
        <row r="376">
          <cell r="E376" t="str">
            <v>AHS050</v>
          </cell>
          <cell r="G376" t="str">
            <v>Conducts safety audits of facilities, equipment and work in progress to ensure compliance with safety/fire safety standards and specifications and safety/fire safety equipment are in working condition | Determines safety training requirements and provides employees with safety training applicable to their work processes | Investigates accidents and/or fires to determine the root cause, circumstances and contributing factors | Develops recommendations and follow-up to prevent accident and/or fire recurrence | Maintains comprehensive knowledge of government safety/fire safety regulations</v>
          </cell>
        </row>
        <row r="377">
          <cell r="E377" t="str">
            <v>AHS070</v>
          </cell>
          <cell r="G377" t="str">
            <v>Directs and coordinates appropriate, timely and cost-effective delivery of health care related to disability, urgent and emergency care, work limitations, transitional return to work plans, accommodations and part-time work for workers' compensation and nonworkers' compensation illness and injury | Determines service needs, selects and evaluates the services of appropriate network providers, and makes recommendations for retention or removal from the network | Identifies and coordinates the process of cases requiring physician-level review and implements recommendations | Identifies cases involving high-frequency and high-risk injuries/illnesses and performs ongoing evaluation and treatment plans | Determines essential job functions and identifies and implements necessary limitations, accommodations and part-time work for high-frequency/high-risk cases to reduce the length of disability</v>
          </cell>
        </row>
        <row r="378">
          <cell r="E378" t="str">
            <v>AHS080</v>
          </cell>
          <cell r="G378" t="str">
            <v>Provides professional medical care for the comfort and well-being of employees, including examinations and treatments | Develops preventive health care programs</v>
          </cell>
        </row>
        <row r="379">
          <cell r="E379" t="str">
            <v>AHS090</v>
          </cell>
          <cell r="G379" t="str">
            <v>Provides professional nursing care for the comfort and well-being of employees and assists physicians during examinations and treatments | Administers prescribed medications and changes dressings | Prepares and maintains patient clinical records | Develops preventive health care programs | May maintain established inventory levels for medicines, supplies and equipment</v>
          </cell>
        </row>
        <row r="380">
          <cell r="E380" t="str">
            <v>AHS100</v>
          </cell>
          <cell r="G380" t="str">
            <v>Supports doctors and nurses providing medical care for the comfort and well-being of employees | Prepares and maintains patient clinical records | Develops preventive health care programs | May maintain established inventory levels for medicines, supplies and equipment</v>
          </cell>
        </row>
        <row r="381">
          <cell r="E381" t="str">
            <v>AHS999</v>
          </cell>
          <cell r="G381" t="str">
            <v>Responsibilities are within the Environmental Health and Safety Function but are not described in other Discipline summaries</v>
          </cell>
        </row>
        <row r="382">
          <cell r="E382" t="str">
            <v>AIC</v>
          </cell>
          <cell r="G382" t="str">
            <v>Responsible for both the design, development and implementation of short- and long-term solutions to information technology (IT) needs through new and existing applications, systems architecture, network systems and applications infrastructure and the management of the IT infrastructure within an organization.</v>
          </cell>
        </row>
        <row r="383">
          <cell r="E383" t="str">
            <v>AIC</v>
          </cell>
          <cell r="G383" t="str">
            <v>Match incumbents responsible for both IT development and IT administration to this function.</v>
          </cell>
        </row>
        <row r="384">
          <cell r="E384" t="str">
            <v>AIC</v>
          </cell>
          <cell r="G384" t="str">
            <v>Match incumbents who primarily administer or run applications and systems to the AIT-IT Administration Function. Incumbents in the AID-IT Development Function primarily develop applications and systems.</v>
          </cell>
        </row>
        <row r="385">
          <cell r="E385" t="str">
            <v>AIC</v>
          </cell>
          <cell r="G385" t="str">
            <v>Note: The EX Career Band is not applicable in North America. Executives are collected as Executive Benchmarks in North America's Executive Surveys.</v>
          </cell>
        </row>
        <row r="386">
          <cell r="E386" t="str">
            <v>AIC</v>
          </cell>
          <cell r="G386" t="str">
            <v>EX (Executive)</v>
          </cell>
        </row>
        <row r="387">
          <cell r="E387" t="str">
            <v>AIC</v>
          </cell>
          <cell r="G387" t="str">
            <v>M (Supervisory/Management)</v>
          </cell>
        </row>
        <row r="388">
          <cell r="E388" t="str">
            <v>AIC</v>
          </cell>
          <cell r="G388" t="str">
            <v>P (Professional)</v>
          </cell>
        </row>
        <row r="389">
          <cell r="E389" t="str">
            <v>AIC000</v>
          </cell>
          <cell r="G389" t="str">
            <v>Designs, develops, implements and oversees information technology (IT), including hardware, software and networks | Implements short- and long-term IT solutions that meet the needs of the organization | Installs, configures, administers, upgrades and maintains security for IT hardware, software and network infrastructure</v>
          </cell>
        </row>
        <row r="390">
          <cell r="E390" t="str">
            <v>AIC000</v>
          </cell>
          <cell r="G390" t="str">
            <v>Match Chief Information Officer to this discipline and the Executive Career Band.</v>
          </cell>
        </row>
        <row r="391">
          <cell r="E391" t="str">
            <v>AIC000</v>
          </cell>
          <cell r="G391" t="str">
            <v>Match Chief Information Officer to this discipline and the Executive Career Band. All Executives in North America should be reported as Executive Benchmarks in one of the Executive surveys conducted in North America.</v>
          </cell>
        </row>
        <row r="392">
          <cell r="E392" t="str">
            <v>AIC001</v>
          </cell>
          <cell r="G392" t="str">
            <v>Optimizes the organization's technology resources and recommends future technology direction and new technology initiatives | Researches and identifies new and emerging technologies that will enhance the organization's operating efficiency and support enhanced customer service and revenue growth</v>
          </cell>
        </row>
        <row r="393">
          <cell r="E393" t="str">
            <v>AIC001</v>
          </cell>
          <cell r="G393" t="str">
            <v>Match Chief Technology Officer to this discipline and the Executive Career Band. All Executives in North America should be reported as Executive Benchmarks in one of the Executive surveys conducted in North America.</v>
          </cell>
        </row>
        <row r="394">
          <cell r="E394" t="str">
            <v>AIC010</v>
          </cell>
          <cell r="G394" t="str">
            <v>Designs, develops, implements and oversees the organization's information security and cyber resilience strategy | Develops the organization's data security procedures and overall cyber-security framework, including the forensic tools and end-to-end process for the detection, root cause analysis and containment of cyber-attacks | Evaluates and recommends hardware and software to provide the appropriate level of protection for data in order to protect the information systems from unauthorized access and use</v>
          </cell>
        </row>
        <row r="395">
          <cell r="E395" t="str">
            <v>AIC999</v>
          </cell>
          <cell r="G395" t="str">
            <v>Responsibilities are within the Information Technology Function but are not described in other Discipline summaries</v>
          </cell>
        </row>
        <row r="396">
          <cell r="E396" t="str">
            <v>AID</v>
          </cell>
          <cell r="G396" t="str">
            <v>Designs, develops, modifies, adapts and implements short- and long-term solutions to information technology (IT) needs through new and existing applications, systems architecture, network systems and applications infrastructure. Reviews system requirements and business processes; codes, tests, debugs and implements software solutions.</v>
          </cell>
        </row>
        <row r="397">
          <cell r="E397" t="str">
            <v>AID</v>
          </cell>
          <cell r="G397" t="str">
            <v>Match incumbents that employ scrum master techniques in agile development practices to the APM150-Agile/Scrum Master Project/Program Management Discipline in the APM-Project/Program Management Function.</v>
          </cell>
        </row>
        <row r="398">
          <cell r="E398" t="str">
            <v>AID</v>
          </cell>
          <cell r="G398" t="str">
            <v>Match incumbents responsible for both IT development and IT administration to the AIC-Information Technology Function.</v>
          </cell>
        </row>
        <row r="399">
          <cell r="E399" t="str">
            <v>AID</v>
          </cell>
          <cell r="G399" t="str">
            <v>Match incumbents responsible for building databases and database systems to this function. Match incumbents responsible for creating linkages between databases to the AEM-Data Science and Business Intelligence Function.</v>
          </cell>
        </row>
        <row r="400">
          <cell r="E400" t="str">
            <v>AID</v>
          </cell>
          <cell r="G400" t="str">
            <v>Match incumbents who are primarily focused on web-based application development to the AID015-Internet/Web Application Development Discipline. Match incumbents who develop applications on more than one platform that may include web development to the AID010-Application Development Discipline.</v>
          </cell>
        </row>
        <row r="401">
          <cell r="E401" t="str">
            <v>AID</v>
          </cell>
          <cell r="G401" t="str">
            <v>Match incumbents who develop new technology product ideas into usable and marketable products to the TPD-Technology Product Development Function.</v>
          </cell>
        </row>
        <row r="402">
          <cell r="E402" t="str">
            <v>AID</v>
          </cell>
          <cell r="G402" t="str">
            <v>Match incumbents who primarily administer or run applications and systems to the AIT-IT Administration Function. Incumbents in this function primarily develop applications and systems.</v>
          </cell>
        </row>
        <row r="403">
          <cell r="E403" t="str">
            <v>AID</v>
          </cell>
          <cell r="G403" t="str">
            <v>Match incumbents who primarily manage multidisciplinary IT projects (i.e., projects that extend beyond application development) to the APM010-Information Technology Project Management Discipline in the APM-Project/Program Management Function. Match incumbents who manage projects exclusively in one aspect of IT such as application development or ERP implementation to that discipline (e.g., AID010-Application Development, AID100-Functional/Business Area - ERP/CRM Application Customization).</v>
          </cell>
        </row>
        <row r="404">
          <cell r="E404" t="str">
            <v>AID</v>
          </cell>
          <cell r="G404" t="str">
            <v>Match incumbents who develop applications for external clients and/or internal business needs to this function.</v>
          </cell>
        </row>
        <row r="405">
          <cell r="E405" t="str">
            <v>AID</v>
          </cell>
          <cell r="G405" t="str">
            <v>Note: The EX Career Band is not applicable in North America. Executives are collected as Executive Benchmarks in North America's Executive Surveys.</v>
          </cell>
        </row>
        <row r="406">
          <cell r="E406" t="str">
            <v>AID</v>
          </cell>
          <cell r="G406" t="str">
            <v>EX (Executive)</v>
          </cell>
        </row>
        <row r="407">
          <cell r="E407" t="str">
            <v>AID</v>
          </cell>
          <cell r="G407" t="str">
            <v>M (Supervisory/Management)</v>
          </cell>
        </row>
        <row r="408">
          <cell r="E408" t="str">
            <v>AID</v>
          </cell>
          <cell r="G408" t="str">
            <v>P (Professional)</v>
          </cell>
        </row>
        <row r="409">
          <cell r="E409" t="str">
            <v>AID</v>
          </cell>
          <cell r="G409" t="str">
            <v>T (Technical Support)</v>
          </cell>
        </row>
        <row r="410">
          <cell r="E410" t="str">
            <v>AID000</v>
          </cell>
          <cell r="G410" t="str">
            <v>Designs, develops, codes, tests, debugs and/or customizes information technology (IT) solutions for own business or external clients | Applies best practices and advanced methodologies, including Scrum techniques, to address and review system requirements, business processes, changing development and technology environments | Responsibilities are within the IT Development Function as a generalist or in a combination of Disciplines</v>
          </cell>
        </row>
        <row r="411">
          <cell r="E411" t="str">
            <v>AID010</v>
          </cell>
          <cell r="G411" t="str">
            <v>Designs, develops, tests, debugs, and implements software applications in accordance with specifications and business needs | Develops program logic for new applications or analyzes and modifies logic in existing applications | Analyzes requirements, tests and integrates application components | Ensures that application improvements are successfully implemented | Typically works on a defined project and may work in a highly efficient ("Agile") development environment</v>
          </cell>
        </row>
        <row r="412">
          <cell r="E412" t="str">
            <v>AID013</v>
          </cell>
          <cell r="G412" t="str">
            <v>Designs, develops and maintains applications and APIs for mobile devices that typically include internet and messaging functions, using computer programming languages such as C#, Java, Objective-C | Analyzes third-party/client requirements and develops innovative and useful mobile software solutions | Typically develops high-performance applications for mobile operating systems such as Android and iOS | Keeps track of the latest fast changing mobile developments</v>
          </cell>
        </row>
        <row r="413">
          <cell r="E413" t="str">
            <v>AID015</v>
          </cell>
          <cell r="G413" t="str">
            <v>Designs and develops primarily Internet/web pages, applications such as e-commerce and content-driven websites | Designs, codes, tests, debugs, documents and implements applications using a variety of languages and platforms such as Java, C, C++, C#, Python, PHP, JavaScript, SQL, Scala, Objective-C and Swift | Develops proof-of-concepts and prototypes of easy-to-navigate user interfaces (UI) that consist of graphics, icons and color schemes that are visually appealing | Ensures that applications are compatible across multiple computing platforms and browsers | May require familiarity with streaming media concepts and techniques, including digital video and audio codes such as H.264, MPEG-4 and FLAC | May also involve responsive web design techniques</v>
          </cell>
        </row>
        <row r="414">
          <cell r="E414" t="str">
            <v>AID016</v>
          </cell>
          <cell r="G414" t="str">
            <v>Designs and develops e-commerce architecture solutions in alignment with the enterprise architecture direction and standards | Develops proof-of-concepts and prototypes of easy-to-navigate shopping interfaces that consist of web pages with graphics, icons and color schemes that are visually appealing | Ensures the compatibility and integration of front-end applications with back-end e-commerce technologies to maintain an integrated architecture across interdependent technologies | Confirms that applications are compatible across multiple computing platforms and browsers | Analyzes and profiles existing e-commerce systems and processes to identify where improvements to user efficiency, robustness and stability can be made</v>
          </cell>
        </row>
        <row r="415">
          <cell r="E415" t="str">
            <v>AID017</v>
          </cell>
          <cell r="G415" t="str">
            <v>Designs and develops engaging, effective user experiences for a digital product or product type in order to drive customer adoption | Identifies requirements and enhances usability and aesthetic appeal of digital experience through the design of interactive flows, sketches, story boards, wireframes, motion studies, mock-ups and prototypes | Stays informed on technology and research on customer preferences, identifying opportunities to apply new technologies to enhance the digital experience</v>
          </cell>
        </row>
        <row r="416">
          <cell r="E416" t="str">
            <v>AID020</v>
          </cell>
          <cell r="G416" t="str">
            <v>Acts as a liaison between the IT development group and business units for the development and implementation of new systems and enhancement of existing systems | Evaluates new applications and identifies systems requirements | Evaluates new IT developments and evolving business requirements and recommends appropriate systems alternatives and/or enhancements to current systems | Prepares communications and makes presentations on system enhancements and/or alternatives</v>
          </cell>
        </row>
        <row r="417">
          <cell r="E417" t="str">
            <v>AID030</v>
          </cell>
          <cell r="G417" t="str">
            <v>Designs and develops IT architecture (integrated process, applications, data and technology) solutions to business problems in alignment with the enterprise architecture direction and standards | Performs technical planning, architecture development and modification of specifications | Develops specifications for new products/services, applications and service offerings | Assesses the compatibility and integration of products/services proposed as standards in order to ensure an integrated architecture across interdependent technologies</v>
          </cell>
        </row>
        <row r="418">
          <cell r="E418" t="str">
            <v>AID040</v>
          </cell>
          <cell r="G418" t="str">
            <v>Designs, develops, tests, debugs and implements software that runs computers and technologies like smart devices, networking equipment, or machinery | Determines systems software design requirements | Ensures that system improvements are successfully implemented and monitored to increase efficiency | Generates systems software engineering policies, standards and procedures | May participate in all aspects of software development, from detailed programming to high-level system design</v>
          </cell>
        </row>
        <row r="419">
          <cell r="E419" t="str">
            <v>AID050</v>
          </cell>
          <cell r="G419" t="str">
            <v>Conducts a wide range of quality control tests and analyses to ensure that software meets or exceeds specified standards and end user requirements | Performs quality assurance and testing in an environment that typically uses state-of-the-art software applications testing processes (i.e., testing "clean room") but may also include manual QA/Testing | Drafts, revises and approves test plans and scripts to ensure alignment with standards and IT strategy | Creates test data files with valid and invalid records to thoroughly test program logic and verify system flow | Collaborates with users to plan user acceptance testing, alpha and beta testing | Ensures that system tests are successfully completed and documented and all problems are resolved | May develop, revise and approve quality assurance and testing policies, standards and procedures</v>
          </cell>
        </row>
        <row r="420">
          <cell r="E420" t="str">
            <v>AID060</v>
          </cell>
          <cell r="G420" t="str">
            <v>Analyzes, designs, creates and implements databases, including data models, logical and physical databases, data dictionaries and schemas, access methods, device allocations, validation checks, organization and security | Develops and implements database recovery plans and procedures | Develops and implements database analysis and development policies, standards and procedures | Collaborates with database software vendors such as SAP, Oracle, Cloudera, Amazon, Redis, ETL and external technical support on issues such as software upgrades, problems and potential solutions</v>
          </cell>
        </row>
        <row r="421">
          <cell r="E421" t="str">
            <v>AID080</v>
          </cell>
          <cell r="G421" t="str">
            <v>Supports network architecture consultants by preparing detailed specifications and documentation from high-level designs | Plans, researches, evaluates, designs and develops network systems by applying engineering, hardware and software design theories and principles to develop a compatible system infrastructure in line with organization strategies</v>
          </cell>
        </row>
        <row r="422">
          <cell r="E422" t="str">
            <v>AID090</v>
          </cell>
          <cell r="G422" t="str">
            <v>Researches networking requirements; prepares detailed architectural and installation plans | Conducts internal studies of network performance and traffic analysis | Researches problems, conducts cable and equipment installations, and evaluates new technologies</v>
          </cell>
        </row>
        <row r="423">
          <cell r="E423" t="str">
            <v>AID100</v>
          </cell>
          <cell r="G423" t="str">
            <v>Configures, implements, maintains and upgrades functional/business area Enterprise Resource Planning (ERP) application modules (e.g., Human Resources, Finance, Supply Chain Management) and Client Relationship Management (CRM) application modules (e.g., Sales, Marketing) | Analyzes user requirements to determine ERP/CRM system configuration and customization | Applies in-depth knowledge of off-the-shelf applications to efficiently customize modules that maintain full compatibility with vendor guidelines | Provides ongoing ERP/CRM system support | May participate in defining requirements and selecting software vendors</v>
          </cell>
        </row>
        <row r="424">
          <cell r="E424" t="str">
            <v>AID110</v>
          </cell>
          <cell r="G424" t="str">
            <v>Designs, develops, implements and troubleshoots various information system (IS) and cyber security software | Develops, tests and validates solutions to remediate exploitable conditions on devices such as web servers, mail servers, routers, firewalls and intrusion detection systems | Evaluates, codes and implements software fixes (patches) to address system vulnerabilities such as malicious code (e.g., viruses), system exploitation using SQL injection, cross-site scripting, buffer overflows, parameter tampering, hidden field manipulation, cookie poisoning and web services manipulation | Conducts security assessments of systems and applications using penetration tests, ethical hacking tools and risk assessment/mediation methodologies to evaluate vulnerabilities</v>
          </cell>
        </row>
        <row r="425">
          <cell r="E425" t="str">
            <v>AID110</v>
          </cell>
          <cell r="G425" t="str">
            <v>Match incumbents who test and modify computer software and/or hardware to ensure the security of the organization's IS and Cyber Security systems and networks to the AIT070-IS and Cyber Security Discipline.</v>
          </cell>
        </row>
        <row r="426">
          <cell r="E426" t="str">
            <v>AID120</v>
          </cell>
          <cell r="G426" t="str">
            <v>Researches, designs and/or develops blockchain technology including frameworks, distributed ledger protocols and consensus mechanisms | Drives deployment and testing, evaluates performance, detects anomalies and implements enhancements | May engage in the external promotion of blockchain, customer presentation and external demand marketing of blockchain products | May assist in developing public chain, side chain, private chain, smart contracts and other logic to establish supply layer of cloud service delivery systems</v>
          </cell>
        </row>
        <row r="427">
          <cell r="E427" t="str">
            <v>AID124</v>
          </cell>
          <cell r="G427" t="str">
            <v>Validates blockchain cloud platform | Sets up validation plan, validates data and reports results | Proposes amendments based on validation results to improve product performance</v>
          </cell>
        </row>
        <row r="428">
          <cell r="E428" t="str">
            <v>AID140</v>
          </cell>
          <cell r="G428" t="str">
            <v>Builds, deploys, implements and/or modifies machine AI applications, including digital agents (e.g., chatbots), pattern recognition applications, (e.g., image, text, speech recognition) and automation scripts and utilities | Typically uses a combination of dataflow programming or pre-trained algorithms from an existing AI framework (e.g., TensorFlow, Caffe, MXNet, Cognitive Toolkit, Torch) but may also develop own scripts and algorithms in C++, Go, Java, Python, or equivalent languages</v>
          </cell>
        </row>
        <row r="429">
          <cell r="E429" t="str">
            <v>AID140</v>
          </cell>
          <cell r="G429" t="str">
            <v>Match incumbents whose focus is the development of machine learning algorithms to the AEM080-Machine Learning Discipline within the AEM-Data Science and Business Intelligence Function.</v>
          </cell>
        </row>
        <row r="430">
          <cell r="E430" t="str">
            <v>AID142</v>
          </cell>
          <cell r="G430" t="str">
            <v>Develops new image processing concepts for automotive, industrial and IoT (Internet of Things) applications utilizing machine learning in the computer vision domain | Designs advanced systems engineering algorithms for object recognition and localization | Works with users and partners in testing prototypes and demonstrators | Analyzes technology and market trends to derive impact on research strategy and to identify key partners</v>
          </cell>
        </row>
        <row r="431">
          <cell r="E431" t="str">
            <v>AID144</v>
          </cell>
          <cell r="G431" t="str">
            <v>Builds, deploys, implements and/or modifies natural language processing applications (i.e., focused on speech recognition, language understanding and/or generation) | Typically uses a combination of dataflow programming or pre-trained algorithms from an existing AI framework (e.g., TensorFlow, Caffe, MXNet, Cognitive Toolkit, Torch) but may also develop own scripts and algorithms in C++, Go, Java, Python, or equivalent languages</v>
          </cell>
        </row>
        <row r="432">
          <cell r="E432" t="str">
            <v>AID150</v>
          </cell>
          <cell r="G432" t="str">
            <v>Develops and integrates optimized algorithms to create new systems or enhance current systems | Communicates concise requirement specifications, architecture specifications, design descriptions, verification plans and test cases | Performs and assists unit testing of software and the verification and validation process of the complete designs</v>
          </cell>
        </row>
        <row r="433">
          <cell r="E433" t="str">
            <v>AID162</v>
          </cell>
          <cell r="G433" t="str">
            <v>Designs product's visual interface and structure, including the interface style, layout and components | Facilitates user-friendly designs that emphasize translating user processes into straightforward user interfaces (UI) and navigation flows | Identifies customer user profiles and UI needs through customer visits and lab testing and leads structured task analyses; conducts surveys of customer satisfaction with user interfaces | Presents results of usability analyses to project teams and upper management with findings and recommendations; establishes and maintains UI standards and style guides | Modifies UI prototype designs based on user feedback; writes specifications for final designs that maximize ergonomics and usability within established cost constraints | Ensures that the interface look and feel is intuitive, state-of-the-art and consistent across products</v>
          </cell>
        </row>
        <row r="434">
          <cell r="E434" t="str">
            <v>AID162</v>
          </cell>
          <cell r="G434" t="str">
            <v>Match incumbents with combined responsibility for User Interface and User Experience to the AID164-User Experience Design Discipline.</v>
          </cell>
        </row>
        <row r="435">
          <cell r="E435" t="str">
            <v>AID164</v>
          </cell>
          <cell r="G435" t="str">
            <v>Studies user's feeling and experience when using organization products and makes improvements according to research and feedback | Identifies technical requirements and develops ideas through scenarios, sketches, story boards, user flows, wireframes, motion studies, mock-ups and prototypes | Collaborates with a team of designers, researchers and engineers, brainstorming concepts from a customer's viewpoint | Leads or participates in user research for refinement of ideas and concepts | Stays informed on technology and research on customer preferences, identifying opportunities to apply new technologies and interaction patterns to customer problems</v>
          </cell>
        </row>
        <row r="436">
          <cell r="E436" t="str">
            <v>AID164</v>
          </cell>
          <cell r="G436" t="str">
            <v>Match incumbents with combined responsibility for User Interface and User Experience to this discipline.</v>
          </cell>
        </row>
        <row r="437">
          <cell r="E437" t="str">
            <v>AID165</v>
          </cell>
          <cell r="G437" t="str">
            <v>Develops, writes and edits all written text the user encounters when navigating websites and mobile applications, to guide them completing the desired action when using a piece of software | Creates the vision for content and drives cohesive product narratives across multiple platforms and touch points, ensuring a smooth user experience | Collaborates with designers, researchers and other key business stakeholders throughout the UX design process to write and test user-focused solutions and optimize user experience</v>
          </cell>
        </row>
        <row r="438">
          <cell r="E438" t="str">
            <v>AID170</v>
          </cell>
          <cell r="G438" t="str">
            <v>Implements organization's cloud strategy from a technical perspective, including design, planning, integration, maintenance and support of cloud architecture | Supports development and execution of cloud implementation strategy within organization's existing IT infrastructure | May work with stakeholders across organization to evaluate cloud systems and identify appropriate solutions</v>
          </cell>
        </row>
        <row r="439">
          <cell r="E439" t="str">
            <v>AID200</v>
          </cell>
          <cell r="G439" t="str">
            <v>Performs activities in all layers of the stack, from setting up the database to programming in the back-end and the appearance at the front-end | Is involved in all stages of software development, being front-end development, back-end development, database integrations, network and hosting management, user interface, user experience, and back-end server management</v>
          </cell>
        </row>
        <row r="440">
          <cell r="E440" t="str">
            <v>AID200</v>
          </cell>
          <cell r="G440" t="str">
            <v>Match incumbents responsible for both Front-End and Back-End programming (Full Stack) to this discipline.</v>
          </cell>
        </row>
        <row r="441">
          <cell r="E441" t="str">
            <v>AID210</v>
          </cell>
          <cell r="G441" t="str">
            <v>Designs, develops and maintains server-side (Back-End) programs to process calculations and transfer information between servers and devices | Reviews requirements and specifications from system architects and creates backend software programs to optimize system performance | Programs and executes scripts directly on web servers</v>
          </cell>
        </row>
        <row r="442">
          <cell r="E442" t="str">
            <v>AID210</v>
          </cell>
          <cell r="G442" t="str">
            <v>Match incumbents responsible for both Front-End and Back-End programming (Full Stack) to the AID200-Full Stack Development discipline.</v>
          </cell>
        </row>
        <row r="443">
          <cell r="E443" t="str">
            <v>AID220</v>
          </cell>
          <cell r="G443" t="str">
            <v>Designs, develops and maintains front-end software and functionalities to provide end users with access to system functions | Builds front-end application components to include scripts to run in web browsers on various devices | Manipulates images for incorporation into interactive front-end system components| Incorporates appropriate security into front-end software to restrict access to appropriate system components and authorized users</v>
          </cell>
        </row>
        <row r="444">
          <cell r="E444" t="str">
            <v>AID220</v>
          </cell>
          <cell r="G444" t="str">
            <v>Match incumbents responsible for both Front-End and Back-End programming (Full Stack) to the AID200-Full Stack Development discipline.</v>
          </cell>
        </row>
        <row r="445">
          <cell r="E445" t="str">
            <v>AID300</v>
          </cell>
          <cell r="G445" t="str">
            <v>Develops software for Point-of-Sale (POS) applications or analyzes and modifies logic in existing applications | Codes, tests, debugs, documents, implements and maintains POS software applications | Analyzes requirements and maintains, tests and integrates POS application components | Ensures that POS system improvements are successfully implemented</v>
          </cell>
        </row>
        <row r="446">
          <cell r="E446" t="str">
            <v>AID310</v>
          </cell>
          <cell r="G446" t="str">
            <v>Develops and implements Electronic Data Interchange (EDI) computer solutions to automatically exchange business operations information and documents in standardized form directly with the computers of vendors and/or customers | Establishes system checks and control points to ensure the successful flow and quality of all EDI transactions | Coordinates EDI needs analysis studies and projects focusing on expanding the automated exchange of information with trading partners to improve business performance | Plans, implements and maintains EDI databases and systems</v>
          </cell>
        </row>
        <row r="447">
          <cell r="E447" t="str">
            <v>AID310</v>
          </cell>
          <cell r="G447" t="str">
            <v>Match incumbents responsible for IT Development aspects of Electronic Data Interchange to this discipline.</v>
          </cell>
        </row>
        <row r="448">
          <cell r="E448" t="str">
            <v>AID999</v>
          </cell>
          <cell r="G448" t="str">
            <v>Responsibilities are within the IT Development Function but are not described in other Discipline summaries</v>
          </cell>
        </row>
        <row r="449">
          <cell r="E449" t="str">
            <v>AIT</v>
          </cell>
          <cell r="G449" t="str">
            <v>Manages the Information Technology (IT) infrastructure within an organization, including the physical network (e.g., LANs/WANs, servers, terminals) as well as server applications and software (e.g., PeopleSoft, Oracle). Configures, installs, maintains and upgrades server applications and hardware.</v>
          </cell>
        </row>
        <row r="450">
          <cell r="E450" t="str">
            <v>AIT</v>
          </cell>
          <cell r="G450" t="str">
            <v>Match incumbents responsible for both IT development and IT administration to the AIC-Information Technology Function.</v>
          </cell>
        </row>
        <row r="451">
          <cell r="E451" t="str">
            <v>AIT</v>
          </cell>
          <cell r="G451" t="str">
            <v>Match incumbents responsible for business technical training (excluding IT training) to the AHR134-Technical Training Discipline in the AHR-Human Resources Function.</v>
          </cell>
        </row>
        <row r="452">
          <cell r="E452" t="str">
            <v>AIT</v>
          </cell>
          <cell r="G452" t="str">
            <v>Match incumbents responsible for delivering technical product training to customers to the CUT040-Technical/Product Training Discipline in the CUT-Technical Sales Support Function.</v>
          </cell>
        </row>
        <row r="453">
          <cell r="E453" t="str">
            <v>AIT</v>
          </cell>
          <cell r="G453" t="str">
            <v>Match incumbents who primarily administer or run applications and systems to this function. Match incumbents who primarily develop applications and systems to the AID-IT Development Function.</v>
          </cell>
        </row>
        <row r="454">
          <cell r="E454" t="str">
            <v>AIT</v>
          </cell>
          <cell r="G454" t="str">
            <v>Match incumbents who manage IT Infrastructure in a data center environment to the appropriate discipline within this function.</v>
          </cell>
        </row>
        <row r="455">
          <cell r="E455" t="str">
            <v>AIT</v>
          </cell>
          <cell r="G455" t="str">
            <v>Note: The EX Career Band is not applicable in North America. Executives are collected as Executive Benchmarks in North America's Executive Surveys.</v>
          </cell>
        </row>
        <row r="456">
          <cell r="E456" t="str">
            <v>AIT</v>
          </cell>
          <cell r="G456" t="str">
            <v>EX (Executive)</v>
          </cell>
        </row>
        <row r="457">
          <cell r="E457" t="str">
            <v>AIT</v>
          </cell>
          <cell r="G457" t="str">
            <v>M (Supervisory/Management)</v>
          </cell>
        </row>
        <row r="458">
          <cell r="E458" t="str">
            <v>AIT</v>
          </cell>
          <cell r="G458" t="str">
            <v>P (Professional)</v>
          </cell>
        </row>
        <row r="459">
          <cell r="E459" t="str">
            <v>AIT</v>
          </cell>
          <cell r="G459" t="str">
            <v>T (Technical Support)</v>
          </cell>
        </row>
        <row r="460">
          <cell r="E460" t="str">
            <v>AIT000</v>
          </cell>
          <cell r="G460" t="str">
            <v>Administers the IT infrastructure within an organization, including the physical network (e.g., LANs/WANs, servers, terminals) as well as server applications and software (e.g., PeopleSoft, Oracle) | Responsibilities are within the IT Administration Function as a generalist or in a combination of Disciplines</v>
          </cell>
        </row>
        <row r="461">
          <cell r="E461" t="str">
            <v>AIT010</v>
          </cell>
          <cell r="G461" t="str">
            <v>Configures, installs, maintains and upgrades computer systems hardware and software | Administers and maintains security of operating systems | Restores files or systems by designing, writing and implementing back-up procedures | Provides operational support for the organization's information systems and peripheral equipment such as application servers, database servers, web servers, desktops, printers and storage devices | Performs recovery procedures, scheduling and back-ups and monitors batch processes</v>
          </cell>
        </row>
        <row r="462">
          <cell r="E462" t="str">
            <v>AIT010</v>
          </cell>
          <cell r="G462" t="str">
            <v>Match incumbents responsible for administering systems on multiple platforms such as mainframe, UNIX and LAN to this discipline.</v>
          </cell>
        </row>
        <row r="463">
          <cell r="E463" t="str">
            <v>AIT015</v>
          </cell>
          <cell r="G463" t="str">
            <v>Plans and administers web systems hardware and operating system server software, including web server setup and implementation | Maintains and monitors website functionality (e.g., links, calculators, news feeds) and website security | Conducts performance monitoring, capacity planning, workload modeling and predictive analyses to identify and resolve potential issues (e.g., performance, security breaches) | Collaborates with internal and/or external resources (i.e., content owners, editors, web developers) to maintain current information and tools on the organization's website(s) | Troubleshoots network problems and security issues</v>
          </cell>
        </row>
        <row r="464">
          <cell r="E464" t="str">
            <v>AIT020</v>
          </cell>
          <cell r="G464" t="str">
            <v>Provides technical support to the organization's internal users of computer applications and hardware (e.g., PCs, servers, mainframes) | Answers questions regarding system procedures, online transactions, systems status and downtime procedures and is typically located within a call center | Collaborates with network services, software systems engineering and/or application development in order to restore service and/or identify problems | Maintains a troubleshooting tracking log ensuring timely resolution of problems</v>
          </cell>
        </row>
        <row r="465">
          <cell r="E465" t="str">
            <v>AIT020</v>
          </cell>
          <cell r="G465" t="str">
            <v>Match incumbents responsible for low complexity or 1st level support to the Technical Support (T) Career Band. Match incumbents responsible for complex or 2nd level support to the Professional (P) Career Band.</v>
          </cell>
        </row>
        <row r="466">
          <cell r="E466" t="str">
            <v>AIT025</v>
          </cell>
          <cell r="G466" t="str">
            <v>Provides on-site technical support to the organization's internal users of computer applications and hardware (e.g., PCs, servers, mainframes) | Collaborates with network services, software systems engineering and/or application development in order to restore service and/or identify problems | Typically resolves issues referred by help desk support</v>
          </cell>
        </row>
        <row r="467">
          <cell r="E467" t="str">
            <v>AIT030</v>
          </cell>
          <cell r="G467" t="str">
            <v>Administers database utilities, monitors the relationships between the database users and applications, and maintains the organization's databases across multiple platforms and computing environments | Applies understanding of relational database concepts and query languages in order to design required summary or aggregation tables to support analyses | Collaborates with technology/infrastructure staff to identify data relationships and functional requirements; analyzes and resolves issues related to information flow and content | Maintains database support tools, database tables and dictionaries and recovery and back-up procedures | Performs data modeling studies and develops detailed data models; maintains data model and entity relationship diagrams</v>
          </cell>
        </row>
        <row r="468">
          <cell r="E468" t="str">
            <v>AIT040</v>
          </cell>
          <cell r="G468" t="str">
            <v>Provides technical expertise in the management of a public and/or private network; tests and analyzes network facilities, including network control software, routers, switches, lines, modems, adapters and servers | Installs, supports and/or maintains LANs and/or WANs; evaluates and recommends networking product and software upgrades | Performs technical analyses of software, hardware and transmission facilities using various diagnostic tools in support of efficient network operations | Monitors data traffic and controls network resource performance to ensure high-quality transmission | Identifies, diagnoses and resolves technical problems related to network failure/integrity and usage of PC hardware and software</v>
          </cell>
        </row>
        <row r="469">
          <cell r="E469" t="str">
            <v>AIT060</v>
          </cell>
          <cell r="G469" t="str">
            <v>Develops and tests plans to ensure the continuity of critical business functions and minimizes information loss in the event of a disaster (e.g., fire, flood, hurricane, earthquake) | Sets up hot sites so that backup systems can be brought up and running quickly | Institutes loss-reduction mechanisms to lessen exposure to disaster risks such as sprinkler systems, insurance policies and evacuation procedures | In the event of disaster, assesses damage to computer hardware, vital records, etc., to determine what should be salvaged, restored or replaced</v>
          </cell>
        </row>
        <row r="470">
          <cell r="E470" t="str">
            <v>AIT070</v>
          </cell>
          <cell r="G470" t="str">
            <v>Evaluates, tests, monitors and maintains information systems (IS) and cyber security policies, procedures and systems I Creates, implements and oversees identity management systems to meet specific security needs and complex compliance standards | Ensures that IS and cyber security plans, controls, processes, standards, policies and procedures are aligned with IS standards and overall IS and cyber security | Identifies security risks and exposures, determines the causes of security violations and suggests procedures to halt future incidents and improve security | Develops techniques and procedures for conducting IS, cyber security and access and identity risk assessments and compliance audits, the evaluation and testing of hardware, firmware and software for possible impact on system security, and the investigation and resolution of security incidents such as intrusion, frauds, attacks or leaks</v>
          </cell>
        </row>
        <row r="471">
          <cell r="E471" t="str">
            <v>AIT080</v>
          </cell>
          <cell r="G471" t="str">
            <v>Develops, coordinates and conducts IT training, educational and orientation programs for users | Develops and maintains documentation of information technology systems and applications and coordinates incorporation of documentation within applications (e.g., online help) | Develops, implements and/or approves training and documentation policies, standards and procedures | Maintains records and prepares documentation of training programs, scheduling, employee attendance and training program effectiveness</v>
          </cell>
        </row>
        <row r="472">
          <cell r="E472" t="str">
            <v>AIT080</v>
          </cell>
          <cell r="G472" t="str">
            <v>Match incumbents responsible for training the organization's own employees on information technology to this discipline.</v>
          </cell>
        </row>
        <row r="473">
          <cell r="E473" t="str">
            <v>AIT090</v>
          </cell>
          <cell r="G473" t="str">
            <v>Designs, implements and maintains the organization's voice and data communications networks | Performs technical analysis to ensure operational effectiveness of installed systems and proposed systems will meet the organization's needs in the future | Collaborates with systems software programmers and may provide some direction in the installation and maintenance of the telecommunications network software</v>
          </cell>
        </row>
        <row r="474">
          <cell r="E474" t="str">
            <v>AIT110</v>
          </cell>
          <cell r="G474" t="str">
            <v>Outsources IT activities in order to lower information technology costs and enable the organization to focus on its core business operations | Develops and implements outsourcing policies, standards and procedures that are aligned with the organization's IT standards and strategy | Develops and administers contracts with outsourcing services (e.g., data center operations, help desk) in coordination with the organization's procurement and legal functions | Analyzes and reports on outsourcing vendor performance | Manages the organization's relationship with outsourcing vendors and ensures that the outsourcing vendor's performance meets the organization's requirements</v>
          </cell>
        </row>
        <row r="475">
          <cell r="E475" t="str">
            <v>AIT120</v>
          </cell>
          <cell r="G475" t="str">
            <v>Develops effective relationships with business units, divisions or groups of users | Ensures required IT services are identified, developed and supported to the satisfaction of the business unit/division | Establishes and maintains service level agreements and is the main point of contact for all service issues</v>
          </cell>
        </row>
        <row r="476">
          <cell r="E476" t="str">
            <v>AIT130</v>
          </cell>
          <cell r="G476" t="str">
            <v>Monitors and measures relevant performance metrics to assess the performance of IT resources | Devises measures and targets to assess and optimize the performance of IT functions, services, projects and any related improvement initiative | Identifies and analyzes performance measures and metrics, develops and maintains balanced scorecards and dashboards, and evaluates and monitors performance in IT-related areas | May include network performance management, application performance management (APM), (operating) system performance management (physical and virtual/cloud) and business transactions performance</v>
          </cell>
        </row>
        <row r="477">
          <cell r="E477" t="str">
            <v>AIT300</v>
          </cell>
          <cell r="G477" t="str">
            <v>Administers and supports Point of Sale (POS) hardware and software system operations, including configuration, networking, polling and peripherals | Stages, installs and tests POS equipment in new and existing stores and coordinates moving equipment to and from stores | Tests new versions of register software and coordinates installation in stores | Coordinates with sales audit and inventory control/loss prevention regarding accuracy of polling/data capture and rekeying of missed sales transactions</v>
          </cell>
        </row>
        <row r="478">
          <cell r="E478" t="str">
            <v>AIT310</v>
          </cell>
          <cell r="G478" t="str">
            <v>Administers and supports Electronic Data Interchange (EDI) system operations, including hardware and software configuration and networking and polling to ensure the reliable, accurate exchange of business operations information and documents with vendors and/or customers | Performs EDI system maintenance necessary to update records, specifications, and operating procedures of trading partners' systems | Collaborates with supply chain group to add new trading partners and implement additional capabilities with existing trading partners | Maintains EDI transaction records and communicates with trading partners regarding data translation maps, account modifications, and transaction problems or questions</v>
          </cell>
        </row>
        <row r="479">
          <cell r="E479" t="str">
            <v>AIT999</v>
          </cell>
          <cell r="G479" t="str">
            <v>Responsibilities are within the IT Administration Function but are not described in other Discipline summaries</v>
          </cell>
        </row>
        <row r="480">
          <cell r="E480" t="str">
            <v>ALG</v>
          </cell>
          <cell r="G480" t="str">
            <v>Provides legal advice and services on issues concerning the rights, obligations and privileges of the organization. Represents the organization to customers, suppliers, competitors and government agencies. Provides resolution of business or technical issues by identifying legal solutions and recommending a course of action. Examines legal data to determine advisability of defending or prosecuting lawsuits.</v>
          </cell>
        </row>
        <row r="481">
          <cell r="E481" t="str">
            <v>ALG</v>
          </cell>
          <cell r="G481" t="str">
            <v>Incumbents matched to this function must have a law degree that qualifies them to practice law.</v>
          </cell>
        </row>
        <row r="482">
          <cell r="E482" t="str">
            <v>ALG</v>
          </cell>
          <cell r="G482" t="str">
            <v>Match incumbents responsible for contract administration to the ALS020-Contract Administration Discipline in the ALS-Legal Support Function.</v>
          </cell>
        </row>
        <row r="483">
          <cell r="E483" t="str">
            <v>ALG</v>
          </cell>
          <cell r="G483" t="str">
            <v>Match individual contributors in clerical or administrative support jobs in a legal department to the Business Support Career Band in the ALS-Legal Support Function.</v>
          </cell>
        </row>
        <row r="484">
          <cell r="E484" t="str">
            <v>ALG</v>
          </cell>
          <cell r="G484" t="str">
            <v>Match incumbents responsible for media-specific contracts and negotiations (including development, production, licensing and distribution deals) to the appropriate Discipline in the MBL-Media Business Affairs Function.</v>
          </cell>
        </row>
        <row r="485">
          <cell r="E485" t="str">
            <v>ALG</v>
          </cell>
          <cell r="G485" t="str">
            <v>Note: The EX Career Band is not applicable in North America. Executives are collected as Executive Benchmarks in North America's Executive Surveys.</v>
          </cell>
        </row>
        <row r="486">
          <cell r="E486" t="str">
            <v>ALG</v>
          </cell>
          <cell r="G486" t="str">
            <v>EX (Executive)</v>
          </cell>
        </row>
        <row r="487">
          <cell r="E487" t="str">
            <v>ALG</v>
          </cell>
          <cell r="G487" t="str">
            <v>M (Supervisory/Management)</v>
          </cell>
        </row>
        <row r="488">
          <cell r="E488" t="str">
            <v>ALG</v>
          </cell>
          <cell r="G488" t="str">
            <v>P (Professional)</v>
          </cell>
        </row>
        <row r="489">
          <cell r="E489" t="str">
            <v>ALG000</v>
          </cell>
          <cell r="G489" t="str">
            <v>Provides a full range of legal advice and services | Responsibilities are within the Legal Function as a generalist or in a combination of Disciplines</v>
          </cell>
        </row>
        <row r="490">
          <cell r="E490" t="str">
            <v>ALG000</v>
          </cell>
          <cell r="G490" t="str">
            <v>Match a Company Secretary who has responsibility for all or the majority of the Legal Function to this discipline and the Executive Career Band. All Executives in North America should be reported as Executive Benchmarks in one of the Executive surveys conducted in North America.</v>
          </cell>
        </row>
        <row r="491">
          <cell r="E491" t="str">
            <v>ALG005</v>
          </cell>
          <cell r="G491" t="str">
            <v>Prepares and maintains official corporate notices, records and actions of the Board of Directors and ensures compliance with statutory reporting requirements | Arranges Board of Directors meetings, prepares minutes of Board meetings and communicates with stockholders with regard to general corporate policy and annual meetings | May monitor and develop procedures set in place by the Board of Directors/executive team regarding corporate governance, follow developments affecting corporate governance and make recommendations to the Board on development of best practices</v>
          </cell>
        </row>
        <row r="492">
          <cell r="E492" t="str">
            <v>ALG010</v>
          </cell>
          <cell r="G492" t="str">
            <v>Reviews, drafts and negotiates a broad range of commercial contracts | Ensures that contracts are in compliance with legal, regulatory and organization policies | Monitors the contract process to assure compliance with the organization's contractual guidelines, satisfaction of customer specifications and adherence to organization policy | May act as a contract liaison between the organization and customers/vendors, including participation in precontract discussions, contract negotiations and contract changes | Assesses commercial risk of contracts</v>
          </cell>
        </row>
        <row r="493">
          <cell r="E493" t="str">
            <v>ALG020</v>
          </cell>
          <cell r="G493" t="str">
            <v>Provides legal advice regarding employment law | Collaborates with Human Resources on all issues of the law related to the organization's human capital | Monitors legal issues and implications concerned with discrimination, sexual harassment, health and safety, hiring and firing, as well as all other aspects of employee rights and responsibilities</v>
          </cell>
        </row>
        <row r="494">
          <cell r="E494" t="str">
            <v>ALG030</v>
          </cell>
          <cell r="G494" t="str">
            <v>Advises and represents the organization on legal issues concerning patent, copyright or trademark matters | Provides legal advice on the patentability of inventions, infringement of patents or copyrights, and the validity of trademarks | Prepares applications for patents, copyrights and trademarks</v>
          </cell>
        </row>
        <row r="495">
          <cell r="E495" t="str">
            <v>ALG040</v>
          </cell>
          <cell r="G495" t="str">
            <v>Examines legal data to determine advisability of defending or prosecuting a lawsuit | Studies statutes, decisions and ordinances to determine appropriate plan of action | Prepares files and takes cases to trial if out-of-court settlements cannot be reached | Assesses impact of case outcomes and initiates steps to implement any resulting changes</v>
          </cell>
        </row>
        <row r="496">
          <cell r="E496" t="str">
            <v>ALG050</v>
          </cell>
          <cell r="G496" t="str">
            <v>Provides legal advice to the organization on mergers and acquisitions | Participates in negotiations on behalf of the organization regarding mergers, acquisitions and divestitures | Works closely with Strategic Planning/Corporate Development</v>
          </cell>
        </row>
        <row r="497">
          <cell r="E497" t="str">
            <v>ALG065</v>
          </cell>
          <cell r="G497" t="str">
            <v>Creates efficient monitoring systems and incentives to ensure that executive behavior aligns with the interests of stakeholders | Plans and monitors relationships among stakeholders, Board of Directors, executive officers, independent auditors and the Board Audit Committee to ensure compliance with rules and policies of the organization | Identifies and resolves issues and recommends preventive and corrective measures</v>
          </cell>
        </row>
        <row r="498">
          <cell r="E498" t="str">
            <v>ALG070</v>
          </cell>
          <cell r="G498" t="str">
            <v>Interprets laws and government regulations affecting the operation of the organization | Implements policies and procedures to ensure organization compliance with regulations and regulatory reporting requirements | Investigates and resolves compliance problems and responds to questions from internal sources and regulatory agencies</v>
          </cell>
        </row>
        <row r="499">
          <cell r="E499" t="str">
            <v>ALG072</v>
          </cell>
          <cell r="G499" t="str">
            <v>Provides advice to the organization on food laws and government regulations affecting the operation of the organization | Implements policies and procedures to ensure organization compliance with food regulations and regulatory reporting requirements, including food safety, labeling, genetically modified organisms, environmental concerns, sales regulation, intellectual property rights in food, and the international regulation of food | Investigates and resolves compliance problems and responds to questions from internal sources and regulatory agencies</v>
          </cell>
        </row>
        <row r="500">
          <cell r="E500" t="str">
            <v>ALG080</v>
          </cell>
          <cell r="G500" t="str">
            <v>Provides legal advice and represents the organization with relevant taxation agencies | Monitors potential impact of tax legislation and formulates tax savings plans to alleviate or reduce an increased tax burden | Prepares opinions on tax liability resulting from past or future operations</v>
          </cell>
        </row>
        <row r="501">
          <cell r="E501" t="str">
            <v>ALG100</v>
          </cell>
          <cell r="G501" t="str">
            <v>Focuses on information technologies and communication laws and regulations | Advises and represents the organization in legal issues concerning information systems (IS) and cyber security risks and violations | Specializes in IS and cyber defense, cybercrime (e.g., hacking) and personal data</v>
          </cell>
        </row>
        <row r="502">
          <cell r="E502" t="str">
            <v>ALG999</v>
          </cell>
          <cell r="G502" t="str">
            <v>Responsibilities are within the Legal Function but are not described in other Discipline summaries</v>
          </cell>
        </row>
        <row r="503">
          <cell r="E503" t="str">
            <v>ALS</v>
          </cell>
          <cell r="G503" t="str">
            <v>Provides support for a variety of law-related activities that do not require a law degree, including legal or factual research, contract administration, document preparation and analysis, citation checking and trial preparation.</v>
          </cell>
        </row>
        <row r="504">
          <cell r="E504" t="str">
            <v>ALS</v>
          </cell>
          <cell r="G504" t="str">
            <v>Match individual contributors in clerical or administrative support jobs in a legal department to the Business Support Career Band in this function.</v>
          </cell>
        </row>
        <row r="505">
          <cell r="E505" t="str">
            <v>ALS</v>
          </cell>
          <cell r="G505" t="str">
            <v>M (Supervisory/Management)</v>
          </cell>
        </row>
        <row r="506">
          <cell r="E506" t="str">
            <v>ALS</v>
          </cell>
          <cell r="G506" t="str">
            <v>P (Professional)</v>
          </cell>
        </row>
        <row r="507">
          <cell r="E507" t="str">
            <v>ALS</v>
          </cell>
          <cell r="G507" t="str">
            <v>U (Business Support)</v>
          </cell>
        </row>
        <row r="508">
          <cell r="E508" t="str">
            <v>ALS000</v>
          </cell>
          <cell r="G508" t="str">
            <v>Performs or supports a variety of law-related activities that do not require a law degree, including legal or factual research, contract administration, document preparation and analysis, citation checking and trial preparation | Responsibilities are within the Legal Support Function as a generalist or in a combination of Disciplines</v>
          </cell>
        </row>
        <row r="509">
          <cell r="E509" t="str">
            <v>ALS000</v>
          </cell>
          <cell r="G509" t="str">
            <v>Match patent and/or trademark agents to this discipline.</v>
          </cell>
        </row>
        <row r="510">
          <cell r="E510" t="str">
            <v>ALS010</v>
          </cell>
          <cell r="G510" t="str">
            <v>Performs a variety of law-related tasks under the direction of the organization's attorneys | Conducts legal research, drafts legal documents and performs other related duties | Has or is working towards a paralegal designation</v>
          </cell>
        </row>
        <row r="511">
          <cell r="E511" t="str">
            <v>ALS020</v>
          </cell>
          <cell r="G511" t="str">
            <v>Participates in the development and fulfillment of contract requirements in the purchase or sale/delivery of equipment, materials, products or services | Evaluates contract compliance and advises others on contractual rights and obligations | Requests or approves amendments to contract terms or contract extensions | Prepares bids or requests for proposals (RFPs), including specifications and requirements; negotiates contract terms and participates in the determination of acceptable bids</v>
          </cell>
        </row>
        <row r="512">
          <cell r="E512" t="str">
            <v>ALS030</v>
          </cell>
          <cell r="G512" t="str">
            <v>Oversees claims operations that involve customer contact, investigation and settlement of property and personal damage claims for and against the organization | Approves all claim settlements both for and against the organization | Works with insurance companies, contractors, repair facilities, internal and external legal staff, law enforcement agencies and collection services in the settlement of claims | Coordinates and conducts site investigations to determine the causes of damage and the extent and method of restitution to customer | Initiates procedures for billing and collection of money owed to the organization for damage to organization equipment and/or property</v>
          </cell>
        </row>
        <row r="513">
          <cell r="E513" t="str">
            <v>ALS040</v>
          </cell>
          <cell r="G513" t="str">
            <v>Performs secretarial duties that require knowledge of legal procedures and terminology | Prepares papers and correspondence such as contracts, briefs, summonses, complaints and motions | May maintain files and calendars, schedule appointments, schedule meetings and make travel arrangements</v>
          </cell>
        </row>
        <row r="514">
          <cell r="E514" t="str">
            <v>ALS300</v>
          </cell>
          <cell r="G514" t="str">
            <v>Initiates the cancellation of orders for merchandise from wholesalers and/or contract manufacturers and processes documentation to protect the organization from liability | Files claims with all responsible parties for cargo loss and damaged merchandise | Makes arrangements to have damaged merchandise inspected, repaired, replaced and/or returned as appropriate | Coordinates and controls claim and cancellation negotiation and resolution with global factories</v>
          </cell>
        </row>
        <row r="515">
          <cell r="E515" t="str">
            <v>ALS999</v>
          </cell>
          <cell r="G515" t="str">
            <v>Responsibilities are within the Legal Support Function but are not described in other Discipline summaries</v>
          </cell>
        </row>
        <row r="516">
          <cell r="E516" t="str">
            <v>AMJ</v>
          </cell>
          <cell r="G516" t="str">
            <v>Responsible for marketing, sales, customer service and business development to promote and support the organization's products. Works to improve an organization's market position and achieve financial growth.</v>
          </cell>
        </row>
        <row r="517">
          <cell r="E517" t="str">
            <v>AMJ</v>
          </cell>
          <cell r="G517" t="str">
            <v>Match incumbents involved in both Sales and Marketing activities to this function.</v>
          </cell>
        </row>
        <row r="518">
          <cell r="E518" t="str">
            <v>AMJ</v>
          </cell>
          <cell r="G518" t="str">
            <v>Match incumbents responsible for either sales, account management or relationship management to the appropriate discipline in one of the Customer/Client Management and Sales Functions.</v>
          </cell>
        </row>
        <row r="519">
          <cell r="E519" t="str">
            <v>AMJ</v>
          </cell>
          <cell r="G519" t="str">
            <v>Match incumbents who are only responsible for marketing to the AMK-Marketing Function.</v>
          </cell>
        </row>
        <row r="520">
          <cell r="E520" t="str">
            <v>AMJ</v>
          </cell>
          <cell r="G520" t="str">
            <v>Note: The EX Career Band is not applicable in North America. Executives are collected as Executive Benchmarks in North America's Executive Surveys.</v>
          </cell>
        </row>
        <row r="521">
          <cell r="E521" t="str">
            <v>AMJ</v>
          </cell>
          <cell r="G521" t="str">
            <v>EX (Executive)</v>
          </cell>
        </row>
        <row r="522">
          <cell r="E522" t="str">
            <v>AMJ</v>
          </cell>
          <cell r="G522" t="str">
            <v>M (Supervisory/Management)</v>
          </cell>
        </row>
        <row r="523">
          <cell r="E523" t="str">
            <v>AMJ</v>
          </cell>
          <cell r="G523" t="str">
            <v>P (Professional)</v>
          </cell>
        </row>
        <row r="524">
          <cell r="E524" t="str">
            <v>AMJ</v>
          </cell>
          <cell r="G524" t="str">
            <v>U (Business Support)</v>
          </cell>
        </row>
        <row r="525">
          <cell r="E525" t="str">
            <v>AMJ000</v>
          </cell>
          <cell r="G525" t="str">
            <v>Designs, develops and implements marketing programs and/or pricing strategies to support the organization's products, services or market sector | Designs, develops and implements sales programs to meet the organization's business objectives | Plans, directs and coordinates the efforts of marketing, sales, buying and merchandising toward the accomplishment of objectives</v>
          </cell>
        </row>
        <row r="526">
          <cell r="E526" t="str">
            <v>AMJ999</v>
          </cell>
          <cell r="G526" t="str">
            <v>Responsibilities are within the Sales, Marketing and Business Development Function but are not described in other Discipline summaries</v>
          </cell>
        </row>
        <row r="527">
          <cell r="E527" t="str">
            <v>AMK</v>
          </cell>
          <cell r="G527" t="str">
            <v>Markets the organization's products, brands and/or services. Designs, develops and implements communication programs to advertise the organization's products/brands/services using media (e.g., print, broadcast, digital), events and sales promotions. Develops and evaluates pricing strategies and structures. Designs and maintains websites to promote and sell the organization's products through the Internet.</v>
          </cell>
        </row>
        <row r="528">
          <cell r="E528" t="str">
            <v>AMK</v>
          </cell>
          <cell r="G528" t="str">
            <v>Match incumbents who are responsible for digital media activities which involve the development and/or distribution of content on online/digital platforms to the MTC-Digital Content Production and Management Function.</v>
          </cell>
        </row>
        <row r="529">
          <cell r="E529" t="str">
            <v>AMK</v>
          </cell>
          <cell r="G529" t="str">
            <v>Match Group Product (Product Category) Managers who are responsible for several products or product categories to the M4-Group Manager Career Level.</v>
          </cell>
        </row>
        <row r="530">
          <cell r="E530" t="str">
            <v>AMK</v>
          </cell>
          <cell r="G530" t="str">
            <v>Match incumbents responsible for retail marketing of energy services to end users (i.e., consumers, companies, institutions) to this function.</v>
          </cell>
        </row>
        <row r="531">
          <cell r="E531" t="str">
            <v>AMK</v>
          </cell>
          <cell r="G531" t="str">
            <v>Match incumbents who localize/translate corporate communications materials (e.g., brochures, websites) to the ACA140-Localization/Translation Services Discipline in the ACA-Corporate Affairs/Communications Function.</v>
          </cell>
        </row>
        <row r="532">
          <cell r="E532" t="str">
            <v>AMK</v>
          </cell>
          <cell r="G532" t="str">
            <v>Roles in this function are responsible for retail marketing of energy services to end users (i.e., consumers, companies, institutions).</v>
          </cell>
        </row>
        <row r="533">
          <cell r="E533" t="str">
            <v>AMK</v>
          </cell>
          <cell r="G533" t="str">
            <v>Match incumbents responsible for marketing, market research or customer data analytics to the appropriate discipline in this function. Match incumbents responsible for big data analytics and general business intelligence who work within a Business Intelligence or Analytics Department to the appropriate discipline in the AEM-Data Science and Business Intelligence Function.</v>
          </cell>
        </row>
        <row r="534">
          <cell r="E534" t="str">
            <v>AMK</v>
          </cell>
          <cell r="G534" t="str">
            <v>Match Market Influencers/Evangelists to the AMK113-Online Community Marketing Discipline in this function.</v>
          </cell>
        </row>
        <row r="535">
          <cell r="E535" t="str">
            <v>AMK</v>
          </cell>
          <cell r="G535" t="str">
            <v>Note: The EX Career Band is not applicable in North America. Executives are collected as Executive Benchmarks in North America's Executive Surveys.</v>
          </cell>
        </row>
        <row r="536">
          <cell r="E536" t="str">
            <v>AMK</v>
          </cell>
          <cell r="G536" t="str">
            <v>EX (Executive)</v>
          </cell>
        </row>
        <row r="537">
          <cell r="E537" t="str">
            <v>AMK</v>
          </cell>
          <cell r="G537" t="str">
            <v>M (Supervisory/Management)</v>
          </cell>
        </row>
        <row r="538">
          <cell r="E538" t="str">
            <v>AMK</v>
          </cell>
          <cell r="G538" t="str">
            <v>P (Professional)</v>
          </cell>
        </row>
        <row r="539">
          <cell r="E539" t="str">
            <v>AMK</v>
          </cell>
          <cell r="G539" t="str">
            <v>U (Business Support)</v>
          </cell>
        </row>
        <row r="540">
          <cell r="E540" t="str">
            <v>AMK000</v>
          </cell>
          <cell r="G540" t="str">
            <v>Designs, develops and implements marketing programs and/or pricing strategies to support the organization's products, services or market sector | Uses specific marketing strategies and media (e.g., print, broadcast, digital) to launch and position products and services in a sector | Identifies and implements marketing strategies and programs in collaboration with sales and technical teams | Responsibilities are within the Marketing Function as a generalist or in a combination of Disciplines</v>
          </cell>
        </row>
        <row r="541">
          <cell r="E541" t="str">
            <v>AMK010</v>
          </cell>
          <cell r="G541" t="str">
            <v>Develops and implements marketing strategies to identify effective distribution channels | Researches and analyzes the marketplace to identify new channel, partnership and co-branding opportunities | Develops and monitors channel opportunities, licensing agreements, joint ventures and partnerships to maximize revenues | Designs, develops and implements marketing programs with third-party partners</v>
          </cell>
        </row>
        <row r="542">
          <cell r="E542" t="str">
            <v>AMK012</v>
          </cell>
          <cell r="G542" t="str">
            <v>Plans, implements and evaluates the strategy for marketing organization brands to various distribution channels (i.e., wholesalers, retailers, distributors) | Coordinates merchandising, promotion and commercial collaboration projects between the organization and distribution channels to increase demand for organization products and services | Participates in the design of promotional programs and coordinates their implementation with key wholesalers, retailers and distributors</v>
          </cell>
        </row>
        <row r="543">
          <cell r="E543" t="str">
            <v>AMK020</v>
          </cell>
          <cell r="G543" t="str">
            <v>Coordinates the development of advertising/marketing communications materials by creative design and creative writing services to effectively represent the products, services, brands and/or the organization to customers and prospects | Applies various communication strategies to create an impression, raise awareness, and encourage a preference and response by the target audience for the organization and its products, services and brands | Develops and coordinates multimedia packages (e.g., letters, brochures, video, point-of-purchase displays) | May involve use of sponsorship, events and sales promotions</v>
          </cell>
        </row>
        <row r="544">
          <cell r="E544" t="str">
            <v>AMK020</v>
          </cell>
          <cell r="G544" t="str">
            <v>Match Market Influencers/Evangelists to this discipline.</v>
          </cell>
        </row>
        <row r="545">
          <cell r="E545" t="str">
            <v>AMK026</v>
          </cell>
          <cell r="G545" t="str">
            <v>Promotes specific products and/or services, property or assets through the development, implementation and coordination of marketing strategies | Identifies promotion targets and specific offers; coordinates end-to-end campaign life-cycle | Collaborates with and participates in promotion-related marketing and sales efforts, including merchandising, advertising, on-site visits to targets and/or events and sets up physical and/or digital promotional displays to maximize sales potential | Maintains promotion-related documentation (e.g., promotion codes, discounts, promotion calendar) | Develops and maintains budgets to oversee costs and metrics to evaluate the effectiveness of promotions and events and implements changes to marketing strategy as needed</v>
          </cell>
        </row>
        <row r="546">
          <cell r="E546" t="str">
            <v>AMK027</v>
          </cell>
          <cell r="G546" t="str">
            <v>Develops and maintains inventory control levels of stock and packaging supplies to meet sales targets for organization's products | Evaluates sales performance and impact on stock levels and recommends ordering volume | Selects, proposes and implements brand or specific product sales promotions and special/seasonal markdowns</v>
          </cell>
        </row>
        <row r="547">
          <cell r="E547" t="str">
            <v>AMK030</v>
          </cell>
          <cell r="G547" t="str">
            <v>Identifies new business opportunities and creates appropriate business plans | Identifies new market opportunities (i.e., products/services, technologies, markets) | Monitors organization's market share and competition</v>
          </cell>
        </row>
        <row r="548">
          <cell r="E548" t="str">
            <v>AMK040</v>
          </cell>
          <cell r="G548" t="str">
            <v>Performs analysis and prepares forecasts and recommendations in the areas of product preferences, sales coverage, market penetration, market practices and sales trends. Researches market conditions to determine potential sales of a product.  Collects, analyzes and uses quantitative and qualitative market data to develop insights into consumer preferences, behaviors, patterns and trends and to understand perception and drivers of consumer /market dynamics. Employs methods such as consumer/ user panels, focus groups, surveys and data mining and modeling. Summarizes and communicates analysis of the performance and the progress of business programs/strategy. Provides insights to aid the development of future programs/strategy. 
Identifies new business opportunities and creates appropriate business plans. Identifies new market opportunities (i.e., products/services, technologies, markets). Monitors organization's market share and competition.</v>
          </cell>
        </row>
        <row r="549">
          <cell r="E549" t="str">
            <v>AMK041</v>
          </cell>
          <cell r="G549" t="str">
            <v>Collects, analyzes and uses quantitative and qualitative consumer data to develop insights into consumer preferences, behaviors, patterns and trends and understand perception and drivers of consumer/market dynamics | Employs methods such as consumer/user panels, focus groups, surveys and data mining and modeling | Summarizes and communicates analyses of the performance and progress of business programs/strategy | Provides insights to aid the development of future programs/strategy | Maintains and ensures security of consumer data</v>
          </cell>
        </row>
        <row r="550">
          <cell r="E550" t="str">
            <v>AMK050</v>
          </cell>
          <cell r="G550" t="str">
            <v>Develops and directs marketing programs for a significant product or product category | Compiles and evaluates research on the market's product requirements and identifies enhancements to current features and functionality | Establishes marketing strategies, including product direction, advertising, packaging, pricing, expense budgets, profit plans and future product development, to manage a product or product category's life cycle | Interfaces with engineers, designers, suppliers and customers to develop product requirements and specifications | Prepares and coordinates product introductions and updates</v>
          </cell>
        </row>
        <row r="551">
          <cell r="E551" t="str">
            <v>AMK050</v>
          </cell>
          <cell r="G551" t="str">
            <v>Match Group Product (Product Category) Managers who are responsible for several products or product categories to this discipline and the M4-Group Manager Career Level.</v>
          </cell>
        </row>
        <row r="552">
          <cell r="E552" t="str">
            <v>AMK060</v>
          </cell>
          <cell r="G552" t="str">
            <v>Markets the organization's products and services using customer marketing databases and customer relationship management systems | Creates direct mail marketing plans, targeting specific market segments with specialized offers | Collaborates with market research in developing response models and other database improvements | May conduct data mining analyses of customer data to develop marketing trends</v>
          </cell>
        </row>
        <row r="553">
          <cell r="E553" t="str">
            <v>AMK070</v>
          </cell>
          <cell r="G553" t="str">
            <v>Promotes and maintains the brand image at local, national or international levels | Coordinates marketing strategies, including packaging, pricing, expense budgets, advertising and promotion of the brand | Analyzes brand perception and ensures positive impact of the brand in the market</v>
          </cell>
        </row>
        <row r="554">
          <cell r="E554" t="str">
            <v>AMK080</v>
          </cell>
          <cell r="G554" t="str">
            <v>Develops pricing strategies to meet customers' needs while providing a profit for the organization | Determines core business costs of service in support of pricing/tariff development | Designs, implements and maintains pricing infrastructures | Evaluates effectiveness of pricing strategies and modifies pricing structures as needed | Provides reporting and documentation of pricing structures and serves as the point-of-contact for pricing inquiries from internal sales department, but not customers</v>
          </cell>
        </row>
        <row r="555">
          <cell r="E555" t="str">
            <v>AMK090</v>
          </cell>
          <cell r="G555" t="str">
            <v>Designs, develops and coordinates marketing programs for various service offerings | Develops marketing plans for program implementation, monitoring and evaluation</v>
          </cell>
        </row>
        <row r="556">
          <cell r="E556" t="str">
            <v>AMK090</v>
          </cell>
          <cell r="G556" t="str">
            <v>Match incumbents responsible for service industry marketing programs to this discipline.</v>
          </cell>
        </row>
        <row r="557">
          <cell r="E557" t="str">
            <v>AMK100</v>
          </cell>
          <cell r="G557" t="str">
            <v>Plans, develops and oversees marketing events (e.g., trade shows, conventions, sales meetings) for internal and/or external clients | Coordinates customer invitation solicitations, advanced and on-site registration, and post-event follow-up and evaluations | Researches available venues and recommends event sites; investigates, selects, negotiates and coordinates services with vendors, including catering and event support | Prepares budgets and forecasts and compiles summaries of total event costs, cost-per-contact, audience profiles and attendees' comments</v>
          </cell>
        </row>
        <row r="558">
          <cell r="E558" t="str">
            <v>AMK110</v>
          </cell>
          <cell r="G558" t="str">
            <v>Develops marketing, merchandising and creative strategies and affiliated programs to promote the organization's products and services through the Internet or other digital channels to increase exposure to and business from the target audience | Manages the implementation of digital marketing programs and analyzes their effectiveness | Establishes and manages the relationships with search engines and portal sites that are strategically aligned with the digital goals | Tracks usage trends of the organization's websites, including number and quality of visitors and advertising campaign impact | Develops and maintains website graphic designs and layout to support the organization's image, identity and brands through a diverse mix of web material, graphical user interfaces and multimedia delivered for the web | Ensures that the organization's website provides up-to-date and comprehensive product/service information that is easily available to existing and potential customers | May be responsible for social media marketing and online community management</v>
          </cell>
        </row>
        <row r="559">
          <cell r="E559" t="str">
            <v>AMK110</v>
          </cell>
          <cell r="G559" t="str">
            <v>Match incumbents responsible for developing or maintaining digital strategy to the ACD016-Digital Strategy Discipline.</v>
          </cell>
        </row>
        <row r="560">
          <cell r="E560" t="str">
            <v>AMK111</v>
          </cell>
          <cell r="G560" t="str">
            <v>Analyzes the results of sites and applications to understand what keywords influence results rankings in order to optimize traffic to an organization's online/digital sites | Develops visible content and hidden tags in online/digital sites to improve the volume and/or quality of traffic to a site from search engines from unpaid search results by analyzing traffic and search results | Ensures that online content is labeled in the way that best serves users' needs in finding content and exploring the website | Advises and trains content management staff on best practices for labeling content</v>
          </cell>
        </row>
        <row r="561">
          <cell r="E561" t="str">
            <v>AMK111</v>
          </cell>
          <cell r="G561" t="str">
            <v>Match incumbents responsible for search engine optimization (SEO) to this discipline.</v>
          </cell>
        </row>
        <row r="562">
          <cell r="E562" t="str">
            <v>AMK113</v>
          </cell>
          <cell r="G562" t="str">
            <v>Plans and implements marketing strategies and campaigns through social media optimization (SMO) | Builds, grows and manages online community relationships, with social media influencers, members, bloggers/vloggers and the online community, across a variety of platforms (e.g., social media, blogs/vlogs, message boards, email groups) to build brand identification, encourage loyalty to the organization and increase engagement of target audiences | Monitors and engages online community in social media events, online conversations, fields questions and offers solutions | Monitors, evaluates and reports on online community trends | Continually monitors content developed internally and/or posted by users to ensure content is appropriate for target audience</v>
          </cell>
        </row>
        <row r="563">
          <cell r="E563" t="str">
            <v>AMK114</v>
          </cell>
          <cell r="G563" t="str">
            <v>Tracks usage trends of the organization's websites, online stores or online stores managed by third party, including number and quality of visitors and advertising campaign impact | Performs analyses and prepares regular, periodic forecasts and recommendations in the areas of site usage and user behavior | Makes recommendations to improve website effectiveness by analyzing click stream data to maximize appeal to advertisers | Oversees web analytics software selection and vendor relationships | May conduct analyses to measure social media audiences as they relate to web advertising</v>
          </cell>
        </row>
        <row r="564">
          <cell r="E564" t="str">
            <v>AMK120</v>
          </cell>
          <cell r="G564" t="str">
            <v>Ensures that the organization's websites provide up-to-date and comprehensive product/service information that is easily available to existing and potential customers | Establishes and maintains an information architecture that is well organized, user-friendly, and presents a consistent corporate look and feel | Coordinates the development, integration, format design and release of content from writers and designers | Analyzes the use of website content and design; takes steps as necessary and affordable to improve information content architecture and design | Employs focus groups, surveys, web statistics, email, etc., to elicit feedback and improve website content and organization</v>
          </cell>
        </row>
        <row r="565">
          <cell r="E565" t="str">
            <v>AMK130</v>
          </cell>
          <cell r="G565" t="str">
            <v>Develops and maintains website graphic designs (e.g., art, color themes, photographs, web pages) and layout for online media, direct mail, catalog and other campaign material to support the organization's image, identity and brands | Collaborates with photographers to develop new concepts and assists with photo editing such as retouching or cropping images | Reviews all elements of site design from a human factors (i.e., ergonomics of human/computer interaction) perspective to ensure maximum usability and to ensure alignment with the organization's overall objectives | Establishes and maintains the organization's website graphics standards, techniques and methods | Analyzes website technology trends to identify new techniques and ensure optimal site design</v>
          </cell>
        </row>
        <row r="566">
          <cell r="E566" t="str">
            <v>AMK140</v>
          </cell>
          <cell r="G566" t="str">
            <v>Designs a diverse mix of web material, graphical user interfaces and multimedia delivered for the web, including catalogs for printing/digital purposes, "look-books" and other sales collateral | Coordinates the work of designers, programmers, writers and other creative specialists to create visually rich, compelling and effective web content that draws together interactive multimedia features such as text, sound, graphics, digital/analog photographs, 2D/3D modeling, animation, video and information | Digitizes and digitally edits source multimedia elements (e.g., sound, video, animation) using various authoring platforms | Requires familiarity with streaming media concepts and techniques, including digital video and audio compression standards such as MP3, WAV and MPEG</v>
          </cell>
        </row>
        <row r="567">
          <cell r="E567" t="str">
            <v>AMK150</v>
          </cell>
          <cell r="G567" t="str">
            <v>Develops creative, clearly-written material for the organization's promotional platforms, including social media platforms, in support of the organization's marketing programs in accordance with the established editorial and style guidelines | Plans, develops and publishes marketing communications for multiple platforms such as descriptions of the organization's products and services, FAQs (frequently asked questions) and electronic brochures | May review and edit copy developed by others</v>
          </cell>
        </row>
        <row r="568">
          <cell r="E568" t="str">
            <v>AMK180</v>
          </cell>
          <cell r="G568" t="str">
            <v>Manages the profitability and growth of the organization's e-commerce business | Develops and executes organization's e-commerce strategy in partnership with relevant cross-business functions, including Sales, Marketing, Business Development, IT, Supply Chain, and Merchandising | Ensures e-commerce site is running in the optimum way possible in terms of customer experience and revenue | Supports development of new e-commerce product, service and e-business platform opportunities across organization</v>
          </cell>
        </row>
        <row r="569">
          <cell r="E569" t="str">
            <v>AMK308</v>
          </cell>
          <cell r="G569" t="str">
            <v>Captures products/services on photo or video for catalogs, websites, advertisements and promotions | Sets up camera equipment and manages the photo shoot | Controls lighting, composition, setting and expression of each shot consistent with the organization's creative standards for product presentation, brand image, product concept and design | Develops and reviews artistic ideas with the merchandising group and the art director prior to photo shoots | Edits, crops and retouches as needed</v>
          </cell>
        </row>
        <row r="570">
          <cell r="E570" t="str">
            <v>AMK309</v>
          </cell>
          <cell r="G570" t="str">
            <v>Styles photo or video shoots for catalogs, websites, advertisements and promotions to ensure they are consistent with the organization's creative standards for product presentation, brand image, product concept and design | Maintains products used for photo and video shoots | May select models for campaigns and manage styling of hair and makeup for shoots</v>
          </cell>
        </row>
        <row r="571">
          <cell r="E571" t="str">
            <v>AMK320</v>
          </cell>
          <cell r="G571" t="str">
            <v>Plans, recommends and implements promotions and events, usually within a brand or category, that are designed to increase sales and consumer awareness for the organization and its product lines | Coordinates the end-to-end campaign lifecycle for email, direct mail and in-store programs, including maintaining promo codes and discounts in the Point-of-Sale (POS) campaign system | Identifies target consumer groups, develops promotional offers, collaborates with creative design team to design promotional materials, and maintains and distributes promotions calendar | Develops and maintains budgets to manage costs and metrics to evaluate the effectiveness of promotions and events</v>
          </cell>
        </row>
        <row r="572">
          <cell r="E572" t="str">
            <v>AMK330</v>
          </cell>
          <cell r="G572" t="str">
            <v>Designs, establishes and maintains loyalty/reward programs and communications to drive customer brand loyalty and repeat purchases, with particular focus on identifying, serving and retaining the best customers to expand customer base, reduce attrition, and increase sales and profits | Develops and refines database segmentation strategies to drive incremental sales and make the message more relevant to each customer | Develops reporting and metrics to understand overall customer retention/repeat behavior</v>
          </cell>
        </row>
        <row r="573">
          <cell r="E573" t="str">
            <v>AMK340</v>
          </cell>
          <cell r="G573" t="str">
            <v>Plans, develops, implements and maintains gift card and e-gift card marketing programs to draw customers to shop at the organization's stores and increase overall revenues | Promotes gift card sales at the organization's stores, online, at third-party stores (e.g., supermarkets and pharmacies) and through other channels such as corporate employee recognition programs and credit card reward redemption programs | Coordinates gift card program development, production and logistics with other departments, including graphic design, brand marketing, store operations and finance | Reviews gift card program trends, measures the success of active programs and identifies opportunities to improve the scope and success of gift card programs</v>
          </cell>
        </row>
        <row r="574">
          <cell r="E574" t="str">
            <v>AMK350</v>
          </cell>
          <cell r="G574" t="str">
            <v>Develops and implements targeted promotions and marketing communications to encourage future purchases based on individual customer taste and preferences derived from browsing and buying history | Researches consumer shopping and buying behavior to develop insight on what drives customer purchasing practices | Collects, monitors and analyzes sales data, promotion results and market trends to identify buyer traits and evaluate marketing opportunities for products from the current and future seasons | Uses quantitative analysis methods such as collaborative filtering to develop product recommendations for customers</v>
          </cell>
        </row>
        <row r="575">
          <cell r="E575" t="str">
            <v>AMK700</v>
          </cell>
          <cell r="G575" t="str">
            <v>Produces promotions for the organization's media outlets and content from concept through production | Creates written and visual elements for promotions such as ad copy, artwork, graphics and video | Plans, designs, develops and produces promotions for various media outlets, including print, broadcast, webcast, digital and mobile | Takes responsibility for more than one of the Disciplines below</v>
          </cell>
        </row>
        <row r="576">
          <cell r="E576" t="str">
            <v>AMK710</v>
          </cell>
          <cell r="G576" t="str">
            <v>Develops the creative vision for promotional content across multimedia platforms | Directs production of in-studio and on-location promotions | Coordinates production staff and artists' assignments | Oversees program technical aspects, including production, logistics, schedule, camera, lighting, sound and special effects | Works closely with editors during post-production to create the final promotion | May operate equipment such as camera systems and lighting systems</v>
          </cell>
        </row>
        <row r="577">
          <cell r="E577" t="str">
            <v>AMK720</v>
          </cell>
          <cell r="G577" t="str">
            <v>Designs artwork and/or graphics for promotional materials and productions | Creates images using graphics packages or drawing/modeling skills | Develops and maintains promotional graphic designs and layouts | Produces promotional displays, including signage</v>
          </cell>
        </row>
        <row r="578">
          <cell r="E578" t="str">
            <v>AMK740</v>
          </cell>
          <cell r="G578" t="str">
            <v>Plans, designs and develops data-driven promotions using an optimal combination of including banners, keywords, paid search results, marketing websites, social media, email marketing and dynamic text (i.e., customized ad text based on customer input) | Identify and test customer acquisition strategies to improve performance and reduce cost per acquisition (CPA) | Develops budgets and monitors actual costs vs. budget</v>
          </cell>
        </row>
        <row r="579">
          <cell r="E579" t="str">
            <v>AMK750</v>
          </cell>
          <cell r="G579" t="str">
            <v>Develops promotion production plans, budgets and forecasts based on past results, updates same based on new data and monitors results to determine campaign effectiveness | Coordinates with advertising traffic management to air promotions at optimal times</v>
          </cell>
        </row>
        <row r="580">
          <cell r="E580" t="str">
            <v>AMK770</v>
          </cell>
          <cell r="G580" t="str">
            <v>Develops and directs marketing programs, including advertising, packaging, pricing, expense budgets and profit plans, for a significant online/digital media product or portfolio of products to ensure that they are in line with customer preferences and business strategy and objectives | Compiles and evaluates research on online/digital product requirements and identifies enhancements to current features and functionality based on expertise in both marketing/product management and online/digital media | Interfaces with engineers, designers, suppliers and customers to develop online/digital media product requirements and specifications | Prepares and coordinates product introductions and updates and plans for future product development based on the product life cycle</v>
          </cell>
        </row>
        <row r="581">
          <cell r="E581" t="str">
            <v>AMK795</v>
          </cell>
          <cell r="G581" t="str">
            <v>Builds and maintains effective relationships between the organization and the talent engaged, represented or supported by the organization (talent may include artists, musicians, actors, personalities, broadcasters, entertainers, athletes, influencers, celebrities and other public figures) consistent with strategic goals and contractual obligations | Leverages talent to pursue commercial and career opportunities; creates value associations and endorsements; schedules performance, attendance and promotional engagements at various media and live events | Serves as the primary point of contact between the talent and the organization; represents the organization's and talent's interests and ensures timely resolution of concerns and issues | Role may be found within media organizations engaged in content production/distribution or in agencies</v>
          </cell>
        </row>
        <row r="582">
          <cell r="E582" t="str">
            <v>AMK999</v>
          </cell>
          <cell r="G582" t="str">
            <v>Responsibilities are within the Marketing Function but are not described in other Discipline summaries</v>
          </cell>
        </row>
        <row r="583">
          <cell r="E583" t="str">
            <v>AMS</v>
          </cell>
          <cell r="G583" t="str">
            <v>Provides new and existing customers with the best possible service in relation to billing inquiries, service requests, suggestions and complaints. Includes Call Center - Outbound, Call Center/Customer Service and E-Commerce Customer Service.</v>
          </cell>
        </row>
        <row r="584">
          <cell r="E584" t="str">
            <v>AMS</v>
          </cell>
          <cell r="G584" t="str">
            <v>Match incumbents that respond to comments and complaints received through social media and online platforms to AMK113 - Online Community Marketing Discipline.</v>
          </cell>
        </row>
        <row r="585">
          <cell r="E585" t="str">
            <v>AMS</v>
          </cell>
          <cell r="G585" t="str">
            <v>Match incumbents responsible for customer contact related to delivering electric and/or gas service "up-to-the-meter" including connection, disconnection, service restoration, meter installation and meter readings to this function.</v>
          </cell>
        </row>
        <row r="586">
          <cell r="E586" t="str">
            <v>AMS</v>
          </cell>
          <cell r="G586" t="str">
            <v>Match incumbents responsible for either sales, account management or relationship management to the appropriate discipline in one of the Customer/Client Management and Sales Functions.</v>
          </cell>
        </row>
        <row r="587">
          <cell r="E587" t="str">
            <v>AMS</v>
          </cell>
          <cell r="G587" t="str">
            <v>Match incumbents responsible for high-volume billing (e.g., electric or telecom service or credit card billing) to the AMS030-High Volume Customer Billing Discipline in this function.</v>
          </cell>
        </row>
        <row r="588">
          <cell r="E588" t="str">
            <v>AMS</v>
          </cell>
          <cell r="G588" t="str">
            <v>Match incumbents responsible for low-volume billing to the AFB060-Accounts Payable/Receivable Discipline.</v>
          </cell>
        </row>
        <row r="589">
          <cell r="E589" t="str">
            <v>AMS</v>
          </cell>
          <cell r="G589" t="str">
            <v>Match telecenter-telesales/remote sales jobs to the appropriate discipline in the CTS-Remote Sales Function.</v>
          </cell>
        </row>
        <row r="590">
          <cell r="E590" t="str">
            <v>AMS</v>
          </cell>
          <cell r="G590" t="str">
            <v>Match incumbents using the following general guidelines: 1) The Supervisor (M1) Career Level is a first-line supervisor or shift supervisor over support-level clerical employees and technicians. 2) The Manager (M2) Career Level should be assigned to managers responsible for a small segment of the customer support/operations staff (e.g., a small service territory, one discipline). 3) The Senior Manager (M3) Career Level should be assigned to managers responsible for a medium segment of the customer support/operations staff (e.g., medium-sized or multiple territories, multiple disciplines) who do not have corporatewide responsibilities. 4) The Group Manager (M4) Career Level is reserved for managers responsible for the largest segment(s) of the customer support/operations staff (e.g., corporatewide responsibility for one or more disciplines), and typically report to an executive level.</v>
          </cell>
        </row>
        <row r="591">
          <cell r="E591" t="str">
            <v>AMS</v>
          </cell>
          <cell r="G591" t="str">
            <v>Note: The EX Career Band is not applicable in North America. Executives are collected as Executive Benchmarks in North America's Executive Surveys.</v>
          </cell>
        </row>
        <row r="592">
          <cell r="E592" t="str">
            <v>AMS</v>
          </cell>
          <cell r="G592" t="str">
            <v>EX (Executive)</v>
          </cell>
        </row>
        <row r="593">
          <cell r="E593" t="str">
            <v>AMS</v>
          </cell>
          <cell r="G593" t="str">
            <v>M (Supervisory/Management)</v>
          </cell>
        </row>
        <row r="594">
          <cell r="E594" t="str">
            <v>AMS</v>
          </cell>
          <cell r="G594" t="str">
            <v>P (Professional)</v>
          </cell>
        </row>
        <row r="595">
          <cell r="E595" t="str">
            <v>AMS</v>
          </cell>
          <cell r="G595" t="str">
            <v>U (Business Support)</v>
          </cell>
        </row>
        <row r="596">
          <cell r="E596" t="str">
            <v>AMS000</v>
          </cell>
          <cell r="G596" t="str">
            <v>Provides new and existing customers with the best possible service in relation to billing inquiries, service requests, suggestions and complaints | Resolves customer inquiries and complaints fairly and effectively | Provides product and service information to customers and identifies upselling opportunities to maintain and increase income streams from customer relationships | Recommends and implements programs to support customer needs | Responsibilities are within the Customer Support/Operations Function as a generalist or in a combination of Disciplines</v>
          </cell>
        </row>
        <row r="597">
          <cell r="E597" t="str">
            <v>AMS000</v>
          </cell>
          <cell r="G597" t="str">
            <v>Match incumbents responsible for payment processing to this discipline.</v>
          </cell>
        </row>
        <row r="598">
          <cell r="E598" t="str">
            <v>AMS010</v>
          </cell>
          <cell r="G598" t="str">
            <v>Provides customer services relating to sales, sales promotions, installations and communications | Ensures that good customer relations are maintained and customer claims and complaints are resolved fairly, effectively and in accordance with the consumer laws | Develops organization-wide initiatives to proactively inform and educate customers | Develops improvement plans in response to customer surveys</v>
          </cell>
        </row>
        <row r="599">
          <cell r="E599" t="str">
            <v>AMS020</v>
          </cell>
          <cell r="G599" t="str">
            <v>Provides timely responses to customer inquiries by telephone, email or website chatbox in an in- or outbound service center, consistent with service and quality standards | Processes customer orders, bills and accounts, and applications for service, maintenance and termination | Troubleshoots and resolves customer complaints</v>
          </cell>
        </row>
        <row r="600">
          <cell r="E600" t="str">
            <v>AMS022</v>
          </cell>
          <cell r="G600" t="str">
            <v>Ensures that both new and existing customer complaints are handled effectively | Resolves more complex complaints escalated by customer contact center staff</v>
          </cell>
        </row>
        <row r="601">
          <cell r="E601" t="str">
            <v>AMS024</v>
          </cell>
          <cell r="G601" t="str">
            <v>Plans and monitors customer contact center schedules and operations | Provides management information and productivity forecasts by observing customer call patterns | Develops, monitors and analyzes key performance indicators | May schedule call center equipment maintenance and repair appointments</v>
          </cell>
        </row>
        <row r="602">
          <cell r="E602" t="str">
            <v>AMS026</v>
          </cell>
          <cell r="G602" t="str">
            <v>Analyzes and measures the effectiveness of existing contact center processes and develops sustainable, repeatable and quantifiable process improvements | Collects and analyzes contact center activity data and initiates, develops and recommends improvements to systems, processes and procedures to increase productivity and reduce cost | Monitors resource requirements, call volume, quality and efficiency of customer contact center operations | Collaborates with training resources to provide training on improved processes</v>
          </cell>
        </row>
        <row r="603">
          <cell r="E603" t="str">
            <v>AMS030</v>
          </cell>
          <cell r="G603" t="str">
            <v>Prepares, generates, prints, records and mails customer bills for monthly services, such as energy and telecommunications, using an automated high volume billing system | Ensures that the automated billing system is operated and maintained in a manner that efficiently produces accurate bills | Prepares daily, monthly and other periodic billing summary reports and financial statements | Maintains, monitors and analyzes account records</v>
          </cell>
        </row>
        <row r="604">
          <cell r="E604" t="str">
            <v>AMS030</v>
          </cell>
          <cell r="G604" t="str">
            <v>Match incumbents responsible for high-volume billing (e.g., electric or telecom service or credit card billing) to this discipline.</v>
          </cell>
        </row>
        <row r="605">
          <cell r="E605" t="str">
            <v>AMS040</v>
          </cell>
          <cell r="G605" t="str">
            <v>Investigates, analyzes, negotiates, resolves, documents and reports on consumer and commercial billing issues and complaints against the organization | Identifies solutions that address billing issues and presents appropriate resolution options to customers | Negotiates and authorizes billing settlements within established limits and adjusts customer accounts</v>
          </cell>
        </row>
        <row r="606">
          <cell r="E606" t="str">
            <v>AMS050</v>
          </cell>
          <cell r="G606" t="str">
            <v>Processes, reviews and administers warranty claims, including repairs and refunds | Collaborates with sales and marketing, merchandising, manufacturing, quality, engineering, product development, finance and others to ensure cross-functional communication and resolution of product issues and control warranty costs | Analyzes feedback from the field and warranty statistics to prevent recurring problems | Assists in the resolution of product and system weaknesses for servicing products</v>
          </cell>
        </row>
        <row r="607">
          <cell r="E607" t="str">
            <v>AMS060</v>
          </cell>
          <cell r="G607" t="str">
            <v>Facilitates a smooth customer on-boarding process, ensuring a easy introduction for the Customer from the outset | Supports and manages the post-sales customer lifecycle (on-going assistance, customer renewals, product improvements, up- and cross-selling) to maintain customer loyalty and customer satisfaction | Tracks customer performance, making the customer continuously engaged with the product and making the products to be harnessed to the maximum | May train customers so they can optimize their activities using the product</v>
          </cell>
        </row>
        <row r="608">
          <cell r="E608" t="str">
            <v>AMS070</v>
          </cell>
          <cell r="G608" t="str">
            <v>Manages the customer journey, which includes all steps customers go through when interacting with an organization | Monitors all processes that come into direct contact with the customer | Tracks, oversees and optimizes all customer interaction and ensures those interactions are of high caliber and high-quality | Receives, assesses and evaluates customer feedback | Understands, defines and refines the customer base on a continuous basis | Assesses how an organization's sales, marketing and service departments work together to deliver seamless customer service</v>
          </cell>
        </row>
        <row r="609">
          <cell r="E609" t="str">
            <v>AMS090</v>
          </cell>
          <cell r="G609" t="str">
            <v>Provides training and development for contact center staff through continual review, feedback and on-the-job development | Listens to recorded and/or real-time calls to evaluate the contact center staff's skills in dealing with customers, as well as the accuracy and effectiveness of information or advice provided to customers | May act as "floorwalkers" to give immediate assistance to contact center staff regarding customer inquiries which they are unable to answer</v>
          </cell>
        </row>
        <row r="610">
          <cell r="E610" t="str">
            <v>AMS900</v>
          </cell>
          <cell r="G610" t="str">
            <v>Develops and maintains warranty policies and procedures in an automotive organization with a dealer network | Analyzes data concerning fleet repair estimate and reports to parent organization | Enforces and may interpret warranty policies regarding fleet repairs</v>
          </cell>
        </row>
        <row r="611">
          <cell r="E611" t="str">
            <v>AMS999</v>
          </cell>
          <cell r="G611" t="str">
            <v>Responsibilities are within the Customer Support/Operations Function but are not described in other Discipline summaries</v>
          </cell>
        </row>
        <row r="612">
          <cell r="E612" t="str">
            <v>AMT</v>
          </cell>
          <cell r="G612" t="str">
            <v>Provides post-sale technical support services to customers, including installation, troubleshooting, problem resolution and maintenance. Responds to customer questions regarding operation and malfunctions. Advises customers on preventive maintenance and configuration adjustments to improve product performance and customer satisfaction.</v>
          </cell>
        </row>
        <row r="613">
          <cell r="E613" t="str">
            <v>AMT</v>
          </cell>
          <cell r="G613" t="str">
            <v>Incumbents matched to the AMT-Technical Customer Support Function provide post-sales/implementation technical problem resolution and maintenance services to customers.</v>
          </cell>
        </row>
        <row r="614">
          <cell r="E614" t="str">
            <v>AMT</v>
          </cell>
          <cell r="G614" t="str">
            <v>Match incumbents who provide technical support to sales representatives, resellers and customers during the sales process to the CUT000-Technical Sales Support Generalist/Multidiscipline code. Incumbents matched to the AMT-Technical Customer Support Function provide post-sales/implementation technical problem resolution and maintenance services to customers.</v>
          </cell>
        </row>
        <row r="615">
          <cell r="E615" t="str">
            <v>AMT</v>
          </cell>
          <cell r="G615" t="str">
            <v>Match incumbents with responsibility for nontechnical customer services to the AMS-Customer Support/Operations Function.</v>
          </cell>
        </row>
        <row r="616">
          <cell r="E616" t="str">
            <v>AMT</v>
          </cell>
          <cell r="G616" t="str">
            <v>Products and/or services typically include computer and network hardware and software and services.</v>
          </cell>
        </row>
        <row r="617">
          <cell r="E617" t="str">
            <v>AMT</v>
          </cell>
          <cell r="G617" t="str">
            <v>Products and/or services typically include computer and network hardware, software and services, and machinery and equipment manufactured by the organization and/or third parties, and a single telecom product or multiple telecom product lines.</v>
          </cell>
        </row>
        <row r="618">
          <cell r="E618" t="str">
            <v>AMT</v>
          </cell>
          <cell r="G618" t="str">
            <v>Products and/or services typically include computer and network hardware, software and services, and machinery and equipment manufactured by the organization and/or third parties, and a single telecom product or multiple telecom product lines. Match incumbents who provide post-sale technical support services of hardware products and/or services to the AMT210-Technical Customer Support - Customer Site - Hardware Discipline. Match incumbents who provide post-sale technical support services of software products and/or services to the AMT220-Technical Customer Support - Customer Site - Software Discipline.</v>
          </cell>
        </row>
        <row r="619">
          <cell r="E619" t="str">
            <v>AMT</v>
          </cell>
          <cell r="G619" t="str">
            <v>Professional Career Band matches typically provide second-level support (sometimes referred to as support engineers, although they may not have an engineering degree) on more complex technical issues either directly to customers or indirectly through onsite and/or remote first-level representatives.</v>
          </cell>
        </row>
        <row r="620">
          <cell r="E620" t="str">
            <v>AMT</v>
          </cell>
          <cell r="G620" t="str">
            <v>Technicians matched to the Technical Support Career Band may be first-level support who respond to initial technical support inquiries, resolve less complex issues and refer more complex issues to more senior technical support representatives.</v>
          </cell>
        </row>
        <row r="621">
          <cell r="E621" t="str">
            <v>AMT</v>
          </cell>
          <cell r="G621" t="str">
            <v>Note: The EX Career Band is not applicable in North America. Executives are collected as Executive Benchmarks in North America's Executive Surveys.</v>
          </cell>
        </row>
        <row r="622">
          <cell r="E622" t="str">
            <v>AMT</v>
          </cell>
          <cell r="G622" t="str">
            <v>EX (Executive)</v>
          </cell>
        </row>
        <row r="623">
          <cell r="E623" t="str">
            <v>AMT</v>
          </cell>
          <cell r="G623" t="str">
            <v>M (Supervisory/Management)</v>
          </cell>
        </row>
        <row r="624">
          <cell r="E624" t="str">
            <v>AMT</v>
          </cell>
          <cell r="G624" t="str">
            <v>P (Professional)</v>
          </cell>
        </row>
        <row r="625">
          <cell r="E625" t="str">
            <v>AMT</v>
          </cell>
          <cell r="G625" t="str">
            <v>T (Technical Support)</v>
          </cell>
        </row>
        <row r="626">
          <cell r="E626" t="str">
            <v>AMT000</v>
          </cell>
          <cell r="G626" t="str">
            <v>Provides post-sale technical support services to customers, including installation, troubleshooting, problem resolution and maintenance of products and services | Responsibilities are within the Technical Customer Support Function as a generalist or in a combination of Disciplines</v>
          </cell>
        </row>
        <row r="627">
          <cell r="E627" t="str">
            <v>AMT010</v>
          </cell>
          <cell r="G627" t="str">
            <v>Delivers remote (e.g., telephone, online) post-sale troubleshooting and diagnostic support services to ensure that all products and services function properly | Resolves technical support inquiries directly or indirectly through on-site and/or remote first-level support representatives</v>
          </cell>
        </row>
        <row r="628">
          <cell r="E628" t="str">
            <v>AMT010</v>
          </cell>
          <cell r="G628" t="str">
            <v>Match first-level support representatives to the Technical Support Career Band and match second-level support representatives to the Professional Career Band.</v>
          </cell>
        </row>
        <row r="629">
          <cell r="E629" t="str">
            <v>AMT020</v>
          </cell>
          <cell r="G629" t="str">
            <v>Delivers post-sale services at customer sites, including installation, maintenance and repair of organization and third-party products and services to ensure that all function properly | Ensures customer satisfaction by advising customers on preventive maintenance and configurations that may favorably impact performance</v>
          </cell>
        </row>
        <row r="630">
          <cell r="E630" t="str">
            <v>AMT030</v>
          </cell>
          <cell r="G630" t="str">
            <v>Tests, troubleshoots and repairs equipment and components in a repair center environment according to established quality procedures; conducts tests to ensure that repaired products meet technical specifications | Advises product development of recurring component failures | Traces and tests components to locate defects using a variety of test equipment, including standard, bench-type, automatic test equipment and nonstandard, specialized measuring instruments | Compares test results with specifications and standards; records test results and data</v>
          </cell>
        </row>
        <row r="631">
          <cell r="E631" t="str">
            <v>AMT040</v>
          </cell>
          <cell r="G631" t="str">
            <v>Accept or reject warranty claims based on technical analysis in order to control warranty costs to achieve the stated objectives | Plan and coordinate regular visits of suppliers to analyze the claimed material in warranty in order to set the liability for costs | Start the invoice issuing processes for suppliers to recovery of the warranty costs | Receiving, check and store parts returned from resellers for analysis of warranty | Analyze the claimed material in warranty to identify the root cause of the failure and/or deviations from the warranty rules | Conduct the communication with factories, suppliers, dealers and marketing in relation to the warranty and improvement product program, and administration issues including the resolution of complex situation</v>
          </cell>
        </row>
        <row r="632">
          <cell r="E632" t="str">
            <v>AMT210</v>
          </cell>
          <cell r="G632" t="str">
            <v>Delivers post-sale services at customer sites including installation, maintenance and repair of organization and third-party hardware products and services to ensure that all function properly | Ensures customer satisfaction by advising customers on preventive maintenance and configurations that may favorably impact performance</v>
          </cell>
        </row>
        <row r="633">
          <cell r="E633" t="str">
            <v>AMT220</v>
          </cell>
          <cell r="G633" t="str">
            <v>Delivers post-sale services at customer sites including installation, maintenance and repair of organization and third-party software products and services to ensure that all function properly | Ensures customer satisfaction by advising customers on preventive maintenance and configurations that may favorably impact performance</v>
          </cell>
        </row>
        <row r="634">
          <cell r="E634" t="str">
            <v>AMT900</v>
          </cell>
          <cell r="G634" t="str">
            <v>Coordinates vehicles repairs, maintenance, inspection and scheduling by mechanics, front-end and customer service staff to ensure alignment with organization standards | Oversees acquisition and storage of automotive parts inventory and repair and maintenance equipment | May train mechanics, front-end and customer service staff | Evaluate product performance and customer satisfaction</v>
          </cell>
        </row>
        <row r="635">
          <cell r="E635" t="str">
            <v>AMT999</v>
          </cell>
          <cell r="G635" t="str">
            <v>Responsibilities are within the Technical Customer Support Function but are not described in other Discipline summaries</v>
          </cell>
        </row>
        <row r="636">
          <cell r="E636" t="str">
            <v>AOM</v>
          </cell>
          <cell r="G636" t="str">
            <v>Oversees manufacturing and/or production operations, including assembly, machinery, processing and/or packaging. Sets production schedules based on product introduction, equipment efficiency, materials supply, staffing resources and volume required to meet demand and to ensure maximum production quantity and quality.</v>
          </cell>
        </row>
        <row r="637">
          <cell r="E637" t="str">
            <v>AOM</v>
          </cell>
          <cell r="G637" t="str">
            <v>Group Managers (M4) in this function typically have some responsibility for manufacturing engineering.</v>
          </cell>
        </row>
        <row r="638">
          <cell r="E638" t="str">
            <v>AOM</v>
          </cell>
          <cell r="G638" t="str">
            <v>Match incumbents responsible for hands-on activities that include high- and/or low-volume manufacture of complex and/or simple assemblies to this function.</v>
          </cell>
        </row>
        <row r="639">
          <cell r="E639" t="str">
            <v>AOM</v>
          </cell>
          <cell r="G639" t="str">
            <v>Match incumbents who perform general manual labor tasks to the AZU-Manual/Unskilled Labor Function.</v>
          </cell>
        </row>
        <row r="640">
          <cell r="E640" t="str">
            <v>AOM</v>
          </cell>
          <cell r="G640" t="str">
            <v>Match maintenance personnel enrolled, working on, or having completed a program or apprenticeship in a skilled trade to the AZT-Technical Specialty/Skilled Trade Function.</v>
          </cell>
        </row>
        <row r="641">
          <cell r="E641" t="str">
            <v>AOM</v>
          </cell>
          <cell r="G641" t="str">
            <v>Match manufacturing engineers to the AZE080-Manufacturing Engineering Discipline in the AZE-Engineering Function.</v>
          </cell>
        </row>
        <row r="642">
          <cell r="E642" t="str">
            <v>AOM</v>
          </cell>
          <cell r="G642" t="str">
            <v>Typical jobs include production worker; machinist; machine, mill, press or saw operator; assembler; hand finisher; seamstress; production foreman.</v>
          </cell>
        </row>
        <row r="643">
          <cell r="E643" t="str">
            <v>AOM</v>
          </cell>
          <cell r="G643" t="str">
            <v>Note: The EX Career Band is not applicable in North America. Executives are collected as Executive Benchmarks in North America's Executive Surveys.</v>
          </cell>
        </row>
        <row r="644">
          <cell r="E644" t="str">
            <v>AOM</v>
          </cell>
          <cell r="G644" t="str">
            <v>EX (Executive)</v>
          </cell>
        </row>
        <row r="645">
          <cell r="E645" t="str">
            <v>AOM</v>
          </cell>
          <cell r="G645" t="str">
            <v>M (Supervisory/Management)</v>
          </cell>
        </row>
        <row r="646">
          <cell r="E646" t="str">
            <v>AOM</v>
          </cell>
          <cell r="G646" t="str">
            <v>P (Professional)</v>
          </cell>
        </row>
        <row r="647">
          <cell r="E647" t="str">
            <v>AOM</v>
          </cell>
          <cell r="G647" t="str">
            <v>T (Technical Support)</v>
          </cell>
        </row>
        <row r="648">
          <cell r="E648" t="str">
            <v>AOM</v>
          </cell>
          <cell r="G648" t="str">
            <v>W (Production/Manual Labor)</v>
          </cell>
        </row>
        <row r="649">
          <cell r="E649" t="str">
            <v>AOM000</v>
          </cell>
          <cell r="G649" t="str">
            <v>Manufactures sufficient quantities of quality products at or below budgeted production costs in order to meet demand | Follows established procedures for operating various manufacturing equipment | Sets up equipment feeding, speed and temperature for optimal performance | Selects and measures raw materials and parts to specifications to prepare for production processing | Resolves issues related to the organization's production, machinery, processing and/or packaging operations | Responsibilities are within the Manufacturing/Operations Function as a generalist or in a combination of Disciplines</v>
          </cell>
        </row>
        <row r="650">
          <cell r="E650" t="str">
            <v>AOM010</v>
          </cell>
          <cell r="G650" t="str">
            <v>Plans and prepares manufacturing production schedules and departmental workflows to establish sequence and lead time of each production operation to meet shipping dates according to sales forecasts or customer orders | Expedites operations that delay schedules and alters schedules to meet unforeseen conditions; includes estimating | Analyzes plant capacity and production requisition data to determine manufacturing processes and required resources; prepares production reports</v>
          </cell>
        </row>
        <row r="651">
          <cell r="E651" t="str">
            <v>AOM015</v>
          </cell>
          <cell r="G651" t="str">
            <v>Sets up and operates automatic or semi-automatic machines and related equipment in a continuous production/processing operation | Monitors meters, gauges, valves, flow ratios, temperatures, pressures, and related controls and guidelines to ensure adherence to production/process specifications | Reports any malfunctions or abnormalities and makes minor adjustments and repairs to equipment | Performs all work in accordance with established safety procedures</v>
          </cell>
        </row>
        <row r="652">
          <cell r="E652" t="str">
            <v>AOM020</v>
          </cell>
          <cell r="G652" t="str">
            <v>Assembles mechanical units, fabricated parts/components and/or electrical/electronic systems to make subassemblies, assemblies or complete units using hand tools, power tools, jigs, fixtures and miscellaneous equipment | Fits, aligns, calibrates and adjusts parts and mechanisms to meet tolerances and product operating requirements; repairs units or products that have failed to meet requirements</v>
          </cell>
        </row>
        <row r="653">
          <cell r="E653" t="str">
            <v>AOM050</v>
          </cell>
          <cell r="G653" t="str">
            <v>Operates, monitors and controls part of a production line which yield packaged products that meet regulatory and quality standards | Follows established procedures and respects Good Manufacturing Practices (GMP) concerning quality, safety and hygiene | Cleans and ensures proper functioning of manufacturing equipment; performs simple maintenance | May also complete standards documents, including those relating to quality assurance</v>
          </cell>
        </row>
        <row r="654">
          <cell r="E654" t="str">
            <v>AOM105</v>
          </cell>
          <cell r="G654" t="str">
            <v>Has overall responsibility for a single manufacturing facility | Directs all aspects of production activity at the assigned plant to ensure that the desired quantities and quality of products are manufactured on schedule in a safe manner at minimum cost | May be responsible for Accounting, Human Resources and other staff functions</v>
          </cell>
        </row>
        <row r="655">
          <cell r="E655" t="str">
            <v>AOM902</v>
          </cell>
          <cell r="G655" t="str">
            <v>Performs car body line operations including pre-torque bolts, alignment flanges, deburring, adjusting doors and lids, fixing hinges and springs, adjusting mounting brackets of friezes, fixing pin tuckers, etc. | Positions rollers, affixes springs on doors and applies sealing compounds | Prepares bodywork from pretreatment to final finish painting, including washing, sanding, application of anticorrosive, transporting, packing, sealing, cleaning, scraping excess grease seals, etc. | Packages parts and devices for painting | Monitors and operates paint control panels</v>
          </cell>
        </row>
        <row r="656">
          <cell r="E656" t="str">
            <v>AOM904</v>
          </cell>
          <cell r="G656" t="str">
            <v>Sets controls and prepares equipment and spray booths and touch-up areas for paint operations according to specifications | Controls the viscosity of paints based on the temperature, environment and the rate of dilution | Mixes and corrects paint additions as needed</v>
          </cell>
        </row>
        <row r="657">
          <cell r="E657" t="str">
            <v>AOM999</v>
          </cell>
          <cell r="G657" t="str">
            <v>Responsibilities are within the Manufacturing/Operations Function but are not described in other Discipline summaries</v>
          </cell>
        </row>
        <row r="658">
          <cell r="E658" t="str">
            <v>AOO</v>
          </cell>
          <cell r="G658" t="str">
            <v>Identifies, hires and oversees contract manufacturing vendors. Ensures that outsourced manufacturing operations meet established standards and specifications for quality and timeliness.</v>
          </cell>
        </row>
        <row r="659">
          <cell r="E659" t="str">
            <v>AOO</v>
          </cell>
          <cell r="G659" t="str">
            <v>Note: The EX Career Band is not applicable in North America. Executives are collected as Executive Benchmarks in North America's Executive Surveys.</v>
          </cell>
        </row>
        <row r="660">
          <cell r="E660" t="str">
            <v>AOO</v>
          </cell>
          <cell r="G660" t="str">
            <v>EX (Executive)</v>
          </cell>
        </row>
        <row r="661">
          <cell r="E661" t="str">
            <v>AOO</v>
          </cell>
          <cell r="G661" t="str">
            <v>M (Supervisory/Management)</v>
          </cell>
        </row>
        <row r="662">
          <cell r="E662" t="str">
            <v>AOO</v>
          </cell>
          <cell r="G662" t="str">
            <v>P (Professional)</v>
          </cell>
        </row>
        <row r="663">
          <cell r="E663" t="str">
            <v>AOO</v>
          </cell>
          <cell r="G663" t="str">
            <v>T (Technical Support)</v>
          </cell>
        </row>
        <row r="664">
          <cell r="E664" t="str">
            <v>AOO</v>
          </cell>
          <cell r="G664" t="str">
            <v>U (Business Support)</v>
          </cell>
        </row>
        <row r="665">
          <cell r="E665" t="str">
            <v>AOO000</v>
          </cell>
          <cell r="G665" t="str">
            <v>Develops and maintains relationships with outsourced/contract manufacturers and suppliers of associated critical business services | Monitors outsourced/contract manufacturers and suppliers methods of operation to ensure that merchandise is produced according to established schedules, volumes, costs and quality standards | Works with merchandising, technical design and sourcing to establish and maintain policies and standards for specifications, sourcing and contract manufacturing | Estimates manufacturing costs, determines time standards, and recommends product and process requirements for new and existing products | Maintains records and reporting systems for coordination of contract manufacturing operations | Responsibilities are within the Outsourced/Contract Manufacturing Function as a generalist or in a combination of Disciplines</v>
          </cell>
        </row>
        <row r="666">
          <cell r="E666" t="str">
            <v>AOO999</v>
          </cell>
          <cell r="G666" t="str">
            <v>Responsibilities are within the Outsourced/Contract Manufacturing Function but are not described in other Discipline summaries</v>
          </cell>
        </row>
        <row r="667">
          <cell r="E667" t="str">
            <v>APM</v>
          </cell>
          <cell r="G667" t="str">
            <v>Plans, monitors and manages internal projects from initiation through completion. Secures required resources and uses formal processes and tools to manage resources, budgets, risks and changes. Manages projects to ensure on-time completion according to specifications and within budgeted costs. At the higher levels, incumbents manage large multifaceted projects; at lower levels, incumbents may be concerned with clearly identifiable elements or functions within a larger project. Typically incumbents matched to this function are working towards or have achieved certification in project management.</v>
          </cell>
        </row>
        <row r="668">
          <cell r="E668" t="str">
            <v>APM</v>
          </cell>
          <cell r="G668" t="str">
            <v>Match HR project/program managers who manage various projects such as new HR program implementation and HR transition projects to the AHR000-HR Generalist/Consultant Generalist/Multidiscipline in the AHR-Human Resources Function.</v>
          </cell>
        </row>
        <row r="669">
          <cell r="E669" t="str">
            <v>APM</v>
          </cell>
          <cell r="G669" t="str">
            <v>Match incumbents who manage projects exclusively in one aspect of IT, such as application development or ERP implementation to that Discipline (e.g., AID010-Application Development, AID100-Functional/Business Area - ERP/CRM Application Customization) in the AID-IT Development Function or AIT-IT Administration Function.</v>
          </cell>
        </row>
        <row r="670">
          <cell r="E670" t="str">
            <v>APM</v>
          </cell>
          <cell r="G670" t="str">
            <v>Match project management staff who are not responsible for employee pay determination, review, and hire and fire decisions to an individual contributor Career Level (i.e., Career Levels P1-P6). Match incumbents who supervise project managers (e.g., group project managers) to the appropriate management Career Level (i.e., Career Levels M2-M4).</v>
          </cell>
        </row>
        <row r="671">
          <cell r="E671" t="str">
            <v>APM</v>
          </cell>
          <cell r="G671" t="str">
            <v>Note: The EX Career Band is not applicable in North America. Executives are collected as Executive Benchmarks in North America's Executive Surveys.</v>
          </cell>
        </row>
        <row r="672">
          <cell r="E672" t="str">
            <v>APM</v>
          </cell>
          <cell r="G672" t="str">
            <v>EX (Executive)</v>
          </cell>
        </row>
        <row r="673">
          <cell r="E673" t="str">
            <v>APM</v>
          </cell>
          <cell r="G673" t="str">
            <v>M (Supervisory/Management)</v>
          </cell>
        </row>
        <row r="674">
          <cell r="E674" t="str">
            <v>APM</v>
          </cell>
          <cell r="G674" t="str">
            <v>P (Professional)</v>
          </cell>
        </row>
        <row r="675">
          <cell r="E675" t="str">
            <v>APM</v>
          </cell>
          <cell r="G675" t="str">
            <v>U (Business Support)</v>
          </cell>
        </row>
        <row r="676">
          <cell r="E676" t="str">
            <v>APM000</v>
          </cell>
          <cell r="G676" t="str">
            <v>Plans, monitors and manages internal projects from initiation through completion | Leads or coordinates project planning, resourcing, staffing, supply and subcontract management, progress reporting, troubleshooting and people management | Ensures project results meet requirements regarding technical quality, reliability, schedule and cost | Monitors performance and recommends schedule changes, cost adjustments or resource additions | Responsibilities are within the Project/Program Management Function as a generalist or in a combination of Disciplines</v>
          </cell>
        </row>
        <row r="677">
          <cell r="E677" t="str">
            <v>APM010</v>
          </cell>
          <cell r="G677" t="str">
            <v>Manages all aspects of a diverse IT project or multiple IT projects, typically involving multiple Disciplines in the IT Function | Utilizes expertise and leadership skills to direct staff and to resolve issues to ensure project goals and requirements are met | Typically uses Scrum/Agile development techniques and tools for team collaboration, issue tracking and backlog management</v>
          </cell>
        </row>
        <row r="678">
          <cell r="E678" t="str">
            <v>APM010</v>
          </cell>
          <cell r="G678" t="str">
            <v>Match incumbents who manage and plan e-projects aligning web presence to business strategy to this discipline.</v>
          </cell>
        </row>
        <row r="679">
          <cell r="E679" t="str">
            <v>APM020</v>
          </cell>
          <cell r="G679" t="str">
            <v>Leads or coordinates construction projects such as developing a new facility; the addition, expansion or extension of an existing facility; or renovation/alterations to a facility in collaboration with project team, construction site and management | Develops assignments, timetables and responsibilities for team members for the duration of the project | Organizes and directs construction personnel and ensures that materials and equipment resources are delivered on time</v>
          </cell>
        </row>
        <row r="680">
          <cell r="E680" t="str">
            <v>APM030</v>
          </cell>
          <cell r="G680" t="str">
            <v>Leads or coordinates project planning, resourcing, staffing, progress reporting, people management and troubleshooting for engineering projects | Ensures project results meet requirements regarding technical quality, reliability, schedule and cost</v>
          </cell>
        </row>
        <row r="681">
          <cell r="E681" t="str">
            <v>APM050</v>
          </cell>
          <cell r="G681" t="str">
            <v>Leads or coordinates cross-functional project/program teams from design to delivery of fully-developed products that are ready for customer use | Monitors performance and recommends schedule changes, cost adjustments or resource additions | Investigates facts and develops solutions to problems during the design and planning phases | Provides timely and accurate information and status updates to functional leaders | May be responsible for feasibility studies, field trials management, identifying product gaps, defining product requirements and engaging with customers to understand market needs and trends</v>
          </cell>
        </row>
        <row r="682">
          <cell r="E682" t="str">
            <v>APM055</v>
          </cell>
          <cell r="G682" t="str">
            <v>Responsible for the entire life cycle management of a technology/digital product or type, including purpose, definition, design, planning, development, prototyping and testing | Applies design thinking techniques (e.g., user stories, wireframing, prototyping) in order to define product features; develops the roadmap based on effort sizing and overall value to the business | Frequently touches base with development teams and the business for sprint reviews | Typically uses team scrum/agile development techniques (continuous delivery, field trials) and tools for team collaboration, product testing, issue tracking and backlog management</v>
          </cell>
        </row>
        <row r="683">
          <cell r="E683" t="str">
            <v>APM060</v>
          </cell>
          <cell r="G683" t="str">
            <v>Manages employee resources on a "pool" basis | Ensures that resources of suitable skills and caliber are available for tasks and activities as required | Manages the education, planning, skills enhancement, costing, etc., associated with resources</v>
          </cell>
        </row>
        <row r="684">
          <cell r="E684" t="str">
            <v>APM150</v>
          </cell>
          <cell r="G684" t="str">
            <v>Plans, monitors and manages internal projects from initiation through completion employing Scrum Master techniques in an Agile environment | Coaches teams on Scrum/Agile principles (e.g., iterative/continuous development, self-organization, code refactoring, black box testing) and ensures these are adhered to for successful delivery | Utilizes skills and knowledge for facilitation, empowerment, continuous improvement and servant leadership</v>
          </cell>
        </row>
        <row r="685">
          <cell r="E685" t="str">
            <v>APM152</v>
          </cell>
          <cell r="G685" t="str">
            <v>Manages technology and software development projects in accordance with DevOps principles to ensure connection between developers/engineers and IT operations | Empowers development teams through the introduction, development and/or maintenance of efficient tools and processes | Ensures continuous, high velocity delivery and automated deployment through the use of software provisioning, configuration management, source code management and/or team collaboration applications | May develop own automation scripts and procedures in procedure language or other scripting language | Site Reliability Engineers (SRE) should be matched to this Discipline</v>
          </cell>
        </row>
        <row r="686">
          <cell r="E686" t="str">
            <v>APM193</v>
          </cell>
          <cell r="G686" t="str">
            <v>Focuses on the development and ongoing operation of one or more of the organization's programs | Develops program budgets, staffing requirements and ensures the programs meet stated objectives</v>
          </cell>
        </row>
        <row r="687">
          <cell r="E687" t="str">
            <v>APM195</v>
          </cell>
          <cell r="G687" t="str">
            <v>Leads or coordinates project planning, resourcing, staffing, progress reporting, people management and troubleshooting for digital content projects | Ensures project results meet requirements regarding technical quality, reliability, schedule and cost</v>
          </cell>
        </row>
        <row r="688">
          <cell r="E688" t="str">
            <v>APM200</v>
          </cell>
          <cell r="G688" t="str">
            <v>Leads or coordinates telecommunications tower construction projects within established timeframes and budgeted costs | Ensures that telecommunications towers meet technical, quality, reliability and organization standards in accordance with project specifications</v>
          </cell>
        </row>
        <row r="689">
          <cell r="E689" t="str">
            <v>APM700</v>
          </cell>
          <cell r="G689" t="str">
            <v>Leads or coordinates project planning, resourcing, staffing, progress reporting, people management and troubleshooting for media production projects | Ensures project results meet requirements regarding technical quality, reliability, schedule and cost</v>
          </cell>
        </row>
        <row r="690">
          <cell r="E690" t="str">
            <v>APM720</v>
          </cell>
          <cell r="G690" t="str">
            <v>Leads or coordinates project planning, resourcing, staffing, progress reporting, people management and troubleshooting for broadcast engineering projects | Ensures project results meet requirements regarding technical quality, reliability, schedule and cost</v>
          </cell>
        </row>
        <row r="691">
          <cell r="E691" t="str">
            <v>APM999</v>
          </cell>
          <cell r="G691" t="str">
            <v>Responsibilities are within the Project/Program Management Function but are not described in other Discipline summaries</v>
          </cell>
        </row>
        <row r="692">
          <cell r="E692" t="str">
            <v>AQY</v>
          </cell>
          <cell r="G692" t="str">
            <v>Develops and implements programs to establish and maintain quality standards of existing products and services, as well as developing programs to focus employees on quality improvement. Develops policies, procedures and methods to check product, material, components and/or operational quality and improve same.</v>
          </cell>
        </row>
        <row r="693">
          <cell r="E693" t="str">
            <v>AQY</v>
          </cell>
          <cell r="G693" t="str">
            <v>Match incumbents who conduct quality control tests/inspections, collect and/or analyze process statistical data, or provide technical support to the quality or quality engineering functions to the AZT060-Quality Control/Inspection Technical Specialty Discipline in the AZT-Technical Specialty/Skilled Trade Function.</v>
          </cell>
        </row>
        <row r="694">
          <cell r="E694" t="str">
            <v>AQY</v>
          </cell>
          <cell r="G694" t="str">
            <v>Match incumbents with at least a four-year engineering degree or equivalent education who either have or are eligible for certification as professional engineers who focus on quality to the AZE030-Quality Assurance Engineering Discipline in the AZE-Engineering Function; except, match quality engineers with Six Sigma certification (i.e., Master Black Belt, Black Belt) to the AQY030-Six Sigma Process Discipline.</v>
          </cell>
        </row>
        <row r="695">
          <cell r="E695" t="str">
            <v>AQY</v>
          </cell>
          <cell r="G695" t="str">
            <v>Note: The EX Career Band is not applicable in North America. Executives are collected as Executive Benchmarks in North America's Executive Surveys.</v>
          </cell>
        </row>
        <row r="696">
          <cell r="E696" t="str">
            <v>AQY</v>
          </cell>
          <cell r="G696" t="str">
            <v>EX (Executive)</v>
          </cell>
        </row>
        <row r="697">
          <cell r="E697" t="str">
            <v>AQY</v>
          </cell>
          <cell r="G697" t="str">
            <v>M (Supervisory/Management)</v>
          </cell>
        </row>
        <row r="698">
          <cell r="E698" t="str">
            <v>AQY</v>
          </cell>
          <cell r="G698" t="str">
            <v>P (Professional)</v>
          </cell>
        </row>
        <row r="699">
          <cell r="E699" t="str">
            <v>AQY</v>
          </cell>
          <cell r="G699" t="str">
            <v>U (Business Support) (for AQY000 only)</v>
          </cell>
        </row>
        <row r="700">
          <cell r="E700" t="str">
            <v>AQY000</v>
          </cell>
          <cell r="G700" t="str">
            <v>Develops policies, procedures and methods to evaluate and improve the quality of products, materials, components and/or operations | Develops, assures and maintains the quality of products and processes, including standard procedures (e.g., ISO 9001:2000, ISO 14000 family of standards), quality audits/review, Taguchi methods, process reengineering, etc. | Responsibilities are within the Quality Assurance Methods Function as a generalist or in a combination of Disciplines</v>
          </cell>
        </row>
        <row r="701">
          <cell r="E701" t="str">
            <v>AQY010</v>
          </cell>
          <cell r="G701" t="str">
            <v>Implements the Total Quality Management (TQM) philosophy | Measures customer satisfaction and takes action as appropriate | Implements "just in time" techniques</v>
          </cell>
        </row>
        <row r="702">
          <cell r="E702" t="str">
            <v>AQY020</v>
          </cell>
          <cell r="G702" t="str">
            <v>Analyzes and measures the effectiveness of existing business processes and develops sustainable, repeatable and quantifiable business process improvements | Researches best business practices within and outside the organization to establish benchmark data | Collects and analyzes process data to initiate, develop and recommend business practices and procedures that focus on enhanced safety, increased productivity and reduced cost | Determines how new information technologies can support reengineering business processes | May specialize in one or more of the following areas: benchmarking, business process analysis and reengineering, change management and measurement, and/or process-driven systems requirements</v>
          </cell>
        </row>
        <row r="703">
          <cell r="E703" t="str">
            <v>AQY030</v>
          </cell>
          <cell r="G703" t="str">
            <v>Develops, implements and sustains process improvement initiatives utilizing Six Sigma methodologies | Drives process improvement initiatives throughout the organization, often extending them to suppliers and customers | Typically requires or is working towards Six Sigma certification (i.e., Master Black Belt, Black Belt)</v>
          </cell>
        </row>
        <row r="704">
          <cell r="E704" t="str">
            <v>AQY040</v>
          </cell>
          <cell r="G704" t="str">
            <v>Collaborates with suppliers to assure the quality of their products, materials, components and/or operations | Monitors supplier performance and supports efforts to develop and implement changes to improve the production process | Follows up with suppliers on quality deviations and ensures that solutions are identified and implemented</v>
          </cell>
        </row>
        <row r="705">
          <cell r="E705" t="str">
            <v>AQY050</v>
          </cell>
          <cell r="G705" t="str">
            <v>Ensures food products meet standards set by organization and regulatory authorities | Executes and tracks regulatory compliance policies and procedures for food safety and quality, including allergens, microbiological issues, foreign materials and other food safety issues that pose a risk to human health | Collaborates with quality, R&amp;D, marketing, manufacturing and legal functions on food safety implications of new product formulations or ingredient changes | Develops and reviews food quality and safety policies, provides training and manages audits by third-party inspectors</v>
          </cell>
        </row>
        <row r="706">
          <cell r="E706" t="str">
            <v>AQY300</v>
          </cell>
          <cell r="G706" t="str">
            <v>Oversees the traceability process for organization food and ingredients and the product recall process | Ensures respect of the cold chain all along the supply chain | Organizes product testing, inspect suppliers manufacturing plants in order to ensure compliance with hygiene, food processing and safety regulations | Works with sanitarian authorities and independent control laboratories | May require a Veterinarian diploma</v>
          </cell>
        </row>
        <row r="707">
          <cell r="E707" t="str">
            <v>AQY999</v>
          </cell>
          <cell r="G707" t="str">
            <v>Responsibilities are within the Quality Assurance Methods Function but are not described in other Discipline summaries</v>
          </cell>
        </row>
        <row r="708">
          <cell r="E708" t="str">
            <v>ARE</v>
          </cell>
          <cell r="G708" t="str">
            <v>Plans, controls and directs real estate activities such as site location and acquisition, right-of-way negotiation, building and land acquisition and disposition, space leasing, property management and maintenance of properties.</v>
          </cell>
        </row>
        <row r="709">
          <cell r="E709" t="str">
            <v>ARE</v>
          </cell>
          <cell r="G709" t="str">
            <v>Note: The EX Career Band is not applicable in North America. Executives are collected as Executive Benchmarks in North America's Executive Surveys.</v>
          </cell>
        </row>
        <row r="710">
          <cell r="E710" t="str">
            <v>ARE</v>
          </cell>
          <cell r="G710" t="str">
            <v>EX (Executive)</v>
          </cell>
        </row>
        <row r="711">
          <cell r="E711" t="str">
            <v>ARE</v>
          </cell>
          <cell r="G711" t="str">
            <v>M (Supervisory/Management)</v>
          </cell>
        </row>
        <row r="712">
          <cell r="E712" t="str">
            <v>ARE</v>
          </cell>
          <cell r="G712" t="str">
            <v>P (Professional)</v>
          </cell>
        </row>
        <row r="713">
          <cell r="E713" t="str">
            <v>ARE</v>
          </cell>
          <cell r="G713" t="str">
            <v>U (Business Support)</v>
          </cell>
        </row>
        <row r="714">
          <cell r="E714" t="str">
            <v>ARE000</v>
          </cell>
          <cell r="G714" t="str">
            <v>Plans, controls and directs real estate activities; identifies, acquires or leases land and buildings for the organization's operations | May negotiate right-of-way easements | Ensures the optimal utilization of the organization's facilities | Disposes of facilities that are no longer required by the organization | Responsibilities are within the Real Estate and Facilities Function as a generalist or in a combination of Disciplines</v>
          </cell>
        </row>
        <row r="715">
          <cell r="E715" t="str">
            <v>ARE010</v>
          </cell>
          <cell r="G715" t="str">
            <v>Manages real estate to ensure maximum return and profitability | Advises and assists with site selection, site acquisition, leasing space and other functions relating to land acquisition, negotiation and sale</v>
          </cell>
        </row>
        <row r="716">
          <cell r="E716" t="str">
            <v>ARE020</v>
          </cell>
          <cell r="G716" t="str">
            <v>Ensures the optimal utilization of the organization's facilities | Assesses and evaluates the physical space requirements of the organization and recommends plans to meet needs | Ensures proper functioning of facilities through ongoing inspection and maintenance</v>
          </cell>
        </row>
        <row r="717">
          <cell r="E717" t="str">
            <v>ARE030</v>
          </cell>
          <cell r="G717" t="str">
            <v>Responsible for planning and organizing the design of the internal business/retail environment | Activities are likely to include the technical design and organization of available office/shop floor space, extensive liaison with stakeholders/merchandisers to understand their needs, and development and delivery of the most effective solution | Junior levels are primarily involved in technical (computer-aided) design; more senior levels interact with stakeholders and oversees the design/planning team</v>
          </cell>
        </row>
        <row r="718">
          <cell r="E718" t="str">
            <v>ARE040</v>
          </cell>
          <cell r="G718" t="str">
            <v>Obtains right-of-way easements for overhead or underground use | Checks property titles to determine ownership, negotiates easements and price to be paid, prepares assessments and arranges payment to grantor | Assists in land acquisition for building facilities by obtaining land options | Maintains permits and inspects completed work | May coordinate acquisition activities with municipalities, governmental and regulatory agencies to ensure compliance with acquisition and easement requirements</v>
          </cell>
        </row>
        <row r="719">
          <cell r="E719" t="str">
            <v>ARE300</v>
          </cell>
          <cell r="G719" t="str">
            <v>Conducts site location analyses, including area demographics and sales potential, to develop new store location strategies and identify remodeling/expansion opportunities | Directs regional planning, consumer research, competitive intelligence and in-depth data analysis to meet strategic planning needs | Negotiates with developers, brokers, landowners, planners, boards and city/county officials to coordinate site design, infrastructure development, tax incentives, permits and purchase of land for development</v>
          </cell>
        </row>
        <row r="720">
          <cell r="E720" t="str">
            <v>ARE310</v>
          </cell>
          <cell r="G720" t="str">
            <v>Designs and oversees construction of new stores and/or remodeling of existing stores | Coordinates teams of architects, designers, consultants and construction crews to complete projects in a timely manner | Ensures that construction is accomplished in accordance with technical specifications, budgeted costs, established timetables and contractual arrangements | Collaborates with visual merchandisers to develop the layout and design of new stores or sales space and to renovate existing sites to meet organization's style guidelines and positively impact customer buying behavior</v>
          </cell>
        </row>
        <row r="721">
          <cell r="E721" t="str">
            <v>ARE320</v>
          </cell>
          <cell r="G721" t="str">
            <v>Implements organization store design criteria for new stores and/or remodeling of existing stores | Implements organization design principles for new store layout and existing store remodeling efforts | Researches store sales history and staff needs to identify new trends and enhance space management | Collaborates with visual merchandisers to develop the layout and design of new stores or sales space and to renovate existing sites to meet organization's style guidelines and positively impact customer buying behavior</v>
          </cell>
        </row>
        <row r="722">
          <cell r="E722" t="str">
            <v>ARE330</v>
          </cell>
          <cell r="G722" t="str">
            <v>Oversees construction of new stores and/or remodeling and additions to existing stores | Ensures that construction is accomplished in accordance with technical specifications, budgeted costs, established timetables and contractual arrangements</v>
          </cell>
        </row>
        <row r="723">
          <cell r="E723" t="str">
            <v>ARE340</v>
          </cell>
          <cell r="G723" t="str">
            <v>Participates in the execution, tracking and verification of lease documentation pertaining to new store leases, lease renewals and lease terminations | Negotiates and administers real estate leases and subleases | Coordinates payment of rent, percentage rent, common area maintenance, merchants' association dues, insurance premiums and other miscellaneous expenses with landlords and store management</v>
          </cell>
        </row>
        <row r="724">
          <cell r="E724" t="str">
            <v>ARE999</v>
          </cell>
          <cell r="G724" t="str">
            <v>Responsibilities are within the Real Estate and Facilities Function but are not described in other Discipline summaries</v>
          </cell>
        </row>
        <row r="725">
          <cell r="E725" t="str">
            <v>ARP</v>
          </cell>
          <cell r="G725" t="str">
            <v>Discovers, develops and evaluates new product ideas, enhancements to existing products or strategic product extensions, and translates research discoveries into usable and marketable products. Leads, plans and tracks all phases of the product life cycle, from inception to introduction into the marketplace. Appraises new product ideas to determine their potential to address customer needs and to achieve goals in revenue growth and market share. Establishes product specifications and coordinates with various functions, including Engineering, Manufacturing, Marketing and Sales, to ensure successful product development and implementation.</v>
          </cell>
        </row>
        <row r="726">
          <cell r="E726" t="str">
            <v>ARP</v>
          </cell>
          <cell r="G726" t="str">
            <v>Match incumbents responsible for performing basic scientific research directed toward the acquisition of new knowledge typically outside the organization's normal business planning horizon to the appropriate discipline in the ARS-Research Function.</v>
          </cell>
        </row>
        <row r="727">
          <cell r="E727" t="str">
            <v>ARP</v>
          </cell>
          <cell r="G727" t="str">
            <v>Match incumbents responsible for applied research to this function.</v>
          </cell>
        </row>
        <row r="728">
          <cell r="E728" t="str">
            <v>ARP</v>
          </cell>
          <cell r="G728" t="str">
            <v>Match incumbents responsible for creating product designs based on concepts established by product development and merchandising groups to the RDC-Creative Design Function.</v>
          </cell>
        </row>
        <row r="729">
          <cell r="E729" t="str">
            <v>ARP</v>
          </cell>
          <cell r="G729" t="str">
            <v>Match incumbents responsible for developing new technology for products to the TPD-Technology Product Development Function.</v>
          </cell>
        </row>
        <row r="730">
          <cell r="E730" t="str">
            <v>ARP</v>
          </cell>
          <cell r="G730" t="str">
            <v>Match incumbents responsible for the technical aspects of product designs including color, pattern, sizing and material to the RDT-Technical Design Function.</v>
          </cell>
        </row>
        <row r="731">
          <cell r="E731" t="str">
            <v>ARP</v>
          </cell>
          <cell r="G731" t="str">
            <v>Match product development project/program managers to the APM050-Product Development Project/Program Management Discipline in the APM-Project/Program Management Function.</v>
          </cell>
        </row>
        <row r="732">
          <cell r="E732" t="str">
            <v>ARP</v>
          </cell>
          <cell r="G732" t="str">
            <v>Note: The EX Career Band is not applicable in North America. Executives are collected as Executive Benchmarks in North America's Executive Surveys.</v>
          </cell>
        </row>
        <row r="733">
          <cell r="E733" t="str">
            <v>ARP</v>
          </cell>
          <cell r="G733" t="str">
            <v>EX (Executive)</v>
          </cell>
        </row>
        <row r="734">
          <cell r="E734" t="str">
            <v>ARP</v>
          </cell>
          <cell r="G734" t="str">
            <v>M (Supervisory/Management)</v>
          </cell>
        </row>
        <row r="735">
          <cell r="E735" t="str">
            <v>ARP</v>
          </cell>
          <cell r="G735" t="str">
            <v>P (Professional)</v>
          </cell>
        </row>
        <row r="736">
          <cell r="E736" t="str">
            <v>ARP</v>
          </cell>
          <cell r="G736" t="str">
            <v>T (Technical Support)</v>
          </cell>
        </row>
        <row r="737">
          <cell r="E737" t="str">
            <v>ARP000</v>
          </cell>
          <cell r="G737" t="str">
            <v>Discovers, develops and evaluates new product ideas, enhancements to existing products or strategic product extensions, and translates research discoveries into usable and marketable products | Leads, plans and tracks all phases of the product life cycle, from inception to introduction into the marketplace | Develops design briefs for new product ideas, including specifications, sketches and/or models to present a clear, focused concept for strategic consideration | Responsibilities are within the Product Development Function as a generalist or in a combination of Disciplines</v>
          </cell>
        </row>
        <row r="738">
          <cell r="E738" t="str">
            <v>ARP010</v>
          </cell>
          <cell r="G738" t="str">
            <v>Initiates, leads, conducts and supports product development based on chemistry, earth sciences, physics or metallurgy</v>
          </cell>
        </row>
        <row r="739">
          <cell r="E739" t="str">
            <v>ARP030</v>
          </cell>
          <cell r="G739" t="str">
            <v>Initiates, leads, conducts and supports product development based on biology, bio-tech, physiology, pharmacology, neurosciences, microbiology, agriculture, food, genomics, bioinformatics, bacteriology or stem cell research</v>
          </cell>
        </row>
        <row r="740">
          <cell r="E740" t="str">
            <v>ARP035</v>
          </cell>
          <cell r="G740" t="str">
            <v>Develops and formulates new or improved food products or processes | Documents processes, formulas, ingredients and results related to production tests, samples and product evaluations | Conducts taste-test panel evaluation with test batches for new products or processes | Typically has a strong working knowledge of food science, health and nutrition, food manufacturing processes, quality assurance principles, ingredient functionality and supply, and market research practice</v>
          </cell>
        </row>
        <row r="741">
          <cell r="E741" t="str">
            <v>ARP050</v>
          </cell>
          <cell r="G741" t="str">
            <v>Designs, validates and brings new products to market | Specifies precise new product functional requirements; designs, tests and integrates components to produce final designs; and evaluates the design's overall effectiveness, cost, reliability and safety | Designs, develops, executes and evaluates fitness-for-use testing, product specifications and process validation plans; creates and reviews material part specifications and bills of materials | Collaborates with internal manufacturing partners, contract manufacturers, designers and product specialists to optimize designs for manufacturability | Utilizes CAD (Computer Aided Design) or CAE (Computer Aided Engineering) systems to model new designs and produce detailed engineering drawings</v>
          </cell>
        </row>
        <row r="742">
          <cell r="E742" t="str">
            <v>ARP060</v>
          </cell>
          <cell r="G742" t="str">
            <v>Produces mock-ups, models or other preliminary versions of design concepts and final designs which can be explored, tested, evaluated and used to promote discussion and development | Analyzes and reports test and evaluation results to support technical problem solving related to feasibility, debugging and design for ease of manufacture | Establishes trial procedures to ensure compliance with the organization's protocols and standards and regulatory requirements | Maintains trial data and quality assurance procedures according to regulatory guidelines | Oversees trial coordination, data management and administrative activity to ensure the smooth running and progress of the studies</v>
          </cell>
        </row>
        <row r="743">
          <cell r="E743" t="str">
            <v>ARP080</v>
          </cell>
          <cell r="G743" t="str">
            <v>Creates and develops the look of products (e.g., shape, color and size) with a focus on product external appearance rather than internal functionality | Evaluates the feasibility of design ideas based on factors such as appearance, safety, function, serviceability, budget, production costs/methods and market characteristics</v>
          </cell>
        </row>
        <row r="744">
          <cell r="E744" t="str">
            <v>ARP999</v>
          </cell>
          <cell r="G744" t="str">
            <v>Responsibilities are within the Product Development Function but are not described in other Discipline summaries</v>
          </cell>
        </row>
        <row r="745">
          <cell r="E745" t="str">
            <v>ARS</v>
          </cell>
          <cell r="G745" t="str">
            <v>Performs basic theoretical and experimental scientific and technological investigation directed toward the acquisition of new knowledge. Research activities are typically outside the normal planning horizon of the organization's business units and encompass such endeavors as enlarging and systematizing the knowledge base in science and technology, and understanding the limitations of technology and how to apply its capabilities. Publishes activities, findings and conclusions in recognized scientific publications and presents same at appropriate scientific conferences and forums.</v>
          </cell>
        </row>
        <row r="746">
          <cell r="E746" t="str">
            <v>ARS</v>
          </cell>
          <cell r="G746" t="str">
            <v>Match entry-level incumbents with a Ph.D. degree to the P3-Career Level.</v>
          </cell>
        </row>
        <row r="747">
          <cell r="E747" t="str">
            <v>ARS</v>
          </cell>
          <cell r="G747" t="str">
            <v>Match incumbents responsible for creating product designs based on concepts established by product development and merchandising groups to the RDC-Creative Design Function.</v>
          </cell>
        </row>
        <row r="748">
          <cell r="E748" t="str">
            <v>ARS</v>
          </cell>
          <cell r="G748" t="str">
            <v>Match incumbents responsible for the technical aspects of product designs including color, pattern, sizing and material to the RDT-Technical Design Function.</v>
          </cell>
        </row>
        <row r="749">
          <cell r="E749" t="str">
            <v>ARS</v>
          </cell>
          <cell r="G749" t="str">
            <v>Match incumbents responsible for the translation of research discoveries into usable and marketable products (i.e., applied research) to the appropriate discipline in the ARP-Product Development Function.</v>
          </cell>
        </row>
        <row r="750">
          <cell r="E750" t="str">
            <v>ARS</v>
          </cell>
          <cell r="G750" t="str">
            <v>Match incumbents responsible for the translation of research discoveries into usable and marketable products (i.e., applied research) to the appropriate discipline in the TPD-Technology Product Development Function.</v>
          </cell>
        </row>
        <row r="751">
          <cell r="E751" t="str">
            <v>ARS</v>
          </cell>
          <cell r="G751" t="str">
            <v>Note: The EX Career Band is not applicable in North America. Executives are collected as Executive Benchmarks in North America's Executive Surveys.</v>
          </cell>
        </row>
        <row r="752">
          <cell r="E752" t="str">
            <v>ARS</v>
          </cell>
          <cell r="G752" t="str">
            <v>EX (Executive)</v>
          </cell>
        </row>
        <row r="753">
          <cell r="E753" t="str">
            <v>ARS</v>
          </cell>
          <cell r="G753" t="str">
            <v>M (Supervisory/Management)</v>
          </cell>
        </row>
        <row r="754">
          <cell r="E754" t="str">
            <v>ARS</v>
          </cell>
          <cell r="G754" t="str">
            <v>P (Professional)</v>
          </cell>
        </row>
        <row r="755">
          <cell r="E755" t="str">
            <v>ARS</v>
          </cell>
          <cell r="G755" t="str">
            <v>T (Technical Support)</v>
          </cell>
        </row>
        <row r="756">
          <cell r="E756" t="str">
            <v>ARS000</v>
          </cell>
          <cell r="G756" t="str">
            <v>Performs basic theoretical and experimental scientific and technological investigation directed toward the acquisition of new knowledge | Prepares comprehensive documented observations, analyses and interpretations of results, including technical reports, summaries, protocols and quantitative analyses | Publishes activities, findings and conclusions in recognized scientific publications and presents same at appropriate scientific conferences and forums | Documents research leading to patent disclosure or technical and/or scientific advancement | Responsibilities are within the Research Function as a generalist or in a combination of Disciplines</v>
          </cell>
        </row>
        <row r="757">
          <cell r="E757" t="str">
            <v>ARS010</v>
          </cell>
          <cell r="G757" t="str">
            <v>Initiates, leads, conducts and supports discovery and validation of research in chemistry, earth sciences, physics or metallurgy | Prepares comprehensive documented observations, analyses and interpretations of results, including technical reports, summaries, protocols and quantitative analyses | Publishes activities, findings and conclusions in recognized scientific publications and presents same at appropriate scientific conferences and forums | Documents research leading to patent disclosure or technical and/or scientific advancement</v>
          </cell>
        </row>
        <row r="758">
          <cell r="E758" t="str">
            <v>ARS050</v>
          </cell>
          <cell r="G758" t="str">
            <v>Uses existing quantum software stacks, programming languages and/or algorithms in order to envision and develop innovative, scalable, use case-specific quantum computing solutions | Use cases may include post-quantum encryption, quantum-enhanced machine learning, medical diagnostics, molecule development (e.g., drug research) and/or automated trading | May scout external vendors for specialized capabilities and establish strategic partnerships accordingly</v>
          </cell>
        </row>
        <row r="759">
          <cell r="E759" t="str">
            <v>ARS999</v>
          </cell>
          <cell r="G759" t="str">
            <v>Responsibilities are within the Research Function but are not described in other Discipline summaries</v>
          </cell>
        </row>
        <row r="760">
          <cell r="E760" t="str">
            <v>ASC</v>
          </cell>
          <cell r="G760" t="str">
            <v>Performs supply chain and logistics functions, which may include, but are not limited to, material procurement, production planning, inventory control, outsourcing, vendor selection and distribution. Creates integrated processes among internal functions such as operations, purchasing and logistics, and outside suppliers. Focuses resources on continuous improvement of the movement of materials through various production processes and establishes key performance metrics and benchmarks relating to supply chain planning/forecasting to measure actual performance against goals on a regular basis. Promotes alignment by understanding and communicating customer needs and requirements throughout the organization.</v>
          </cell>
        </row>
        <row r="761">
          <cell r="E761" t="str">
            <v>ASC</v>
          </cell>
          <cell r="G761" t="str">
            <v>Match incumbents responsible for all manufacturing, engineering, supply chain and purchasing operations to AGA036-General Operations Management (Manufacturing) in the AGA-General Management and Administration Function.</v>
          </cell>
        </row>
        <row r="762">
          <cell r="E762" t="str">
            <v>ASC</v>
          </cell>
          <cell r="G762" t="str">
            <v>Match incumbents responsible for procurement contracts to the ALS020-Contract Administration Discipline in the ALS-Legal Support Function.</v>
          </cell>
        </row>
        <row r="763">
          <cell r="E763" t="str">
            <v>ASC</v>
          </cell>
          <cell r="G763" t="str">
            <v>Match incumbents responsible for the operation of vehicles for purposes other than pickup and delivery of equipment goods and supplies (e.g., passenger vehicles) to the appropriate discipline in the AAT-Transportation Services and Administration Function.</v>
          </cell>
        </row>
        <row r="764">
          <cell r="E764" t="str">
            <v>ASC</v>
          </cell>
          <cell r="G764" t="str">
            <v>Grade 7 Class C or C1 drivers and shunters, responsible for hazardous goods and/or those with C+E license required for towing articulated trailers. Grade 6 Non-hazardous goods - Class C and C1 drivers and shunters. Grade 5 Class B driver, responsible for delivering organization products or collecting client packages. Alternatively, a driver with a general license where products delivered/collected may be of a more sensitive nature and the role holder will likely require good interpersonal skills. Grade 4 Entry-level driver with a general license, delivering organization products to the organization outlets or collecting non-sensitive packages from clients.</v>
          </cell>
        </row>
        <row r="765">
          <cell r="E765" t="str">
            <v>ASC</v>
          </cell>
          <cell r="G765" t="str">
            <v>Grade 5 An experienced fork-lift truck driver, will be able to operate the reach trucks. Will work on allocated assignments including moving pallets of goods into storage and in the 'letting down' of goods. Will have a responsibility to follow warehouse procedures, the Health and Safety guidelines and for the correct handling of all goods. Grade 4 Operates a standard fork-lift truck within the warehouse. Will carry out assignments ensuring all goods are handled correctly.</v>
          </cell>
        </row>
        <row r="766">
          <cell r="E766" t="str">
            <v>ASC</v>
          </cell>
          <cell r="G766" t="str">
            <v>Note: The EX Career Band is not applicable in North America. Executives are collected as Executive Benchmarks in North America's Executive Surveys.</v>
          </cell>
        </row>
        <row r="767">
          <cell r="E767" t="str">
            <v>ASC</v>
          </cell>
          <cell r="G767" t="str">
            <v>EX (Executive)</v>
          </cell>
        </row>
        <row r="768">
          <cell r="E768" t="str">
            <v>ASC</v>
          </cell>
          <cell r="G768" t="str">
            <v>M (Supervisory/Management)</v>
          </cell>
        </row>
        <row r="769">
          <cell r="E769" t="str">
            <v>ASC</v>
          </cell>
          <cell r="G769" t="str">
            <v>P (Professional)</v>
          </cell>
        </row>
        <row r="770">
          <cell r="E770" t="str">
            <v>ASC</v>
          </cell>
          <cell r="G770" t="str">
            <v>U (Business Support)</v>
          </cell>
        </row>
        <row r="771">
          <cell r="E771" t="str">
            <v>ASC</v>
          </cell>
          <cell r="G771" t="str">
            <v>W (Production/Manual Labor)</v>
          </cell>
        </row>
        <row r="772">
          <cell r="E772" t="str">
            <v>ASC000</v>
          </cell>
          <cell r="G772" t="str">
            <v>Performs supply chain and logistics functions such as material procurement, production planning, inventory control, outsourcing, vendor selection and distribution | Creates integrated processes among internal functions (e.g., operations, purchasing and logistics) and outside suppliers | Responsibilities are within the Supply Chain and Logistics Function as a generalist or in a combination of Disciplines</v>
          </cell>
        </row>
        <row r="773">
          <cell r="E773" t="str">
            <v>ASC010</v>
          </cell>
          <cell r="G773" t="str">
            <v>Coordinates and integrates the flow of materials and information among suppliers, manufacturers, distributors and customers | Conducts and/or oversees strategic supply chain analysis | Identifies and recommends opportunities for improving efficiency, effectiveness and capabilities of the supply chain | Develops and implements supply chain designs, models, strategies and/or processes to improve the business</v>
          </cell>
        </row>
        <row r="774">
          <cell r="E774" t="str">
            <v>ASC012</v>
          </cell>
          <cell r="G774" t="str">
            <v>Coordinates the development of new products, materials and/or services with suppliers | Provides specifications and collaborates with suppliers on the organization's technical, operational and quality requirements | Collaborates with suppliers on technical aspects of development work such as selecting materials | Administers a roster of approved suppliers</v>
          </cell>
        </row>
        <row r="775">
          <cell r="E775" t="str">
            <v>ASC013</v>
          </cell>
          <cell r="G775" t="str">
            <v>Develops, implements and coordinates a strategic sourcing/supplier diversity program to ensure equal opportunity in the organization's daily and strategic procurement activities | Establishes and maintains an extensive network of diverse suppliers for sourcing opportunities; participates in diversity councils and supplier diversity outreach events | Develops and maintains goals and metrics to measure and report activity, including contracts and spend with diverse suppliers | Administers all related programs to promote and encourage procurement activity among diverse suppliers such as minority and women-owned businesses</v>
          </cell>
        </row>
        <row r="776">
          <cell r="E776" t="str">
            <v>ASC015</v>
          </cell>
          <cell r="G776" t="str">
            <v>Plans, schedules and monitors inbound movement of materials from suppliers | Determines material requirements and coordinates the efficient movement of materials with purchasing, production and engineering | Develops specifications for new contract orders</v>
          </cell>
        </row>
        <row r="777">
          <cell r="E777" t="str">
            <v>ASC020</v>
          </cell>
          <cell r="G777" t="str">
            <v>Coordinates incoming and outgoing movement and storage of raw materials, finished products and parts that include functions such as warehousing, shop and delivery services to ensure material availability and delivery when needed to meet production schedules | Compiles data on order volume, production schedules and forecasts and applies statistical methods to estimate future materials requirements</v>
          </cell>
        </row>
        <row r="778">
          <cell r="E778" t="str">
            <v>ASC020</v>
          </cell>
          <cell r="G778" t="str">
            <v>Match materials handlers, order pickers, craters, and packers to this discipline and the Production/Manual Labor Career Band.</v>
          </cell>
        </row>
        <row r="779">
          <cell r="E779" t="str">
            <v>ASC022</v>
          </cell>
          <cell r="G779" t="str">
            <v>Transports merchandise using a forklift truck or reach truck to designated locations within the warehouse, which may include loading, unloading and order picking</v>
          </cell>
        </row>
        <row r="780">
          <cell r="E780" t="str">
            <v>ASC025</v>
          </cell>
          <cell r="G780" t="str">
            <v>Ensures that inventories are secure, properly identified and readily accessible to authorized personnel | Maintains controls over various types of inventories (e.g., raw materials, subassemblies, finished goods) | Conducts physical inventory counts and reconciles results with inventory records | Ensures that quantities of incoming and outgoing shipments are correct | Conducts analyses of inventory levels and coordinates with production and sales requirements</v>
          </cell>
        </row>
        <row r="781">
          <cell r="E781" t="str">
            <v>ASC030</v>
          </cell>
          <cell r="G781" t="str">
            <v>Coordinates inbound and outbound logistical operations, including inventory management, warehousing and transportation to ensure sufficient supply of goods and products | Controls the commercial impact of the complete range of activities from receiving, locating and dispatching, sourcing, purchasing and optimizing inventory levels | Administers an effective system that meets the organization's inventory control needs through efficient transportation of raw materials, component parts and/or finished goods</v>
          </cell>
        </row>
        <row r="782">
          <cell r="E782" t="str">
            <v>ASC032</v>
          </cell>
          <cell r="G782" t="str">
            <v>Develops and maintains efficient transportation and delivery services for the organization and delivery of its products | Analyzes transportation and distribution procedures, freight classifications, tariff rates to ensure services are efficient, cost effective and meets customer requirements | Ensures that carriers are notified of freight pick-up and that freight is properly routed | Prepares bills of lading and shipping manifests | Traces shipments and obtains proof of delivery | May respond to inquiries regarding shipping status and expedites shipment when required</v>
          </cell>
        </row>
        <row r="783">
          <cell r="E783" t="str">
            <v>ASC034</v>
          </cell>
          <cell r="G783" t="str">
            <v>Involved in the centralized planning and coordination of distribution services | Ensures that distribution is scheduled to its most efficient use; typically done through computerized modeling techniques, where a balance between customer/branch demand is sought with stockholding and production | Formulates, implements and monitors periodic plans (weekly, monthly, annual) with corrective action instigated if necessary; statistics are stored as management information centrally and at depots and are used in manpower and resource planning</v>
          </cell>
        </row>
        <row r="784">
          <cell r="E784" t="str">
            <v>ASC035</v>
          </cell>
          <cell r="G784" t="str">
            <v>Administers the efficient and economical movement of goods (e.g., materials, products, equipment) across international borders in accordance with organizational policies and in compliance with relevant local, country and international customs laws and processes | Prepares, reviews, approves and maintains files for import/export documents (e.g., customs declarations, a PO (purchase order), packing list, commercial invoice, SLI (shipper's letter of instruction), SED (shipper's export declaration), BOL (bill of lading), AWB (air waybill), IC (import certificate), etc.) required for the lawful completion of import/export activities | Ensures that commercial and sales invoices are accurate in accordance with physical shipment and customer's SLI, quantities, value of goods, country of origin and other regulatory requirements | Serves as an import/export liaison for international customers/subsidiaries, distribution, procurement, planning, manufacturing, interorganization finance, regulatory and import/export compliance functions</v>
          </cell>
        </row>
        <row r="785">
          <cell r="E785" t="str">
            <v>ASC036</v>
          </cell>
          <cell r="G785" t="str">
            <v>Takes responsibility for the centralized planning and development of operations and is involved with aspects of both design and development and logistics planning | Undertakes projects to enhance the quality of the distribution function | May design, install and maintain operational and technical systems to maximize the effectiveness and profitability of the function | Involved in the development of distribution strategy at more senior levels | Likely to have a professional logistics and/or computing background</v>
          </cell>
        </row>
        <row r="786">
          <cell r="E786" t="str">
            <v>ASC040</v>
          </cell>
          <cell r="G786" t="str">
            <v>Administers and operates the organization's warehouses, including processing, packaging and storage of supplies, materials and equipment | Accounts for all materials and supplies in the stores facilities; audits goods received into warehouse | Oversees receipt, storage and shipment of materials, and related reporting in accordance with established procedures | Prepares and coordinates schedules for shipping and receiving materials to control the flow of goods and regulate warehouse space | Ensures the effectiveness of operating procedures, space utilization, and maintenance and protection of facilities and equipment</v>
          </cell>
        </row>
        <row r="787">
          <cell r="E787" t="str">
            <v>ASC040</v>
          </cell>
          <cell r="G787" t="str">
            <v>Match materials handlers, order pickers, craters and packers to the ASC020-Materials Management Discipline and the Production/Manual Labor Career Band.</v>
          </cell>
        </row>
        <row r="788">
          <cell r="E788" t="str">
            <v>ASC042</v>
          </cell>
          <cell r="G788" t="str">
            <v>Manages the overall daily operations of a distribution center to ensure merchandise flows through the distribution center to the final point of destination with efficient utilization of manpower, equipment and vehicles | Determines space requirements based on forecasts for merchandise/inventory storage and schedules distribution of products, parts, and accessories to meet customer requirements | Performs or supervises warehousing tasks, including shipping, receiving, loading and unloading trucks, as well as stacking, picking, packing and palletizing finished products | Maintains safety/security and inventory control programs to reduce theft or loss due to improper recordkeeping</v>
          </cell>
        </row>
        <row r="789">
          <cell r="E789" t="str">
            <v>ASC045</v>
          </cell>
          <cell r="G789" t="str">
            <v>Fulfills orders, including order entry, administration and shipping | Processes orders and oversees related activities of third-party vendors to ensure orders flow effectively through systems and processes in accordance with the organization's customer service standards | Develops capacity plans to support build-to-stock and/or build-to-order environments | Ensures adequate inventory levels are maintained to maximize customer satisfaction and minimize cost | Prepares and maintains volume and demand planning analyses and supply and production schedules based on internal and external information to establish and effectively manage an order backlog</v>
          </cell>
        </row>
        <row r="790">
          <cell r="E790" t="str">
            <v>ASC050</v>
          </cell>
          <cell r="G790" t="str">
            <v>Analyzes transportation and distribution systems and procedures to ensure the efficient and economical delivery of the organization's products | Reviews proposals and makes recommendations for modifications in rates and transportation regulations | Evaluates freight classifications, tariff rates and operating efficiency to ensure the proper delivery of products | Plans and coordinates fleet operations, including acquisition, scheduling, maintenance service and repair, and disposal of trucks, and hires common carriers (third-party transportation organizations) as appropriate</v>
          </cell>
        </row>
        <row r="791">
          <cell r="E791" t="str">
            <v>ASC050</v>
          </cell>
          <cell r="G791" t="str">
            <v>Match incumbents responsible for dispatching and/or traffic to this discipline.</v>
          </cell>
        </row>
        <row r="792">
          <cell r="E792" t="str">
            <v>ASC052</v>
          </cell>
          <cell r="G792" t="str">
            <v>Operates trucks, vans or adapted vehicles to pick up and deliver products, supplies and equipment to and from organization, supplier and customer sites | Actions may involve complex pickups and deliveries (e.g., night deliveries, international travel, transport of dangerous and hazardous products)</v>
          </cell>
        </row>
        <row r="793">
          <cell r="E793" t="str">
            <v>ASC052</v>
          </cell>
          <cell r="G793" t="str">
            <v>Use the Production/Manual Labor Career Band for incumbents matched to this discipline.</v>
          </cell>
        </row>
        <row r="794">
          <cell r="E794" t="str">
            <v>ASC053</v>
          </cell>
          <cell r="G794" t="str">
            <v>Operates light trucks, vans or similar vehicles to pick up and deliver products, supplies and equipment to and from organization, supplier and customer sites | Actions may involve complex pickups and deliveries, e.g., night deliveries, international travel, transport of dangerous and hazardous products</v>
          </cell>
        </row>
        <row r="795">
          <cell r="E795" t="str">
            <v>ASC054</v>
          </cell>
          <cell r="G795" t="str">
            <v>Operates heavy trucks or similar vehicles to pick up and deliver products, supplies and equipment to and from organization, supplier and customer sites | Actions may involve complex pickups and deliveries, e.g., night deliveries, international travel, transport of dangerous and hazardous products</v>
          </cell>
        </row>
        <row r="796">
          <cell r="E796" t="str">
            <v>ASC055</v>
          </cell>
          <cell r="G796" t="str">
            <v>Operates tractor trailer trucks to pick up and deliver products, supplies and equipment to and from organization, supplier and customer sites | Actions may involve complex pickups and deliveries, e.g., night deliveries, international travel, transport of dangerous and hazardous products</v>
          </cell>
        </row>
        <row r="797">
          <cell r="E797" t="str">
            <v>ASC056</v>
          </cell>
          <cell r="G797" t="str">
            <v>Transports goods using the allocated organization vehicles | Takes responsibility for following organization procedures and for ensuring that they operate within the constraints of driving legislation | Works within a depot environment moving goods as required</v>
          </cell>
        </row>
        <row r="798">
          <cell r="E798" t="str">
            <v>ASC058</v>
          </cell>
          <cell r="G798" t="str">
            <v>Assigns and schedules drivers and vehicles carrying merchandise according to length, purpose of trip and freight requirements | Compiles statistics and prepares reports on dispatch information | Records time of departure, destination, cargo and expected time of return | Confers with customers to expedite or locate missing, misrouted, delayed or damaged merchandise</v>
          </cell>
        </row>
        <row r="799">
          <cell r="E799" t="str">
            <v>ASC060</v>
          </cell>
          <cell r="G799" t="str">
            <v>Negotiates favorable terms, volume discounts and long-term contracts with suppliers and prepares and processes requisitions and purchase orders for the procurement of goods, services and supplies for customer-related business processes or for internal use as a generalist or in a combination of Purchasing Disciplines</v>
          </cell>
        </row>
        <row r="800">
          <cell r="E800" t="str">
            <v>ASC060</v>
          </cell>
          <cell r="G800" t="str">
            <v>Match incumbents responsible for retail buying to the RBY-Retail Buying Function.</v>
          </cell>
        </row>
        <row r="801">
          <cell r="E801" t="str">
            <v>ASC060</v>
          </cell>
          <cell r="G801" t="str">
            <v>Match incumbents responsible for retail sourcing to the RPS-Retail Sourcing Function.</v>
          </cell>
        </row>
        <row r="802">
          <cell r="E802" t="str">
            <v>ASC060</v>
          </cell>
          <cell r="G802" t="str">
            <v>Match incumbents responsible for strategic sourcing to this discipline.</v>
          </cell>
        </row>
        <row r="803">
          <cell r="E803" t="str">
            <v>ASC060</v>
          </cell>
          <cell r="G803" t="str">
            <v>Match incumbents with combined responsibility for goods, services and/or technical purchasing to this discipline.</v>
          </cell>
        </row>
        <row r="804">
          <cell r="E804" t="str">
            <v>ASC070</v>
          </cell>
          <cell r="G804" t="str">
            <v>Negotiates favorable terms, volume discounts and long-term contracts with suppliers and prepares and processes requisitions and purchase orders for the procurement of goods and supplies (e.g., paper, office supplies, coffee, tea) | Develops and implements strategies for cost reduction, supplier consolidation, quality improvements and process efficiencies | Reviews purchase order claims and contracts for conformance to organization policy, and discusses defects and delivery problems with suppliers and negotiates refunds</v>
          </cell>
        </row>
        <row r="805">
          <cell r="E805" t="str">
            <v>ASC070</v>
          </cell>
          <cell r="G805" t="str">
            <v>Match roles responsible for buying finished merchandise/services for resale to RBY-Retail Buying Function.</v>
          </cell>
        </row>
        <row r="806">
          <cell r="E806" t="str">
            <v>ASC070</v>
          </cell>
          <cell r="G806" t="str">
            <v>Match incumbents responsible for retail sourcing to the RPS-Retail Sourcing Function.</v>
          </cell>
        </row>
        <row r="807">
          <cell r="E807" t="str">
            <v>ASC080</v>
          </cell>
          <cell r="G807" t="str">
            <v>Negotiates favorable terms, volume discounts and long-term contracts with suppliers and prepares and processes requisitions and purchase orders for the procurement of services (e.g., travel, cleaning, transportation, consulting services) | Develops and implements strategies for cost reduction, supplier consolidation, service delivery improvements and process efficiencies | Sources services for the organization and its employees (e.g., travel, cleaning, transportation, consulting services) or the negotiation of contracts with third-party suppliers (e.g., software licenses) | Reviews purchase order claims and contracts for conformance to organization policy and discusses defects and delivery problems with suppliers and negotiates refunds</v>
          </cell>
        </row>
        <row r="808">
          <cell r="E808" t="str">
            <v>ASC080</v>
          </cell>
          <cell r="G808" t="str">
            <v>Match roles responsible for buying finished merchandise/services for resale to RBY-Retail Buying Function.</v>
          </cell>
        </row>
        <row r="809">
          <cell r="E809" t="str">
            <v>ASC090</v>
          </cell>
          <cell r="G809" t="str">
            <v>Negotiates favorable terms, volume discounts and long-term contracts with suppliers and prepares and processes requisitions and purchase orders for the procurement of technical equipment, custom engineered products, systems, software or components | Acquires and maintains understanding of technology trends, market forces, cost trends and supplier technology road maps | Reviews purchase order claims and contracts for conformance to organization policy and discusses defects and delivery problems with suppliers and negotiates refunds</v>
          </cell>
        </row>
        <row r="810">
          <cell r="E810" t="str">
            <v>ASC095</v>
          </cell>
          <cell r="G810" t="str">
            <v>Develops and implements procurement plans and strategies to support forecasted needs for commodities (i.e., homogeneous products that are traded solely on the basis of price such as foodstuffs, metals and fuels) | Establishes and implements strategies for negotiating commodity purchase agreements based on in-depth knowledge of foreign and domestic markets for optimum pricing and terms | Purchases commodities in accordance with approved buying programs, using trade judgment in implementation and/or the established procurement policy</v>
          </cell>
        </row>
        <row r="811">
          <cell r="E811" t="str">
            <v>ASC300</v>
          </cell>
          <cell r="G811" t="str">
            <v>Oversees the overall daily operations of a distribution center to ensure merchandise flows through the distribution center to the final point of destination with efficient utilization of manpower, equipment and vehicles | Determines space requirements based on forecasts for merchandise/inventory storage and schedules distribution of products, parts, and accessories to meet retail and wholesale customer requirements | Performs or supervises warehousing tasks, including shipping, receiving, loading and unloading trucks, stacking, picking, packing and palletizing finished products | Maintains safety/security and inventory control programs to reduce theft or loss due to improper record-keeping</v>
          </cell>
        </row>
        <row r="812">
          <cell r="E812" t="str">
            <v>ASC301</v>
          </cell>
          <cell r="G812" t="str">
            <v>Negotiates favorable terms, volume discounts and long-term contracts with suppliers, and prepares and processes requisitions and purchase orders for the procurement of food and beverages, including alcoholic beverages | Acquires and maintains understanding of food supply trends, market forces, cost trends, local sourcing and shelf life | Reviews purchase order claims and contracts for conformance to organization policy, and discusses defects and delivery problems with suppliers and negotiates refunds</v>
          </cell>
        </row>
        <row r="813">
          <cell r="E813" t="str">
            <v>ASC301</v>
          </cell>
          <cell r="G813" t="str">
            <v>Match roles responsible for buying finished merchandise/services for resale to RBY-Retail Buying Function.</v>
          </cell>
        </row>
        <row r="814">
          <cell r="E814" t="str">
            <v>ASC700</v>
          </cell>
          <cell r="G814" t="str">
            <v>Takes responsibility for the print media order fulfillment process, including order entry, administration and shipping | Ensures adequate supply levels and timely distribution to meet market demand and maximize sales potential and inventory control | May be responsible for the transport of print media, either directly or through third parties</v>
          </cell>
        </row>
        <row r="815">
          <cell r="E815" t="str">
            <v>ASC700</v>
          </cell>
          <cell r="G815" t="str">
            <v>Match incumbents responsible for traffic management for print media delivery to this discipline.</v>
          </cell>
        </row>
        <row r="816">
          <cell r="E816" t="str">
            <v>ASC999</v>
          </cell>
          <cell r="G816" t="str">
            <v>Responsibilities are within the Supply Chain and Logistics Function but are not described in other Discipline summaries</v>
          </cell>
        </row>
        <row r="817">
          <cell r="E817" t="str">
            <v>AZE</v>
          </cell>
          <cell r="G817" t="str">
            <v>Performs engineering work in operations, production, construction or maintenance environments. Designs and scales up manufacturing processes, instruments and equipment and tests manufactured products to maintain quality. Plans, designs and estimates time and cost and oversees construction and maintenance of structures, facilities, systems and components. Analyzes and develops solutions to engineering problems related to manufacturing equipment and systems or the causes of component failures. Develops and applies engineering standards and procedures and provides advice on issues within the engineering field.</v>
          </cell>
        </row>
        <row r="818">
          <cell r="E818" t="str">
            <v>AZE</v>
          </cell>
          <cell r="G818" t="str">
            <v>Incumbents matched to this function must have at least a four-year engineering degree or equivalent education and either has or is eligible for certification as a professional engineer.</v>
          </cell>
        </row>
        <row r="819">
          <cell r="E819" t="str">
            <v>AZE</v>
          </cell>
          <cell r="G819" t="str">
            <v>Match engineers who work in product development to the ARP050-Product Development - Engineering Discipline in the ARP-Product Development Function.</v>
          </cell>
        </row>
        <row r="820">
          <cell r="E820" t="str">
            <v>AZE</v>
          </cell>
          <cell r="G820" t="str">
            <v>Match engineers who work in product technical support to the AMT-Technical Customer Support Function.</v>
          </cell>
        </row>
        <row r="821">
          <cell r="E821" t="str">
            <v>AZE</v>
          </cell>
          <cell r="G821" t="str">
            <v>Match incumbents in a non-telecommunications organization who architect, plan or implement networks for the organization's own use to the AID-IT Development Function.</v>
          </cell>
        </row>
        <row r="822">
          <cell r="E822" t="str">
            <v>AZE</v>
          </cell>
          <cell r="G822" t="str">
            <v>Match incumbents in a non-telecommunications organization who monitor, control and administer networks for the organization's own use to the AIT-IT Administration Function.</v>
          </cell>
        </row>
        <row r="823">
          <cell r="E823" t="str">
            <v>AZE</v>
          </cell>
          <cell r="G823" t="str">
            <v>Match incumbents responsible for all manufacturing, engineering, supply chain and purchasing operations to AGA036-General Operations Management (Manufacturing) in the AGA-General Management and Administration Function.</v>
          </cell>
        </row>
        <row r="824">
          <cell r="E824" t="str">
            <v>AZE</v>
          </cell>
          <cell r="G824" t="str">
            <v>Match incumbents who manage engineering projects to the APM030-Engineering Project Management Discipline in the APM-Project/Program Management Function.</v>
          </cell>
        </row>
        <row r="825">
          <cell r="E825" t="str">
            <v>AZE</v>
          </cell>
          <cell r="G825" t="str">
            <v>Match incumbents who perform general manual labor tasks to the AZU-Manual/Unskilled Labor Function.</v>
          </cell>
        </row>
        <row r="826">
          <cell r="E826" t="str">
            <v>AZE</v>
          </cell>
          <cell r="G826" t="str">
            <v>Match professional incumbents who do not have an engineering degree, but are able to work on engineering projects due to their extensive experience or specialized expertise in resolving complex technical problems, to the AZT-Technical Specialty/Skilled Trade Function.</v>
          </cell>
        </row>
        <row r="827">
          <cell r="E827" t="str">
            <v>AZE</v>
          </cell>
          <cell r="G827" t="str">
            <v>Match safety and occupational health specialists who are not qualified engineers to the AHS-Environmental Health and Safety Function.</v>
          </cell>
        </row>
        <row r="828">
          <cell r="E828" t="str">
            <v>AZE</v>
          </cell>
          <cell r="G828" t="str">
            <v>Match technicians who support engineers to the Technical Support Career Band and the applicable Discipline in the AZT-Technical Specialty/Skilled Trade Function.</v>
          </cell>
        </row>
        <row r="829">
          <cell r="E829" t="str">
            <v>AZE</v>
          </cell>
          <cell r="G829" t="str">
            <v>Note: The EX Career Band is not applicable in North America. Executives are collected as Executive Benchmarks in North America's Executive Surveys.</v>
          </cell>
        </row>
        <row r="830">
          <cell r="E830" t="str">
            <v>AZE</v>
          </cell>
          <cell r="G830" t="str">
            <v>EX (Executive)</v>
          </cell>
        </row>
        <row r="831">
          <cell r="E831" t="str">
            <v>AZE</v>
          </cell>
          <cell r="G831" t="str">
            <v>M (Supervisory/Management)</v>
          </cell>
        </row>
        <row r="832">
          <cell r="E832" t="str">
            <v>AZE</v>
          </cell>
          <cell r="G832" t="str">
            <v>P (Professional)</v>
          </cell>
        </row>
        <row r="833">
          <cell r="E833" t="str">
            <v>AZE000</v>
          </cell>
          <cell r="G833" t="str">
            <v>Performs engineering work in operations, production, construction or maintenance environments | Responsibilities are within the Engineering Function as a generalist or in a combination of Disciplines</v>
          </cell>
        </row>
        <row r="834">
          <cell r="E834" t="str">
            <v>AZE010</v>
          </cell>
          <cell r="G834" t="str">
            <v>Performs engineering work related to the operation of chemical plant equipment and processes | Maintains and operates chemical production equipment such as condensers, absorption and evaporation towers, columns and stills | Coordinates maintenance and operation of chemical production equipment such as mixing, crushing, heat transfer, distillation, oxidation, hydrogenation and polymerization | May specialize in the processes pertaining to specific chemical products such as gasoline, synthetic rubber, plastics, detergents, cement, or paper and pulp</v>
          </cell>
        </row>
        <row r="835">
          <cell r="E835" t="str">
            <v>AZE030</v>
          </cell>
          <cell r="G835" t="str">
            <v>Develops and implements methods and procedures for process control, process improvement, testing and inspection to ensure that the products are free of flaws and function as designed | Designs and installs sophisticated testing equipment and performs product testing and analysis to maintain quality levels and minimize defects and failure rates | Analyzes reports and defective products to determine trends and recommend corrective actions | Collaborates with supplier representatives on quality problems, ensures that effective corrective actions are implemented and contributes to supplier quality improvement programs</v>
          </cell>
        </row>
        <row r="836">
          <cell r="E836" t="str">
            <v>AZE040</v>
          </cell>
          <cell r="G836" t="str">
            <v>Plans and designs structures and facilities such as bridges, railroads, roads, airports, harbors, dams, irrigation projects, pipelines, tunnels, power plants and other projects | Analyzes proposed projects to ensure structural reliability, resource efficiency and cost-effectiveness | May construct models to identify project specifications and meet related needs</v>
          </cell>
        </row>
        <row r="837">
          <cell r="E837" t="str">
            <v>AZE042</v>
          </cell>
          <cell r="G837" t="str">
            <v>Develops and applies strategies for improving energy efficiency and lowering energy costs | Identifies, analyzes and evaluates actions, interventions and procedures to promote the rational and efficient use of energy | Prepares energy utilization budgets based on economic parameters and final use | Advises on the best actions to optimize energy consumption and implements energy conservation programs</v>
          </cell>
        </row>
        <row r="838">
          <cell r="E838" t="str">
            <v>AZE050</v>
          </cell>
          <cell r="G838" t="str">
            <v>Plans and implements the design, manufacture, installation and/or maintenance of electrical systems and apparatus, such as electric motors, machinery controls, lighting, wiring and power systems/devices, for the generation, transmission and control of electric power</v>
          </cell>
        </row>
        <row r="839">
          <cell r="E839" t="str">
            <v>AZE055</v>
          </cell>
          <cell r="G839" t="str">
            <v>Develops and modifies process formulations, methods and controls to meet quality standards | Performs analysis, design, manufacturing and maintenance of equipment and products based on the combination of electrical/electronic circuits and mechanical systems</v>
          </cell>
        </row>
        <row r="840">
          <cell r="E840" t="str">
            <v>AZE060</v>
          </cell>
          <cell r="G840" t="str">
            <v>Develops and modifies process formulations, methods and controls to meet quality standards | Recommends and implements improvements, modifications or additions to document work | Reviews product development requirements for compatibility with processing methods to determine costs and schedules | Integrates equipment and material capabilities to meet process module target specifications and technology target specifications</v>
          </cell>
        </row>
        <row r="841">
          <cell r="E841" t="str">
            <v>AZE070</v>
          </cell>
          <cell r="G841" t="str">
            <v>Develops, designs and plans equipment and machine layouts, workflow and safety precautions to maximize utilization of plant and manufacturing facilities | Ensures compliance with established industry safety and design standards and guidelines | Evaluates worker productivity and recommends improvements to increase manpower efficiency and operating performance, reduce waste and delays and promote cost control/reductions | Develops metrics to measure plant and equipment capacity output and identifies equipment and process flow bottlenecks | Establishes accident prevention measures and plans and schedules training programs for personnel concerning all phases of production operation</v>
          </cell>
        </row>
        <row r="842">
          <cell r="E842" t="str">
            <v>AZE080</v>
          </cell>
          <cell r="G842" t="str">
            <v>Plans, designs and constructs manufacturing facilities and related structures | Determines facility specifications, including analysis and evaluation of location, material resources and structural design | Resolves technical problems and recommends production improvements</v>
          </cell>
        </row>
        <row r="843">
          <cell r="E843" t="str">
            <v>AZE090</v>
          </cell>
          <cell r="G843" t="str">
            <v>Develops and designs a variety of tools, machinery and equipment, such as shaping and cutting tools, dies, gauges and fixtures, for manufacturing and experimental purposes | Consults with plant and manufacturing personnel to determine tool specifications and requirements | Evaluates tools and machinery to improve quality and performance</v>
          </cell>
        </row>
        <row r="844">
          <cell r="E844" t="str">
            <v>AZE100</v>
          </cell>
          <cell r="G844" t="str">
            <v>Supports in-service operating systems to ensure continued operation and maintenance and optimization throughout | Determines, selects and implements technically feasible and economically viable alternatives for sustainment | Analyzes and evaluates how to improve a system and/or equipment's sustainability under continued operation, maintenance and unexpected change | Develops design changes to resolve operational issues, introduces new materials and revises product, process and test specifications to enhance product quality, design integrity, reliability and manufacturability | Collects and evaluates service use and maintenance data; conducts root-cause analyses of in-service problems (e.g., operational hazards, deficiency reports, parts obsolescence, corrosion effects, reliability and maintainability trends, safety hazards, and failure causes and effects) and implements corrective action</v>
          </cell>
        </row>
        <row r="845">
          <cell r="E845" t="str">
            <v>AZE110</v>
          </cell>
          <cell r="G845" t="str">
            <v>Directs and coordinates fabrication, installation, operation, application, maintenance and repair of mechanical or electromechanical machines, equipment, tools, engines and systems | Ensures that quality levels and industry standards are maintained or improved in the manufacturing process | Oversees installation, operation, maintenance and repair of equipment such as centralized heat, gas, water and steam systems | Evaluates mechanical products to determine their cost effectiveness and efficiency | May evaluate field installations and recommend design modifications to eliminate malfunctions</v>
          </cell>
        </row>
        <row r="846">
          <cell r="E846" t="str">
            <v>AZE120</v>
          </cell>
          <cell r="G846" t="str">
            <v>Analyzes environmental conditions and recommends changes to prevent or eliminate dangerous substances and materials | Ensures compliance with regulatory agency policies, including government legislation pertaining to the preservation of the environment | Develops, designs and may operate gauging equipment to determine the amounts of toxic pollutants present in air, land and water to ensure compliance with regulatory agency policies</v>
          </cell>
        </row>
        <row r="847">
          <cell r="E847" t="str">
            <v>AZE130</v>
          </cell>
          <cell r="G847" t="str">
            <v>Implements, tests, troubleshoots and improves electronic automation and controls systems in manufacturing/production/operations processes to increase production quality, efficiency and volume | Checks control system schematics and specifications and uses software and testing equipment to diagnose and resolve system malfunctions | Develops and defines control system applications for various machinery and equipment using technologies or platforms such as ladder logic programming for programmable logic controllers (PLCs), human machine interfaces (HMIs), data control systems (DCSs), supervisory control and data acquisition (SCADA), computerized numerical control (CNC) systems or motion control technology</v>
          </cell>
        </row>
        <row r="848">
          <cell r="E848" t="str">
            <v>AZE140</v>
          </cell>
          <cell r="G848" t="str">
            <v>Designs, fabricates, tests, implements and modifies electronic components, products and systems in a production setting | Establishes test procedures and systems for inspection of incoming electronics components | Develops, tests and implements engineering change orders (ECOs) for design revisions | Analyzes and evaluates new or improved electronic components</v>
          </cell>
        </row>
        <row r="849">
          <cell r="E849" t="str">
            <v>AZE150</v>
          </cell>
          <cell r="G849" t="str">
            <v>Develops and designs packaging equipment and materials for safe, convenient and attractive transport of goods under a variety of conditions | Analyzes engineering drawings and specifications to determine the required type of packaging materials and to maximize convenience, utility and function based on the product's physical characteristics, safety and special-handling requirements | Evaluates packaging and transporting methods and procedures to ensure compliance with safety and quality standards | Evaluates and recommends efficient packing procedures, innovations in packaging materials, and utilization of sealing and fastening devices</v>
          </cell>
        </row>
        <row r="850">
          <cell r="E850" t="str">
            <v>AZE160</v>
          </cell>
          <cell r="G850" t="str">
            <v>Identifies, analyzes and controls occupational hazards and promotes worksite or product safety by applying knowledge of industrial processes, mechanics, psychology, physiology, and industrial health and safety laws | Advises on structural safety requirements based on failure mode analysis of such factors as fatigue, stability, stress, concentration and creep | Designs protective equipment or safety devices for machines and redesigns machines and plant equipment to eliminate occupational hazards | Develops standards which set tolerances, stress ratios, strength of materials and other related engineering requirements | Reviews proposed occupational safety policies, guidelines and standards to determine their consistency with accepted engineering principles and practices; recommends technical changes as needed</v>
          </cell>
        </row>
        <row r="851">
          <cell r="E851" t="str">
            <v>AZE165</v>
          </cell>
          <cell r="G851" t="str">
            <v>Develops welding techniques, procedures, and application of welding equipment to problems involving fabrication of metals by utilizing knowledge of production specifications, properties and characteristics of metals and metal alloys, and engineering principles | Conducts research to develop and test new fabrication processes and procedures, improve existing or develop new welding equipment, develop new or modify current welding methods, techniques, and procedures or discover new patterns of welding phenomena | Establishes welding and inspection procedures that comply with regulatory code requirements and serve as guides for production and welding personnel | Ensures quality control and welding personnel are qualified/certified and maintains compliance with established procedures | Maintains current knowledge of regulatory developments in welding/hot tapping fields</v>
          </cell>
        </row>
        <row r="852">
          <cell r="E852" t="str">
            <v>AZE170</v>
          </cell>
          <cell r="G852" t="str">
            <v>Develops and implements capital improvement projects, such as construction, remodeling, renovation, and maintenance of buildings and facilities, including preliminary concept development, detailed engineering design and bidding | Conducts preliminary surveys and prepares schematics and work drawings for the construction and maintenance of new or remodeled structures and facilities | Examines and approves engineering and architectural drawings and design computations for buildings and facilities to ensure compliance with sound engineering practices and codes; incorporates functional requirements into facility requirements | Estimates cost of projects; writes contracts and specifications for labor, materials and equipment for construction projects; secures bids from contractors | Conducts periodic inspections of work in progress and advises construction supervisors and contractors on plans and specifications | Inspects existing facilities and prepares reports on the condition, deficiencies observed, designs necessary for repairs and estimated cost of repairs</v>
          </cell>
        </row>
        <row r="853">
          <cell r="E853" t="str">
            <v>AZE200</v>
          </cell>
          <cell r="G853" t="str">
            <v>Provides technical expertise in the oversight of a public and/or private network such as Internet protocol (IP) networks, wide, local and storage area networks (WANs, LANs, SANs) and public switched telephone networks | Plans, designs, installs, maintains, monitors, analyzes, troubleshoots, modifies and supports network communications systems to provide maximum performance and availability | Plans, designs, implements and supports LANs/WANs/SANs in the areas of Internet connectivity, capacity planning, routing, switching, server load balancing, network security and wireless | Evaluates and reports on new communications technologies to enhance network capabilities</v>
          </cell>
        </row>
        <row r="854">
          <cell r="E854" t="str">
            <v>AZE210</v>
          </cell>
          <cell r="G854" t="str">
            <v>Provides technical expertise in the activation and/or deployment and/or construction and/or installation of a public and/or private network | Designs deployment processes and is involved in technical matters related to network connection/provisioning | Coordinates physical excavation for cable-laying operations that may involve third-party contractors</v>
          </cell>
        </row>
        <row r="855">
          <cell r="E855" t="str">
            <v>AZE220</v>
          </cell>
          <cell r="G855" t="str">
            <v>Provides technical expertise in the design and/or planning of a public and/or private network, which may include design optimization | May be an expert in LAN/WAN/SAN networking as well as server technology, ensures that connectivity is in place between the Internet and the organization's LAN/WAN/SAN, and monitors the protection and efficiency of the firewall (if present)</v>
          </cell>
        </row>
        <row r="856">
          <cell r="E856" t="str">
            <v>AZE230</v>
          </cell>
          <cell r="G856" t="str">
            <v>Operates and maintains switch equipment for a public network | Implements enhancements to the switch network and operates peripheral equipment connected to the network | Assists in major projects designed to improve operational support</v>
          </cell>
        </row>
        <row r="857">
          <cell r="E857" t="str">
            <v>AZE231</v>
          </cell>
          <cell r="G857" t="str">
            <v>Provides network operations control from a remote base or network environment to ensure the management, monitoring and security of networks and platforms | Controls, manages and monitors network operations, typically from a network control center or remote base, to ensure reliability and security of networks and platforms | Collaborates with field locations to identify, troubleshoot and resolve issues</v>
          </cell>
        </row>
        <row r="858">
          <cell r="E858" t="str">
            <v>AZE235</v>
          </cell>
          <cell r="G858" t="str">
            <v>Performs network routing oversight in accordance with network engineering plans | Identifies solutions that optimize the lines requested and the right resizing according to necessities | Collaborates with customers and suppliers to ensure delivery dates are met | Ensures standardization of various telecommunications equipment in order to integrate them with an existing network</v>
          </cell>
        </row>
        <row r="859">
          <cell r="E859" t="str">
            <v>AZE240</v>
          </cell>
          <cell r="G859" t="str">
            <v>Implements layout for semiconductor materials processing operations (e.g., hardening, washing, laminating, etching, engraving, polishing, painting, plating) and sequence of operations and specifies procedures for preparing basic material (e.g., cutting and shaping) | Sources, develops and supports automated assembly tools to support semiconductor manufacturing process | Conducts test and quality measurement from manufacturing process installation to operation in order to determine process controls over variables</v>
          </cell>
        </row>
        <row r="860">
          <cell r="E860" t="str">
            <v>AZE999</v>
          </cell>
          <cell r="G860" t="str">
            <v>Responsibilities are within the Engineering Function but are not described in other Discipline summaries</v>
          </cell>
        </row>
        <row r="861">
          <cell r="E861" t="str">
            <v>AZT</v>
          </cell>
          <cell r="G861" t="str">
            <v>Provides technical support to engineers and scientists in areas such as production, operations, maintenance, safety, testing, process improvement or product development. Uses schematics, diagrams, written and verbal descriptions or defined plans to perform testing and troubleshooting on electronic or mechanical components, equipment or systems. Gathers, maintains, formats, compiles and manipulates technical data using established formulae and procedures and performs detailed mathematical calculations.</v>
          </cell>
        </row>
        <row r="862">
          <cell r="E862" t="str">
            <v>AZT</v>
          </cell>
          <cell r="G862" t="str">
            <v>Match Employees who spend at least 80% of their time managing people and who have hire/fire responsibilities to the M (Supervisory/Management) Career Band. Match direct managers of Technicians (in the T Career Band) to M1. Note that scope/size of operations/staff can justify an M2 match. Match direct managers of Technologists (in the P Career Band) to M2.</v>
          </cell>
        </row>
        <row r="863">
          <cell r="E863" t="str">
            <v>AZT</v>
          </cell>
          <cell r="G863" t="str">
            <v>Match incumbents responsible for hands-on activities that include high- and/or low-volume manufacture of complex and/or simple assemblies to the AOM-Manufacturing/Operations Function.</v>
          </cell>
        </row>
        <row r="864">
          <cell r="E864" t="str">
            <v>AZT</v>
          </cell>
          <cell r="G864" t="str">
            <v>Match incumbents who perform general manual tasks to the AZU-Manual Unskilled Labor Function.</v>
          </cell>
        </row>
        <row r="865">
          <cell r="E865" t="str">
            <v>AZT</v>
          </cell>
          <cell r="G865" t="str">
            <v>Match incumbents who support engineers and scientists involved in manufacturing, operations, maintenance or product development to this function and to the T (Technical Support) Career Band.</v>
          </cell>
        </row>
        <row r="866">
          <cell r="E866" t="str">
            <v>AZT</v>
          </cell>
          <cell r="G866" t="str">
            <v>Match incumbents who support engineers and scientists involved in manufacturing, operations, maintenance or product development to this function.</v>
          </cell>
        </row>
        <row r="867">
          <cell r="E867" t="str">
            <v>AZT</v>
          </cell>
          <cell r="G867" t="str">
            <v>Match maintenance personnel enrolled, working on, or having completed a program or apprenticeship in a skilled trade to the AZT-Technical Specialty/Skilled Trade Function.</v>
          </cell>
        </row>
        <row r="868">
          <cell r="E868" t="str">
            <v>AZT</v>
          </cell>
          <cell r="G868" t="str">
            <v>Match professional incumbents who do not have an engineering degree, but are able to work on engineering projects due to their extensive experience or specialized expertise in resolving complex technical problems, to this function.</v>
          </cell>
        </row>
        <row r="869">
          <cell r="E869" t="str">
            <v>AZT</v>
          </cell>
          <cell r="G869" t="str">
            <v>Match qualified engineers to the AZE-Engineering Function.</v>
          </cell>
        </row>
        <row r="870">
          <cell r="E870" t="str">
            <v>AZT</v>
          </cell>
          <cell r="G870" t="str">
            <v>Match technicians who support engineers to the Technical Support Career Band and the applicable Discipline in the AZT-Technical Specialty/Skilled Trade Function.</v>
          </cell>
        </row>
        <row r="871">
          <cell r="E871" t="str">
            <v>AZT</v>
          </cell>
          <cell r="G871" t="str">
            <v>M (Supervisory/Management)</v>
          </cell>
        </row>
        <row r="872">
          <cell r="E872" t="str">
            <v>AZT</v>
          </cell>
          <cell r="G872" t="str">
            <v>P (Professional)</v>
          </cell>
        </row>
        <row r="873">
          <cell r="E873" t="str">
            <v>AZT</v>
          </cell>
          <cell r="G873" t="str">
            <v>T (Technical Support)</v>
          </cell>
        </row>
        <row r="874">
          <cell r="E874" t="str">
            <v>AZT</v>
          </cell>
          <cell r="G874" t="str">
            <v>W (Production/Manual Labor)</v>
          </cell>
        </row>
        <row r="875">
          <cell r="E875" t="str">
            <v>AZT000</v>
          </cell>
          <cell r="G875" t="str">
            <v>Provides technical support to engineers and scientists on a variety of technical tasks | Develops and recommends procedures and methods and prepares technical reports and documentation | Performs technical evaluations of events to determine root cause; recommends corrective action | Responsibilities are within the Technical Specialty/Skilled Trade Function as a generalist or in a combination of Disciplines</v>
          </cell>
        </row>
        <row r="876">
          <cell r="E876" t="str">
            <v>AZT005</v>
          </cell>
          <cell r="G876" t="str">
            <v>Performs maintenance planning; develops, plans and executes upgrade and projects for corrective and/or preventive maintenance | Prepares designs, drawings and schedules of tasks to be performed | Sizes necessary resources to execute the scheduled maintenance | Selects suppliers and controls the quality of materials and services provided by them | Ensures the conservation of equipment and platforms and the quality of customer service in order to optimize the productivity of each equipment</v>
          </cell>
        </row>
        <row r="877">
          <cell r="E877" t="str">
            <v>AZT010</v>
          </cell>
          <cell r="G877" t="str">
            <v>Performs preventive maintenance and repairs on equipment and systems (e.g., mechanical, electrical) | Evaluates and recommends equipment improvements to improve availability, capability and yield | Performs equipment failure analyses (including preventive and unscheduled maintenance) | Troubleshoots and diagnoses equipment problems | Prepares technical reports to document equipment modifications and equipment maintenance procedures</v>
          </cell>
        </row>
        <row r="878">
          <cell r="E878" t="str">
            <v>AZT015</v>
          </cell>
          <cell r="G878" t="str">
            <v>Supports engineers in the planning, design, and supervision of the construction of structures and facilities such as bridges, railroads, roads, airports, harbors, dams, irrigation projects, pipelines and tunnels | Monitors and inspects completed and in-progress construction work and may performs tests to ensure quality standards are met | Compiles and analyzes traffic patterns, hydrological and meteorological information and other engineering data | Prepares detailed site layouts and specifications | Reviews and analyzes design drawings for feasibility, performance, safety and durability</v>
          </cell>
        </row>
        <row r="879">
          <cell r="E879" t="str">
            <v>AZT020</v>
          </cell>
          <cell r="G879" t="str">
            <v>Performs precise calibrations and preventive and corrective maintenance on measuring and test equipment, instruments, tools, gauges and fixtures | Sets up test equipment and conducts tests on performance and reliability of mechanical, structural or electromechanical equipment | Develops calibration operating procedures and documentation for all instruments | Selects and procures instrument spare parts to minimize machine downtime | Coordinates calibration with outside contractors for equipment that cannot be maintained internally</v>
          </cell>
        </row>
        <row r="880">
          <cell r="E880" t="str">
            <v>AZT030</v>
          </cell>
          <cell r="G880" t="str">
            <v>Debugs and troubleshoots failed electronic components, assemblies and systems using test equipment and schematics | Monitors component failures and initiates supplier notification if defect rates exceed acceptable levels | Identifies and resolves issues that adversely affect test yields | Collaborates with engineering and manufacturing teams to establish production test plans and processes | Compiles and maintains test-related documentation, including test plans, procedures, results and reports</v>
          </cell>
        </row>
        <row r="881">
          <cell r="E881" t="str">
            <v>AZT040</v>
          </cell>
          <cell r="G881" t="str">
            <v>Operates, monitors and maintains utilities, including HVAC (heating, ventilation and air conditioning) setup, maintenance and balancing, WFI (water for injection), purified water and process equipment | Maintains, troubleshoots and repairs facilities mechanical components and electrical equipment and systems in accordance with SOPs (standard operating procedures), internal requirements, manufacturer's specifications and safety policies | Develops, maintains and secures a spare parts inventory of basic maintenance hand and power tools | Recommends purchase of maintenance tools, equipment and supplies as required to streamline processes and increase efficiency | Assists engineers in developing methods and procedures to control or improve facilities processes</v>
          </cell>
        </row>
        <row r="882">
          <cell r="E882" t="str">
            <v>AZT042</v>
          </cell>
          <cell r="G882" t="str">
            <v>Identifies, analyzes and evaluates actions, interventions and procedures to promote the rational and efficient use of energy | Supports engineers in the preparation of energy utilization budgets based on economic parameters and final use | Assists engineers in supporting steps to optimize energy consumption and implements energy conservation programs</v>
          </cell>
        </row>
        <row r="883">
          <cell r="E883" t="str">
            <v>AZT050</v>
          </cell>
          <cell r="G883" t="str">
            <v>Provides technical support to engineers to achieve improvements in cycle-time, yield, unit cost, quality, safety and compliance of production and operations processes | Monitors instruments and equipment and collects operating data, including calibration, inspection, testing and repair activities, to assist in making on-line adjustments to instruments, equipment or products | Analyzes and resolves malfunctions and deviations of instruments and control systems to identify and resolve problems | Conducts analyses and prepares reports using metrics from salvage tracking, trending, reporting and root-cause analyses | Maintains process designs to optimize process and facility use while conforming to standard operating procedures (SOPs) and Good Manufacturing Practices (GMPs)</v>
          </cell>
        </row>
        <row r="884">
          <cell r="E884" t="str">
            <v>AZT060</v>
          </cell>
          <cell r="G884" t="str">
            <v>Provides technical support to the quality and quality engineering (QE) functions | Conducts nondestructive examination (NDE) and quality control (QC) inspections on products, materials, components, parts, etc., at various stages of the production process to ensure compliance with established quality and reliability standards | Captures and analyzes statistical data from processes to either confirm compliance with established standards or identify deviations from standards | Recommends new or enhanced methods, procedures and standards</v>
          </cell>
        </row>
        <row r="885">
          <cell r="E885" t="str">
            <v>AZT070</v>
          </cell>
          <cell r="G885" t="str">
            <v>Plans, lays out, assembles, modifies, validates and maintains test equipment and related structural assemblies by reading and interpreting blueprints, engineering drawings and sketches | Assists engineers in operating test equipment to obtain performance data on parts and assemblies under varying operating conditions | Collects, compiles and summarizes test data and reviews results with Engineering to resolve problems such as product or equipment issues, malfunctions and incomplete test data | Diagnoses test equipment malfunctions and services and repairs equipment as required</v>
          </cell>
        </row>
        <row r="886">
          <cell r="E886" t="str">
            <v>AZT080</v>
          </cell>
          <cell r="G886" t="str">
            <v>Prepares and maintains detailed design drawings, schematics or specifications typically using computer-aided design software | Works closely with design originators (e.g., engineers, designers) to resolve design details or discrepancies or to prepare drawings of unusual, complex or original designs which require a high degree of precision using computer-aided drafting (CAD) or computer-aided engineering (CAE) equipment | Creates, modifies and controls detailed two- and three-dimensional parts and assembly drawings from engineers' and technicians' sketches, plans and written and verbal instructions | Develops and maintains drafting standards and procedures | Evaluates and recommends purchase of CAD/CAE-related computer hardware and software</v>
          </cell>
        </row>
        <row r="887">
          <cell r="E887" t="str">
            <v>AZT085</v>
          </cell>
          <cell r="G887" t="str">
            <v>Prepares drawings for civil engineering projects such as bridges, highways, waterfront facilities, sanitary and drainage systems, traffic systems, tunnels, mass transit systems, airports, commercial and industrial buildings, dams and reservoirs | Prepares drawings or schematics of electronic power distribution systems involving electronic circuitry | Prepares drawings for HVAC (heating, ventilating and air conditioning) systems, piping systems, refrigeration systems and equipment machinery, engines and mechanical apparatus | Prepares drawings for vehicle (e.g., automobiles, planes, motorcycles) design and production | Prepares maps, cross-sections, logs, graphs and charts used in resource exploration operations</v>
          </cell>
        </row>
        <row r="888">
          <cell r="E888" t="str">
            <v>AZT090</v>
          </cell>
          <cell r="G888" t="str">
            <v>Assists engineers and scientists with a variety of laboratory tasks | Performs chemical and/or physical analyses or scientific tests using both routine and special techniques in compliance with all safety and infection control standards | Collects, analyzes and processes laboratory samples | Records results of tests, organizes data, performs basic computations, and prepares reports and analyses using standard procedures and guidelines | Installs, operates, maintains and repairs laboratory test equipment, apparatus, systems and supplies</v>
          </cell>
        </row>
        <row r="889">
          <cell r="E889" t="str">
            <v>AZT100</v>
          </cell>
          <cell r="G889" t="str">
            <v>Assists biologists with a variety of laboratory tasks in studying living organisms and infectious agents related to product development or quality control of production processes or products | Analyzes organic substances such as blood, food and drugs</v>
          </cell>
        </row>
        <row r="890">
          <cell r="E890" t="str">
            <v>AZT110</v>
          </cell>
          <cell r="G890" t="str">
            <v>Assists chemists and chemical engineers conducting chemical and physical laboratory tests using instrumental techniques in making qualitative and quantitative analyses of solids, liquids and gaseous materials related to product development or quality control of production processes or products | Performs quantitative and qualitative analyses in organic, inorganic, physical, analytical chemistry, photochemistry or electrochemistry to determine the chemical and physical properties of materials, liquids and gases</v>
          </cell>
        </row>
        <row r="891">
          <cell r="E891" t="str">
            <v>AZT115</v>
          </cell>
          <cell r="G891" t="str">
            <v>Provides technical laboratory support to engineers in the collection, storage, treatment and utilization of environmental waste | Ensures compliance with the applicable laws and regulations regarding waste management programs | Identifies procedures that do not comply with regulations and helps implement actions to resolve issues | Conducts onsite inspections and provides reports and improvement suggestions</v>
          </cell>
        </row>
        <row r="892">
          <cell r="E892" t="str">
            <v>AZT120</v>
          </cell>
          <cell r="G892" t="str">
            <v>Operates, monitors, adjusts, maintains and repairs stationary engines and mechanical equipment and systems used in production and operations under the overall guidance of stationary engineers | Ensures that equipment such as generators, motors, turbines, boilers and complex fire safety systems in buildings and plants operate safely, economically and within established limits by monitoring meters, gauges and computerized controls either on-site or from a central location | Performs repairs ranging from a complete overhaul to replacing defective valves, gaskets or bearings | Records relevant events and facts concerning the operation and maintenance of equipment | Conducts routine maintenance to maintain or improve operating efficiency such as lubricating moving parts, replacing filters, removing soot and corrosion from boilers, and adding chemicals to boiler water to prevent corrosion and harmful deposits</v>
          </cell>
        </row>
        <row r="893">
          <cell r="E893" t="str">
            <v>AZT125</v>
          </cell>
          <cell r="G893" t="str">
            <v>Performs preventive and corrective electronic maintenance on machines and electronic equipment in a vehicle production setting | Identifies malfunctions and initiates repair orders | Analyzes chronic defects and recommends improvements in collaboration with engineering and maintenance electronics area | Adjusts digital programming in control panels as needed</v>
          </cell>
        </row>
        <row r="894">
          <cell r="E894" t="str">
            <v>AZT130</v>
          </cell>
          <cell r="G894" t="str">
            <v>Compiles and maintains technical documentation such as blueprints, drawings, change orders and specifications | Examines documents to verify completeness and accuracy of data and resolves discrepancies with document originators | Maintains computerized document control records management system and/or hardcopy documents to ensure compliance with all applicable and required standards, including GMP (good manufacturing practice) and QSR (quality system regulation) requirements | Develops and maintains procedures and standards for maintaining documents and change control of documents, including document development, approval, production, distribution and amendment | Plans and directs document and content management life cycles and may work with either structured or unstructured metadata</v>
          </cell>
        </row>
        <row r="895">
          <cell r="E895" t="str">
            <v>AZT140</v>
          </cell>
          <cell r="G895" t="str">
            <v>Performs installations, preventive maintenance and repairs on buildings, mechanical equipment and utility systems using one or more trade skills (e.g., electrical, mechanical, plumbing, carpentry) | Prepares and maintains records of completed maintenance repair work | Maintains current knowledge of all applicable procedures and safety measures</v>
          </cell>
        </row>
        <row r="896">
          <cell r="E896" t="str">
            <v>AZT150</v>
          </cell>
          <cell r="G896" t="str">
            <v>Repairs, installs, replaces and tests electrical circuits, equipment and appliances using hand tools and testing instruments to supply electrical power for lighting, equipment and machine operations</v>
          </cell>
        </row>
        <row r="897">
          <cell r="E897" t="str">
            <v>AZT160</v>
          </cell>
          <cell r="G897" t="str">
            <v>Welds all types of commonly used metals and alloys of various sizes, shapes and thicknesses, including dissimilar metals such as copper to steel | Operates various hand-welding, flame-cutting, hand-soldering or brazing equipment to weld or join metal components or to fill holes, indentations or seams of fabricated metal products | May set up, operate and/or tend to robots that weld, braze, solder or heat treat metal products, components or assemblies</v>
          </cell>
        </row>
        <row r="898">
          <cell r="E898" t="str">
            <v>AZT170</v>
          </cell>
          <cell r="G898" t="str">
            <v>Repairs and maintains machinery and mechanical equipment such as motors, pumps, conveyors, belts, fans, air conditioners, etc. | Examines mechanical equipment to diagnose malfunctions | Adjusts, cleans and lubricates parts of mechanical devices as necessary | Requisitions replacement parts and equipment | Oversees contractors at supervisory/management level</v>
          </cell>
        </row>
        <row r="899">
          <cell r="E899" t="str">
            <v>AZT170</v>
          </cell>
          <cell r="G899" t="str">
            <v>Select a modifier for foremen, senior foremen and superintendents matched to either the M1 or M2 career levels.</v>
          </cell>
        </row>
        <row r="900">
          <cell r="E900" t="str">
            <v>AZT171</v>
          </cell>
          <cell r="G900" t="str">
            <v>Performs general and specialized repairs to petrol motor vehicles as per job card | Diagnoses malfunctions. Adjusts, cleans and lubricates parts. Requisitions replacement parts and equipment | Oversees mechanics at supervisory/management level</v>
          </cell>
        </row>
        <row r="901">
          <cell r="E901" t="str">
            <v>AZT172</v>
          </cell>
          <cell r="G901" t="str">
            <v>Performs general and specialized repairs to diesel motor vehicles as per job card | Diagnoses malfunctions. Adjusts, cleans and lubricates parts. Requisitions replacement parts and equipment | Oversees mechanics at supervisory/management level</v>
          </cell>
        </row>
        <row r="902">
          <cell r="E902" t="str">
            <v>AZT180</v>
          </cell>
          <cell r="G902" t="str">
            <v>Installs, modifies, moves, troubleshoots, repairs and dismantles machinery and equipment according to requisition documentation, layout plans, blueprints or other drawings | Prepares installation site by constructing foundations and aligns and fastens machinery to the foundation using hoists, dollies, rollers, trucks, tools, squares, rules and micrometers | Performs operational tests on newly installed, modified, repaired and moved machinery and equipment to ensure that it meets technical specifications | Fabricates metal parts for prototype equipment based on drawings | Programs PLCs (programmable logic controllers)</v>
          </cell>
        </row>
        <row r="903">
          <cell r="E903" t="str">
            <v>AZT190</v>
          </cell>
          <cell r="G903" t="str">
            <v>Paints, varnishes, stains, enamels, lacquers and redecorates walls, woodwork and fixtures | Mixes paint and matches colors; uses brushes, sprayers or rollers to apply paint or other coatings | Removes old finishes using a scraper, chemical compounds or a blowtorch | Fills nail holes, joints and cracks in walls with plaster or other filler</v>
          </cell>
        </row>
        <row r="904">
          <cell r="E904" t="str">
            <v>AZT191</v>
          </cell>
          <cell r="G904" t="str">
            <v>Performs the carpentry duties necessary to construct and maintain building woodwork such as bins, counters, shelves, benches, stairs, doors and windows | Works from drawings or verbal instructions and uses a variety of carpentry hand and power tools | Repairs high-grade articles of furniture such as cabinets, chairs, store fixtures and office equipment | May operate hand saw, mortiser, drill press, wood lathe and related woodworking equipment</v>
          </cell>
        </row>
        <row r="905">
          <cell r="E905" t="str">
            <v>AZT200</v>
          </cell>
          <cell r="G905" t="str">
            <v>Supports network operations engineers in the management of a public and/or private network such as Internet protocol (IP) networks, wide area networks (WANs), wireless/RF and public switched telephone networks | Installs, monitors, maintains, upgrades and supports network communications systems to provide maximum performance and availability | Collects and monitors network traffic data to support capacity planning, routing, switching and load balancing and takes responsibility for the day-to-day provisioning and maintenance of network services</v>
          </cell>
        </row>
        <row r="906">
          <cell r="E906" t="str">
            <v>AZT240</v>
          </cell>
          <cell r="G906" t="str">
            <v>Operates sophisticated equipment (e.g., photolithography, etch, thin film deposition) in a clean-room environment to complete the various steps of the semiconductor production sequence | Processes semiconductor wafers (i.e., thin slices of silicon) on which microchip circuitry is layered and cuts wafers into many small individual chips | Imprints, by means of photolithography, precise microscopic patterns of the circuitry on the wafers, etches out the circuitry patterns with acids and replaces the patterns with metals that conduct electricity | Cleans, polishes and loads wafers into a series of special-purpose furnaces, chemical baths and equipment to form circuitry and change conductive properties | Stamps, etches or scribes identifying information on finished components according to specifications | Measures circuitry using electronic test equipment, precision measuring instruments, microscope and standard procedures | Troubleshoots semiconductor production problems and makes equipment adjustments and repairs</v>
          </cell>
        </row>
        <row r="907">
          <cell r="E907" t="str">
            <v>AZT300</v>
          </cell>
          <cell r="G907" t="str">
            <v>Installs and performs routine maintenance procedures on refrigeration equipment and systems | Performs preventive maintenance, compressor change assists, leak searching and coil washing | Adheres to all work safety policies and procedures, including OSHA and any other applicable government or corporate requirements | Inspects systems to ensure safety, identifies necessary repairs and performs preventive maintenance | May troubleshoot refrigeration software or perform energy optimization procedures</v>
          </cell>
        </row>
        <row r="908">
          <cell r="E908" t="str">
            <v>AZT900</v>
          </cell>
          <cell r="G908" t="str">
            <v>Diagnoses vehicle electrical and/or mechanical systems to identify the trouble source and determines appropriate remediation (repairs) | Installs and maintains electrical equipment, identifies electrical faults and repairs electrical wiring in automobiles | Adjusts, repairs, reassembles and runs operational checks</v>
          </cell>
        </row>
        <row r="909">
          <cell r="E909" t="str">
            <v>AZT901</v>
          </cell>
          <cell r="G909" t="str">
            <v>Restores the finish on a damaged vehicle in a shop environment | Applies techniques for tinting, blending and color coating paints | Monitors and maintains adequate refinishing supplies, including paints, sanding materials and chemicals for preparation</v>
          </cell>
        </row>
        <row r="910">
          <cell r="E910" t="str">
            <v>AZT925</v>
          </cell>
          <cell r="G910" t="str">
            <v>Learns a trade working under the close supervision of a qualified Artisan</v>
          </cell>
        </row>
        <row r="911">
          <cell r="E911" t="str">
            <v>AZT999</v>
          </cell>
          <cell r="G911" t="str">
            <v>Responsibilities are within the Technical Specialty/Skilled Trade Function but are not described in other Discipline summaries</v>
          </cell>
        </row>
        <row r="912">
          <cell r="E912" t="str">
            <v>AZU</v>
          </cell>
          <cell r="G912" t="str">
            <v>Performs a variety of general manual labor tasks (e.g., sweeping and cleaning floors and work areas, picking up papers and refuse from grounds, assisting in the handling of heavy materials, making minor repairs, mowing lawns, shoveling snow, cleaning, dusting, washing windows, moving and polishing furniture and equipment). Follows specific processes and procedures to maintain the buildings, facilities and grounds.</v>
          </cell>
        </row>
        <row r="913">
          <cell r="E913" t="str">
            <v>AZU</v>
          </cell>
          <cell r="G913" t="str">
            <v>Match incumbents who perform installations, preventive maintenance, and repairs on buildings, mechanical equipment and utility systems using one or more trade skills (e.g., electrical, mechanical, plumbing, carpentry) to the AZT-Technical Specialty/Skilled Trade Function.</v>
          </cell>
        </row>
        <row r="914">
          <cell r="E914" t="str">
            <v>AZU</v>
          </cell>
          <cell r="G914" t="str">
            <v>M (Supervisory/Management)</v>
          </cell>
        </row>
        <row r="915">
          <cell r="E915" t="str">
            <v>AZU</v>
          </cell>
          <cell r="G915" t="str">
            <v>W (Production/Manual Labor)</v>
          </cell>
        </row>
        <row r="916">
          <cell r="E916" t="str">
            <v>AZU000</v>
          </cell>
          <cell r="G916" t="str">
            <v>Performs miscellaneous manual labor activities (e.g., sweeping and cleaning floors and work areas, picking up papers and refuse from grounds, heavy lifting and moving materials, making minor repairs, mowing lawns and shoveling snow) | Performs janitorial activities, such as cleaning, dusting, washing windows, moving and polishing furniture and equipment</v>
          </cell>
        </row>
        <row r="917">
          <cell r="E917" t="str">
            <v>AZU999</v>
          </cell>
          <cell r="G917" t="str">
            <v>Responsibilities are within the Manual/Unskilled Labor Function but are not described in other Discipline summaries</v>
          </cell>
        </row>
        <row r="918">
          <cell r="E918" t="str">
            <v>CAM</v>
          </cell>
          <cell r="G918" t="str">
            <v>Builds and maintains effective long-term relationships with a defined customer base to ensure a high level of satisfaction and increase revenues. Identifies, develops and typically closes new sales opportunities. Serves as the primary interface for all products and services, and creates demand for the organization's products and services by raising their profile with customers. Typically has a limited number of key/strategic accounts and maintains relationships with clients at the senior management or executive level.</v>
          </cell>
        </row>
        <row r="919">
          <cell r="E919" t="str">
            <v>CAM</v>
          </cell>
          <cell r="G919" t="str">
            <v>Incumbents matched to this function may have some involvement in complex, high-value sales.</v>
          </cell>
        </row>
        <row r="920">
          <cell r="E920" t="str">
            <v>CAM</v>
          </cell>
          <cell r="G920" t="str">
            <v>Match incumbents responsible for closing very high value sales who do not retain responsibility for the account after the sale is closed to the CSL-Large Deal Acquisition Sales Function.</v>
          </cell>
        </row>
        <row r="921">
          <cell r="E921" t="str">
            <v>CAM</v>
          </cell>
          <cell r="G921" t="str">
            <v>Match incumbents responsible for shorter-term relationship management that includes closing the sale to the appropriate discipline in the CSD-Direct Sales Function.</v>
          </cell>
        </row>
        <row r="922">
          <cell r="E922" t="str">
            <v>CAM</v>
          </cell>
          <cell r="G922" t="str">
            <v>Match incumbents whose main responsibilities relate more to bid management to the CBM000-Bid Management Generalist/Multidiscipline Discipline.</v>
          </cell>
        </row>
        <row r="923">
          <cell r="E923" t="str">
            <v>CAM</v>
          </cell>
          <cell r="G923" t="str">
            <v>Note: The EX Career Band is not applicable in North America. Executives are collected as Executive Benchmarks in North America's Executive Surveys.</v>
          </cell>
        </row>
        <row r="924">
          <cell r="E924" t="str">
            <v>CAM</v>
          </cell>
          <cell r="G924" t="str">
            <v>EX (Executive)</v>
          </cell>
        </row>
        <row r="925">
          <cell r="E925" t="str">
            <v>CAM</v>
          </cell>
          <cell r="G925" t="str">
            <v>M (Supervisory/Management)</v>
          </cell>
        </row>
        <row r="926">
          <cell r="E926" t="str">
            <v>CAM</v>
          </cell>
          <cell r="G926" t="str">
            <v>S (Customer/Client Management and Sales)</v>
          </cell>
        </row>
        <row r="927">
          <cell r="E927" t="str">
            <v>CAM000</v>
          </cell>
          <cell r="G927" t="str">
            <v>Builds and maintains effective long-term relationships and a high level of satisfaction with key senior-level decision makers and influencers at an assigned group of customer accounts that may include major strategic customers within a geographic or industry focus | Identifies, develops and typically closes new sales opportunities | Creates demand for the organization's products and services by raising their profile with customers | Achieves revenue targets by increasing revenue spend per account | May conduct regular status and strategy meetings with the customer's senior management to understand their needs and link them to the organization's product/service strategies | Responsibilities are within the Account/Relationship Management Function as a generalist or in a combination of Disciplines</v>
          </cell>
        </row>
        <row r="928">
          <cell r="E928" t="str">
            <v>CAM005</v>
          </cell>
          <cell r="G928" t="str">
            <v>Builds and maintains effective long-term relationships and a high level of satisfaction with key senior-level decision makers and influencers at an assigned group of ten or more customer accounts, but not major or strategic accounts | Identifies, develops and typically closes new sales opportunities | Creates demand for the organization's products and services by raising their profile with customers | Achieves revenue targets by increasing revenue spend per account | May conduct regular status and strategy meetings with the customer's senior management to understand their needs and link them to the organization's product/service strategies</v>
          </cell>
        </row>
        <row r="929">
          <cell r="E929" t="str">
            <v>CAM010</v>
          </cell>
          <cell r="G929" t="str">
            <v>Builds and maintains customer relationships with strategic accounts in a single country | Identifies, develops and typically closes new sales opportunities | Creates demand for the organization's products and services by raising their profile with customers | Achieves revenue targets by increasing revenue spend per account | May conduct regular status and strategy meetings with the customer's senior management to understand their needs and link them to the organization's product/service strategies</v>
          </cell>
        </row>
        <row r="930">
          <cell r="E930" t="str">
            <v>CAM020</v>
          </cell>
          <cell r="G930" t="str">
            <v>Builds and maintains customer relations with strategic accounts that typically involve an international partner or major global accounts | Identifies, develops and typically closes new sales opportunities | Creates demand for the organization's products and services by raising their profile with customers | Achieves revenue targets by increasing revenue spend per account | Conducts regular status and strategy meetings with the customer's senior management to understand their needs and link them to the organization's product/service strategies</v>
          </cell>
        </row>
        <row r="931">
          <cell r="E931" t="str">
            <v>CAM200</v>
          </cell>
          <cell r="G931" t="str">
            <v>Manages corporate-wide relationships for software consultancy and professional services accounts | Identifies, develops and typically closes new sales opportunities | Collaborates with clients on their requirements to favorably influence specifications in requests for proposal (RFPs)</v>
          </cell>
        </row>
        <row r="932">
          <cell r="E932" t="str">
            <v>CAM210</v>
          </cell>
          <cell r="G932" t="str">
            <v>Manages relationships for outsourced services such as facilities management, business process and information technology | Identifies, develops and typically closes new sales opportunities | Typically manages relationships that may involve both short- and long-term commitment of service and vary significantly in value/strategic importance</v>
          </cell>
        </row>
        <row r="933">
          <cell r="E933" t="str">
            <v>CAM220</v>
          </cell>
          <cell r="G933" t="str">
            <v>Manages corporate-wide relationships for high-value systems and solutions accounts | Identifies, develops and typically closes new sales opportunities | Promotes the organization's capabilities to provide an integrated solution that combines products and services | Collaborates with clients on their requirements to favorably influence specifications in requests for proposal (RFPs)</v>
          </cell>
        </row>
        <row r="934">
          <cell r="E934" t="str">
            <v>CAM900</v>
          </cell>
          <cell r="G934" t="str">
            <v>Creates demands for automotive parts and accessories to key accounts (e.g., fleet organizations, car rental organizations, car manufacturers, dealers/distributors) in an assigned territory | Prepares and implements post-sales plans and strategies and builds and maintains customer relations with key accounts | Monitors availability of automotive parts and accessories to ensure adequate stock levels to support client demand</v>
          </cell>
        </row>
        <row r="935">
          <cell r="E935" t="str">
            <v>CAM999</v>
          </cell>
          <cell r="G935" t="str">
            <v>Responsibilities are within the Account/Relationship Management Function but are not described in other Discipline summaries</v>
          </cell>
        </row>
        <row r="936">
          <cell r="E936" t="str">
            <v>CBM</v>
          </cell>
          <cell r="G936" t="str">
            <v>Manages the bidding process from initial contact through to contract signing, but excluding the ongoing account management once the contract has been signed. Manages the preparation of bids and tenders with particular emphasis on establishing the organization's trading terms. Identifies and manages appropriate resources and team support to develop package and price custom solutions.</v>
          </cell>
        </row>
        <row r="937">
          <cell r="E937" t="str">
            <v>CBM</v>
          </cell>
          <cell r="G937" t="str">
            <v>Match incumbents responsible for closing complex, high-value sales who do not retain responsibility for the account after the sale is closed to the CSL-Large Deal Acquisition Sales Function.</v>
          </cell>
        </row>
        <row r="938">
          <cell r="E938" t="str">
            <v>CBM</v>
          </cell>
          <cell r="G938" t="str">
            <v>Match incumbents responsible for ensuring that contracted services are delivered to the CDM-Client Service Delivery Management Function.</v>
          </cell>
        </row>
        <row r="939">
          <cell r="E939" t="str">
            <v>CBM</v>
          </cell>
          <cell r="G939" t="str">
            <v>Match incumbents responsible for longer-term building and maintenance of relationships to the appropriate discipline in the CAM-Account/Relationship Management Function.</v>
          </cell>
        </row>
        <row r="940">
          <cell r="E940" t="str">
            <v>CBM</v>
          </cell>
          <cell r="G940" t="str">
            <v>Match support level incumbents who assist in the bid management process to the appropriate discipline in the CUS-Sales Support Function and the Business Support Career Band.</v>
          </cell>
        </row>
        <row r="941">
          <cell r="E941" t="str">
            <v>CBM</v>
          </cell>
          <cell r="G941" t="str">
            <v>Supports the bid and sale cycle by producing service/contract proposals, but does not lead the sale.</v>
          </cell>
        </row>
        <row r="942">
          <cell r="E942" t="str">
            <v>CBM</v>
          </cell>
          <cell r="G942" t="str">
            <v>Note: The EX Career Band is not applicable in North America. Executives are collected as Executive Benchmarks in North America's Executive Surveys.</v>
          </cell>
        </row>
        <row r="943">
          <cell r="E943" t="str">
            <v>CBM</v>
          </cell>
          <cell r="G943" t="str">
            <v>EX (Executive)</v>
          </cell>
        </row>
        <row r="944">
          <cell r="E944" t="str">
            <v>CBM</v>
          </cell>
          <cell r="G944" t="str">
            <v>M (Supervisory/Management)</v>
          </cell>
        </row>
        <row r="945">
          <cell r="E945" t="str">
            <v>CBM</v>
          </cell>
          <cell r="G945" t="str">
            <v>S (Customer/Client Management and Sales)</v>
          </cell>
        </row>
        <row r="946">
          <cell r="E946" t="str">
            <v>CBM000</v>
          </cell>
          <cell r="G946" t="str">
            <v>Manages the preparation of bids and tenders with particular emphasis on establishing the organization's trading terms | Collaborates with business developers and account managers to obtain and clarify customer requirements | Identifies and manages appropriate resources and team support to develop, package and price custom solutions | May coordinate legal sign-off on bids and proposals, placement of supplier orders and acceptance of customer orders</v>
          </cell>
        </row>
        <row r="947">
          <cell r="E947" t="str">
            <v>CBM999</v>
          </cell>
          <cell r="G947" t="str">
            <v>Responsibilities are within the Bid Management Function but are not described in other Discipline summaries</v>
          </cell>
        </row>
        <row r="948">
          <cell r="E948" t="str">
            <v>CDM</v>
          </cell>
          <cell r="G948" t="str">
            <v>Manages ongoing contractual relationships and the operational delivery of services to clients for an account or group of accounts. Serves as the primary point of contact with clients and ensures client satisfaction.</v>
          </cell>
        </row>
        <row r="949">
          <cell r="E949" t="str">
            <v>CDM</v>
          </cell>
          <cell r="G949" t="str">
            <v>Alternative titles are Engagement Manager, Account Services Manager or Service Delivery Manager.</v>
          </cell>
        </row>
        <row r="950">
          <cell r="E950" t="str">
            <v>CDM</v>
          </cell>
          <cell r="G950" t="str">
            <v>Match incumbents who perform or manage work in multiple areas to the CDM000-Client Service Delivery Management Generalist/Multidiscipline code.</v>
          </cell>
        </row>
        <row r="951">
          <cell r="E951" t="str">
            <v>CDM</v>
          </cell>
          <cell r="G951" t="str">
            <v>Note: The EX Career Band is not applicable in North America. Executives are collected as Executive Benchmarks in North America's Executive Surveys.</v>
          </cell>
        </row>
        <row r="952">
          <cell r="E952" t="str">
            <v>CDM</v>
          </cell>
          <cell r="G952" t="str">
            <v>EX (Executive)</v>
          </cell>
        </row>
        <row r="953">
          <cell r="E953" t="str">
            <v>CDM</v>
          </cell>
          <cell r="G953" t="str">
            <v>M (Supervisory/Management)</v>
          </cell>
        </row>
        <row r="954">
          <cell r="E954" t="str">
            <v>CDM</v>
          </cell>
          <cell r="G954" t="str">
            <v>S (Customer/Client Management and Sales)</v>
          </cell>
        </row>
        <row r="955">
          <cell r="E955" t="str">
            <v>CDM000</v>
          </cell>
          <cell r="G955" t="str">
            <v>Manages the delivery of contracted services to clients to ensure that SLAs (service level agreements) and KPI (key performance indicators) as defined in the relevant contracts are met or exceeded | Maintains tight control over the project schedule, risks, scope of work and budget; ensures that operational teams and subcontractors have a clear understanding of client requirements | Builds and maintains strong client relationships and provides day-to-day client advice and support | Promotes the organization's capabilities to clients, identifies sales opportunities to be forwarded to the account managers and achieves contract extensions or additional business within the account(s) | Contracts may involve both short- and long-term commitment of service and vary significantly in value/strategic importance</v>
          </cell>
        </row>
        <row r="956">
          <cell r="E956" t="str">
            <v>CDM210</v>
          </cell>
          <cell r="G956" t="str">
            <v>Ensures timely and successful delivery of contracted outsourced services such as facilities management, business process and information technology to clients</v>
          </cell>
        </row>
        <row r="957">
          <cell r="E957" t="str">
            <v>CDM220</v>
          </cell>
          <cell r="G957" t="str">
            <v>Ensures timely and successful delivery of contracted systems integration and solutions services such as complex, high-value systems and solutions that typically integrate hardware, software and/or services from multiple vendors</v>
          </cell>
        </row>
        <row r="958">
          <cell r="E958" t="str">
            <v>CDM230</v>
          </cell>
          <cell r="G958" t="str">
            <v>Ensures timely and successful delivery of contracted availability services such as online or e-commerce services, network support and server hosting to clients</v>
          </cell>
        </row>
        <row r="959">
          <cell r="E959" t="str">
            <v>CDM999</v>
          </cell>
          <cell r="G959" t="str">
            <v>Responsibilities are within the Client Service Delivery Management Function but are not described in other Discipline summaries</v>
          </cell>
        </row>
        <row r="960">
          <cell r="E960" t="str">
            <v>CSA</v>
          </cell>
          <cell r="G960" t="str">
            <v>Responsible for overall sales, including both direct and channel sales, to promote and support the organization's products. May also be responsible for customer service.</v>
          </cell>
        </row>
        <row r="961">
          <cell r="E961" t="str">
            <v>CSA</v>
          </cell>
          <cell r="G961" t="str">
            <v>Match incumbents who are only responsible for marketing to the AMK-Marketing Function.</v>
          </cell>
        </row>
        <row r="962">
          <cell r="E962" t="str">
            <v>CSA</v>
          </cell>
          <cell r="G962" t="str">
            <v>Match incumbents who are responsible for both direct sales and channel sales to this function. Match incumbents who are responsible for sales, account management and relationship management to the appropriate discipline in one of the Customer/Client Management and Sales functions.</v>
          </cell>
        </row>
        <row r="963">
          <cell r="E963" t="str">
            <v>CSA</v>
          </cell>
          <cell r="G963" t="str">
            <v>Match incumbents who are responsible for both sales and marketing to the AMJ-Sales, Marketing and Business Development Function.</v>
          </cell>
        </row>
        <row r="964">
          <cell r="E964" t="str">
            <v>CSA</v>
          </cell>
          <cell r="G964" t="str">
            <v>Note: The EX Career Band is not applicable in North America. Executives are collected as Executive Benchmarks in North America's Executive Surveys.</v>
          </cell>
        </row>
        <row r="965">
          <cell r="E965" t="str">
            <v>CSA</v>
          </cell>
          <cell r="G965" t="str">
            <v>EX (Executive)</v>
          </cell>
        </row>
        <row r="966">
          <cell r="E966" t="str">
            <v>CSA</v>
          </cell>
          <cell r="G966" t="str">
            <v>M (Supervisory/Management)</v>
          </cell>
        </row>
        <row r="967">
          <cell r="E967" t="str">
            <v>CSA</v>
          </cell>
          <cell r="G967" t="str">
            <v>S (Customer/Client Management and Sales)</v>
          </cell>
        </row>
        <row r="968">
          <cell r="E968" t="str">
            <v>CSA000</v>
          </cell>
          <cell r="G968" t="str">
            <v>Designs, develops and implements sales programs to meet the organization's business objectives | Plans, directs and coordinates the efforts of sales toward the accomplishment of objectives</v>
          </cell>
        </row>
        <row r="969">
          <cell r="E969" t="str">
            <v>CSA999</v>
          </cell>
          <cell r="G969" t="str">
            <v>Responsibilities are within the Sales Function but are not described in other Discipline summaries</v>
          </cell>
        </row>
        <row r="970">
          <cell r="E970" t="str">
            <v>CSC</v>
          </cell>
          <cell r="G970" t="str">
            <v>Maximizes revenues from sales of the organization's products and/or services through a base of reseller partners such as dealers, systems integrators, value-added resellers (VARs), distributors or retailers. Locates, evaluates and recruits potential channel partners. Supports partners throughout the sales process in all sales-oriented activities, such as marketing, advertising, sales promotions and training, to achieve revenue targets.</v>
          </cell>
        </row>
        <row r="971">
          <cell r="E971" t="str">
            <v>CSC</v>
          </cell>
          <cell r="G971" t="str">
            <v>Match incumbents responsible for both direct sales and channel sales to the CSA-Sales Function.</v>
          </cell>
        </row>
        <row r="972">
          <cell r="E972" t="str">
            <v>CSC</v>
          </cell>
          <cell r="G972" t="str">
            <v>Match incumbents responsible for developing or implementing marketing strategies and programs for distribution channels, partnerships and/or co-branding to the AMK010-Channel/Partnership/Co-Branded Marketing Discipline in the AMK-Marketing Function.</v>
          </cell>
        </row>
        <row r="973">
          <cell r="E973" t="str">
            <v>CSC</v>
          </cell>
          <cell r="G973" t="str">
            <v>Organizations that sell content (e.g., books, music, videos) to consumers will typically match sales roles to this function rather than the CSD-Direct Sales Function.</v>
          </cell>
        </row>
        <row r="974">
          <cell r="E974" t="str">
            <v>CSC</v>
          </cell>
          <cell r="G974" t="str">
            <v>Note: The EX Career Band is not applicable in North America. Executives are collected as Executive Benchmarks in North America's Executive Surveys.</v>
          </cell>
        </row>
        <row r="975">
          <cell r="E975" t="str">
            <v>CSC</v>
          </cell>
          <cell r="G975" t="str">
            <v>EX (Executive)</v>
          </cell>
        </row>
        <row r="976">
          <cell r="E976" t="str">
            <v>CSC</v>
          </cell>
          <cell r="G976" t="str">
            <v>M (Supervisory/Management)</v>
          </cell>
        </row>
        <row r="977">
          <cell r="E977" t="str">
            <v>CSC</v>
          </cell>
          <cell r="G977" t="str">
            <v>S (Customer/Client Management and Sales)</v>
          </cell>
        </row>
        <row r="978">
          <cell r="E978" t="str">
            <v>CSC000</v>
          </cell>
          <cell r="G978" t="str">
            <v>Maximizes revenues from sales of the organization's products and/or services through a base of reseller partners in specific assigned channels and/or vertical markets | Locates, evaluates and recruits potential channel partners, including systems integrators, value-added resellers (VARs), distributors, dealers or retailers | Supports partners throughout the sales process in all sales-oriented activities, including marketing, advertising, sales promotions and training to achieve revenue targets | Responsibilities are within the Channel Sales Function as a generalist or in a combination of Disciplines</v>
          </cell>
        </row>
        <row r="979">
          <cell r="E979" t="str">
            <v>CSC010</v>
          </cell>
          <cell r="G979" t="str">
            <v>Sells a portfolio of the organization's and/or third-party durable (hard) goods (i.e., products that do not quickly wear out) through a base of reseller partners; typically sells products such as vehicles, appliances, business equipment, electronic equipment, home furnishings and fixtures, housewares and accessories | Locates, evaluates and recruits potential channel partners, including systems integrators, value-added resellers (VARs), distributors, dealers or retailers | Supports partners throughout the sales process in all sales-oriented activities, including marketing, advertising, sales promotions and training to achieve revenue targets</v>
          </cell>
        </row>
        <row r="980">
          <cell r="E980" t="str">
            <v>CSC012</v>
          </cell>
          <cell r="G980" t="str">
            <v>Locates, evaluates and recruits potential channel partners, including systems integrators, value-added resellers, distributors, dealers and/or retailers | Contributes to the increase of the organization's market share and strives to maintain and improve the competitive positioning of the organization | Coordinates market research and new business studies</v>
          </cell>
        </row>
        <row r="981">
          <cell r="E981" t="str">
            <v>CSC020</v>
          </cell>
          <cell r="G981" t="str">
            <v>Sells a portfolio of the organization's and/or third-party nondurable (soft) goods (i.e., products that are used up when used once or that have a lifespan of less than three years) through a base of reseller partners; typically sells products such as food, cosmetics, pharmaceuticals, cleaning products, office supplies, printer ink, packaging and containers, paper and paper products, personal products, rubber, plastics, textiles and clothing | Locates, evaluates and recruits potential channel partners, including systems integrators, value-added resellers (VARs), distributors, dealers or retailers | Supports partners throughout the sales process in all sales-oriented activities, including marketing, advertising, sales promotions and training to achieve revenue targets</v>
          </cell>
        </row>
        <row r="982">
          <cell r="E982" t="str">
            <v>CSC200</v>
          </cell>
          <cell r="G982" t="str">
            <v>Sells a portfolio of the organization's and/or third-party products through a base of reseller partners | Specializes in the sale of both hardware and software products</v>
          </cell>
        </row>
        <row r="983">
          <cell r="E983" t="str">
            <v>CSC220</v>
          </cell>
          <cell r="G983" t="str">
            <v>Sells a portfolio of the organization's and/or third-party software products through a base of reseller partners | Specializes in the sale of enterprise systems, desktop packages, software development tools, databases, communications software, applications software and new software license sales</v>
          </cell>
        </row>
        <row r="984">
          <cell r="E984" t="str">
            <v>CSC225</v>
          </cell>
          <cell r="G984" t="str">
            <v>Sells a portfolio of the organization's and/or third-party products and services through a base of reseller partners | Specializes in the sale of (cyber) security products and services | Has conceptual knowledge of security platforms, systems and products</v>
          </cell>
        </row>
        <row r="985">
          <cell r="E985" t="str">
            <v>CSC250</v>
          </cell>
          <cell r="G985" t="str">
            <v>Sells semiconductors (e.g., integrated circuits, microprocessors, memory chips) through a base of reseller partners who resell to computer manufacturers and manufacturers of products that have electronic components (e.g., motor vehicles, appliances, telephones)</v>
          </cell>
        </row>
        <row r="986">
          <cell r="E986" t="str">
            <v>CSC270</v>
          </cell>
          <cell r="G986" t="str">
            <v>Sells a portfolio of the organization's and/or third-party telecom services through a base of reseller partners | Specializes in the sale of voice, data and/or network services</v>
          </cell>
        </row>
        <row r="987">
          <cell r="E987" t="str">
            <v>CSC272</v>
          </cell>
          <cell r="G987" t="str">
            <v>Sells a portfolio of the organization's and/or third-party telecom services through a base of reseller partners | Specializes in resellers who focus on small and medium businesses</v>
          </cell>
        </row>
        <row r="988">
          <cell r="E988" t="str">
            <v>CSC273</v>
          </cell>
          <cell r="G988" t="str">
            <v>Sells a portfolio of the organization's and/or third-party prepaid telecom services through a base of reseller partners | Specializes in the initial and recharge sale of prepaid services through distributors, stores and websites</v>
          </cell>
        </row>
        <row r="989">
          <cell r="E989" t="str">
            <v>CSC275</v>
          </cell>
          <cell r="G989" t="str">
            <v>Sells a portfolio of the organization's and/or third-party telecom services through a base of reseller partners | Specializes in sales through retailers</v>
          </cell>
        </row>
        <row r="990">
          <cell r="E990" t="str">
            <v>CSC280</v>
          </cell>
          <cell r="G990" t="str">
            <v>Sells Internet services through a base of reseller partners; services typically include web-based content such as Internet service providers (ISPs) or web organizations (e.g., business-to-business and business-to-consumer services and applications, web and server hosting)</v>
          </cell>
        </row>
        <row r="991">
          <cell r="E991" t="str">
            <v>CSC700</v>
          </cell>
          <cell r="G991" t="str">
            <v>Sells a portfolio of the organization's and/or third-party professional publications, education books and/or consumer/trade books through a base of reseller partners | May sell physical media (e.g., print, DVD/CD) and/or downloadable digital versions</v>
          </cell>
        </row>
        <row r="992">
          <cell r="E992" t="str">
            <v>CSC740</v>
          </cell>
          <cell r="G992" t="str">
            <v>Sells a portfolio of the organization's and/or third-party recordings, TV shows, movies and/or music through a base of reseller partners | May sell physical media (e.g., DVD/CD, vinyl) and/or downloadable digital versions</v>
          </cell>
        </row>
        <row r="993">
          <cell r="E993" t="str">
            <v>CSC900</v>
          </cell>
          <cell r="G993" t="str">
            <v>Identifies remarketable vehicles and coordinates their disposal | Participates in formulation of pricing and markup guidelines based on vehicle brand, age, mileage and condition to achieve revenue objectives | Identifies opportunities to export used vehicles to other markets</v>
          </cell>
        </row>
        <row r="994">
          <cell r="E994" t="str">
            <v>CSC999</v>
          </cell>
          <cell r="G994" t="str">
            <v>Responsibilities are within the Channel Sales Function but are not described in other Discipline summaries</v>
          </cell>
        </row>
        <row r="995">
          <cell r="E995" t="str">
            <v>CSD</v>
          </cell>
          <cell r="G995" t="str">
            <v>Closes direct sales of products and/or services in order to meet individual/team quotas and the organization's business objectives. Creates, monitors and revises lead generation plans to ensure a substantive sales opportunity pipeline. Typically, sales cycles are relatively short.</v>
          </cell>
        </row>
        <row r="996">
          <cell r="E996" t="str">
            <v>CSD</v>
          </cell>
          <cell r="G996" t="str">
            <v>Match Account Managers in these disciplines to the appropriate discipline (CAM005 - CAM020) in the CAM-Account/Relationship Management Function.</v>
          </cell>
        </row>
        <row r="997">
          <cell r="E997" t="str">
            <v>CSD</v>
          </cell>
          <cell r="G997" t="str">
            <v>Match incumbents responsible for ensuring that services are delivered against contract to the CDM-Client Service Delivery Management Function.</v>
          </cell>
        </row>
        <row r="998">
          <cell r="E998" t="str">
            <v>CSD</v>
          </cell>
          <cell r="G998" t="str">
            <v>Match incumbents responsible for maximizing revenues from a base of reseller partners to the CSC-Channel Sales Function.</v>
          </cell>
        </row>
        <row r="999">
          <cell r="E999" t="str">
            <v>CSD</v>
          </cell>
          <cell r="G999" t="str">
            <v>Match incumbents responsible for sales of broadcast, print and/or online advertising to the appropriate discipline in the CSM-Advertising Sales and Account Management Function.</v>
          </cell>
        </row>
        <row r="1000">
          <cell r="E1000" t="str">
            <v>CSD</v>
          </cell>
          <cell r="G1000" t="str">
            <v>Match incumbents who support customer inquiries and various operations including sales in a physical store to CSO-Retail Store Sales and Operations.</v>
          </cell>
        </row>
        <row r="1001">
          <cell r="E1001" t="str">
            <v>CSD</v>
          </cell>
          <cell r="G1001" t="str">
            <v>Match inside sales representatives to the appropriate discipline in the CTS-Remote Sales Function.</v>
          </cell>
        </row>
        <row r="1002">
          <cell r="E1002" t="str">
            <v>CSD</v>
          </cell>
          <cell r="G1002" t="str">
            <v>Match outside sales representatives to this function.</v>
          </cell>
        </row>
        <row r="1003">
          <cell r="E1003" t="str">
            <v>CSD</v>
          </cell>
          <cell r="G1003" t="str">
            <v>Organizations that sell content (e.g., books, music, videos) to consumers will typically match sales roles to the CSC-Channel Sales Function rather than this function.</v>
          </cell>
        </row>
        <row r="1004">
          <cell r="E1004" t="str">
            <v>CSD</v>
          </cell>
          <cell r="G1004" t="str">
            <v>Note: The EX Career Band is not applicable in North America. Executives are collected as Executive Benchmarks in North America's Executive Surveys.</v>
          </cell>
        </row>
        <row r="1005">
          <cell r="E1005" t="str">
            <v>CSD</v>
          </cell>
          <cell r="G1005" t="str">
            <v>EX (Executive)</v>
          </cell>
        </row>
        <row r="1006">
          <cell r="E1006" t="str">
            <v>CSD</v>
          </cell>
          <cell r="G1006" t="str">
            <v>M (Supervisory/Management)</v>
          </cell>
        </row>
        <row r="1007">
          <cell r="E1007" t="str">
            <v>CSD</v>
          </cell>
          <cell r="G1007" t="str">
            <v>S (Customer/Client Management and Sales)</v>
          </cell>
        </row>
        <row r="1008">
          <cell r="E1008" t="str">
            <v>CSD000</v>
          </cell>
          <cell r="G1008" t="str">
            <v>Promotes and sells a portfolio of technical and/or nontechnical products and/or services and solutions directly to current and new end customers | Informs customers of new product/service introductions and prices | Creates, monitors and revises lead generation plans to ensure a substantive sales opportunity pipeline | Responsibilities are within the Direct Sales Function as a generalist or in a combination of Disciplines</v>
          </cell>
        </row>
        <row r="1009">
          <cell r="E1009" t="str">
            <v>CSD010</v>
          </cell>
          <cell r="G1009" t="str">
            <v>Sells a portfolio of the organization's and/or third-party durable (hard) goods (i.e., products that do not quickly wear out) directly to customers; typically sells products such as vehicles, appliances, business equipment, electronic equipment, home furnishings and fixtures, housewares and accessories | Informs customers of new product/service introductions and prices for such | Creates, monitors and revises lead generation plans to ensure a substantive sales opportunity pipeline</v>
          </cell>
        </row>
        <row r="1010">
          <cell r="E1010" t="str">
            <v>CSD020</v>
          </cell>
          <cell r="G1010" t="str">
            <v>Sells a portfolio of the organization's and/or third-party nondurable (soft) goods (i.e., products that are used up when used once or that have a lifespan of less than three years) directly to customers; typically sells products such as food, cosmetics, pharmaceuticals, cleaning products, office supplies, printer ink, packaging and containers, paper and paper products, personal products, rubber, plastics, textiles and clothing | Informs customers of new product/service introductions and prices for such | Creates, monitors and revises lead generation plans to ensure a substantive sales opportunity pipeline</v>
          </cell>
        </row>
        <row r="1011">
          <cell r="E1011" t="str">
            <v>CSD030</v>
          </cell>
          <cell r="G1011" t="str">
            <v>Sells a portfolio of the organization's and/or third-party services directly to end user organizations | Informs customers of new product/service introductions and prices for such | Creates, monitors and revises lead generation plans to ensure a substantive sales opportunity pipeline</v>
          </cell>
        </row>
        <row r="1012">
          <cell r="E1012" t="str">
            <v>CSD200</v>
          </cell>
          <cell r="G1012" t="str">
            <v>Sells a portfolio of the organization's and/or third-party products directly to end user organizations | Specializes in the sale of both hardware and software products</v>
          </cell>
        </row>
        <row r="1013">
          <cell r="E1013" t="str">
            <v>CSD210</v>
          </cell>
          <cell r="G1013" t="str">
            <v>Sells a portfolio of the organization's and/or third-party products directly to end user organizations | Specializes in the sale of servers, mainframes, desktop computers, storage devices, printers, input devices and other linked peripherals</v>
          </cell>
        </row>
        <row r="1014">
          <cell r="E1014" t="str">
            <v>CSD220</v>
          </cell>
          <cell r="G1014" t="str">
            <v>Sells a portfolio of the organization's and/or third-party software products directly to end user organizations | Specializes in the sale of enterprise systems, desktop packages, software development tools, databases, communications software, applications software and new software license sales</v>
          </cell>
        </row>
        <row r="1015">
          <cell r="E1015" t="str">
            <v>CSD225</v>
          </cell>
          <cell r="G1015" t="str">
            <v>Sells a portfolio of the organization's and/or third-party products directly to end user organizations | Specializes in the sale of (cyber) security products and services</v>
          </cell>
        </row>
        <row r="1016">
          <cell r="E1016" t="str">
            <v>CSD240</v>
          </cell>
          <cell r="G1016" t="str">
            <v>Sells a portfolio of telecommunication and networking hardware and software directly to end user organizations | Specializes in sale of wireless networking equipment, fiber optics, hubs, switches, routers, and network security devices and software</v>
          </cell>
        </row>
        <row r="1017">
          <cell r="E1017" t="str">
            <v>CSD250</v>
          </cell>
          <cell r="G1017" t="str">
            <v>Sells semiconductors (e.g., integrated circuits, microprocessors, memory chips) directly to computer manufacturers and manufacturers of products that have electronic components (e.g., motor vehicles, appliances, telephones)</v>
          </cell>
        </row>
        <row r="1018">
          <cell r="E1018" t="str">
            <v>CSD270</v>
          </cell>
          <cell r="G1018" t="str">
            <v>Sells a portfolio of the organization's and/or third-party telecom services directly to end user organizations; services typically include the services of voice, data or network providers</v>
          </cell>
        </row>
        <row r="1019">
          <cell r="E1019" t="str">
            <v>CSD271</v>
          </cell>
          <cell r="G1019" t="str">
            <v>Sells a portfolio of the organization's and/or third-party telecom services directly to end-user organizations; services typically include the services of voice, data or network providers | Specializes in sales directly to the end-consumer</v>
          </cell>
        </row>
        <row r="1020">
          <cell r="E1020" t="str">
            <v>CSD272</v>
          </cell>
          <cell r="G1020" t="str">
            <v>Sells a portfolio of the organization's and/or third-party telecom services directly to end-user organizations; services typically include the services of voice, data or network providers | Specializes in sales directly to small and medium businesses</v>
          </cell>
        </row>
        <row r="1021">
          <cell r="E1021" t="str">
            <v>CSD280</v>
          </cell>
          <cell r="G1021" t="str">
            <v>Sells Internet services directly to end user organizations; services typically include web-based content such as Internet service providers (ISPs) or web organizations (e.g., business-to-business and business-to-consumer services and applications, web and server hosting)</v>
          </cell>
        </row>
        <row r="1022">
          <cell r="E1022" t="str">
            <v>CSD710</v>
          </cell>
          <cell r="G1022" t="str">
            <v>Sells a portfolio of the organization's and/or third-party subscription information services, such as online news services, databases and analytical tools, directly to customers</v>
          </cell>
        </row>
        <row r="1023">
          <cell r="E1023" t="str">
            <v>CSD730</v>
          </cell>
          <cell r="G1023" t="str">
            <v>Sells a portfolio of the organization's and/or third-party event/exhibit space | Typically sells booth/floor space, sponsorships, directory advertisements and other ancillary media</v>
          </cell>
        </row>
        <row r="1024">
          <cell r="E1024" t="str">
            <v>CSD740</v>
          </cell>
          <cell r="G1024" t="str">
            <v>Develops and maintains strong relationships with licensees and retail partners | Promotes and sells character licensing opportunities to current and new customers | Monitors consumer product markets and explores new potential licensing and retail partners</v>
          </cell>
        </row>
        <row r="1025">
          <cell r="E1025" t="str">
            <v>CSD999</v>
          </cell>
          <cell r="G1025" t="str">
            <v>Responsibilities are within the Direct Sales Function but are not described in other Discipline summaries</v>
          </cell>
        </row>
        <row r="1026">
          <cell r="E1026" t="str">
            <v>CSI</v>
          </cell>
          <cell r="G1026" t="str">
            <v>Responsible for audience development/circulation sales to maintain and expand the audience for the organization's media outlets and build brand/title awareness to ensure that maximum revenues are achieved within profit objectives.</v>
          </cell>
        </row>
        <row r="1027">
          <cell r="E1027" t="str">
            <v>CSI</v>
          </cell>
          <cell r="G1027" t="str">
            <v>Match incumbents responsible for single copy distribution to the CUS750-Circulation Single Copy Distribution Discipline in the CUS-Sales Support and Administration Function.</v>
          </cell>
        </row>
        <row r="1028">
          <cell r="E1028" t="str">
            <v>CSI</v>
          </cell>
          <cell r="G1028" t="str">
            <v>M (Supervisory/Management)</v>
          </cell>
        </row>
        <row r="1029">
          <cell r="E1029" t="str">
            <v>CSI</v>
          </cell>
          <cell r="G1029" t="str">
            <v>S (Customer/Client Management and Sales)</v>
          </cell>
        </row>
        <row r="1030">
          <cell r="E1030" t="str">
            <v>CSI000</v>
          </cell>
          <cell r="G1030" t="str">
            <v>Oversees the efficient collection, collation and analysis of circulation data | Administers audience development/circulation programs for subscription renewals | Builds brand/title awareness to ensure that maximum revenues are achieved within profit objectives | Responsibilities are within the Audience Development/Circulation/Subscription Sales Function as a generalist or in a combination of Disciplines</v>
          </cell>
        </row>
        <row r="1031">
          <cell r="E1031" t="str">
            <v>CSI010</v>
          </cell>
          <cell r="G1031" t="str">
            <v>Generates revenue through subscription sales using various methods, including direct marketing, telesales/remote sales and channel sales (e.g., magazine wholesalers) | Selects lists of potential subscribers that are likely to have a strong interest in the publication's content and willingness to buy | Uses various promotional strategies to sell subscriptions, including multi-year pricing discounts, free trials and free branded merchandise to maintain and expand the number of subscribers</v>
          </cell>
        </row>
        <row r="1032">
          <cell r="E1032" t="str">
            <v>CSI020</v>
          </cell>
          <cell r="G1032" t="str">
            <v>Sells newspapers, magazines and/or other publications to reseller partners such as newsstands and bookstores | Develops and maintains relationships with retailers, wholesalers and key accounts to enhance revenue | Organizes special promotions and placement of point-of-sale material | Prepares reports and analyses on single copy sales and distribution results</v>
          </cell>
        </row>
        <row r="1033">
          <cell r="E1033" t="str">
            <v>CSI030</v>
          </cell>
          <cell r="G1033" t="str">
            <v>Develops and implements the subscription renewal process for existing subscribers to the organization's media outlets</v>
          </cell>
        </row>
        <row r="1034">
          <cell r="E1034" t="str">
            <v>CSI040</v>
          </cell>
          <cell r="G1034" t="str">
            <v>Oversees the distribution of the organization's newspapers, magazines and/or other publications to public places such as airports, hotels and waiting rooms</v>
          </cell>
        </row>
        <row r="1035">
          <cell r="E1035" t="str">
            <v>CSI040</v>
          </cell>
          <cell r="G1035" t="str">
            <v>Match incumbents responsible for paid and unpaid newspaper and magazine distribution at hotels, airports and events to this discipline.</v>
          </cell>
        </row>
        <row r="1036">
          <cell r="E1036" t="str">
            <v>CSI999</v>
          </cell>
          <cell r="G1036" t="str">
            <v>Responsibilities are within the Audience Development/Circulation/Subscription function but are not described in other Discipline summaries</v>
          </cell>
        </row>
        <row r="1037">
          <cell r="E1037" t="str">
            <v>CSI999</v>
          </cell>
          <cell r="G1037" t="str">
            <v>Match incumbents responsible for specialized sales (e.g., merchandise premiums in subscription campaigns, article reprints and/or distribution of paid and unpaid newspaper and magazine distribution at hotels, airports and events) to this discipline.</v>
          </cell>
        </row>
        <row r="1038">
          <cell r="E1038" t="str">
            <v>CSI999</v>
          </cell>
          <cell r="G1038" t="str">
            <v>Match incumbents responsible for the use of merchandise premiums in Audience Development/Circulation/Subscription Sales campaigns to this discipline.</v>
          </cell>
        </row>
        <row r="1039">
          <cell r="E1039" t="str">
            <v>CSL</v>
          </cell>
          <cell r="G1039" t="str">
            <v>Sells complex, high-value solutions and/or services. Plans, facilitates and/or conducts complex negotiations, typically over a long sales cycle (i.e., one year or more), to reach long-term agreements and commitments. Plans and executes effective relationship strategies for one strategic or several large, complex opportunities with a limited number of key/strategic customers and typically maintains relationships with customers on a senior management or executive level. Identifies and prioritizes new client opportunities and develops solution implementation and growth strategies.</v>
          </cell>
        </row>
        <row r="1040">
          <cell r="E1040" t="str">
            <v>CSL</v>
          </cell>
          <cell r="G1040" t="str">
            <v>Match incumbents responsible for consulting sales and/or pre-sales as well as delivering consulting services to the appropriate discipline in the TCT-Technology/Systems Consulting or TCB-Business Consulting Functions.</v>
          </cell>
        </row>
        <row r="1041">
          <cell r="E1041" t="str">
            <v>CSL</v>
          </cell>
          <cell r="G1041" t="str">
            <v>Match incumbents responsible for delivery of the solutions and/or services to the CDM-Client Service Delivery Management Function.</v>
          </cell>
        </row>
        <row r="1042">
          <cell r="E1042" t="str">
            <v>CSL</v>
          </cell>
          <cell r="G1042" t="str">
            <v>Match incumbents responsible for ensuring that services are delivered against contract to the CDM-Client Service Delivery Management Function.</v>
          </cell>
        </row>
        <row r="1043">
          <cell r="E1043" t="str">
            <v>CSL</v>
          </cell>
          <cell r="G1043" t="str">
            <v>Match incumbents responsible for sales of products and/or services that are comparatively less complex, with a shorter selling cycle, and relatively lower contract value to the appropriate discipline in the CSD-Direct Sales Function.</v>
          </cell>
        </row>
        <row r="1044">
          <cell r="E1044" t="str">
            <v>CSL</v>
          </cell>
          <cell r="G1044" t="str">
            <v>Match incumbents with significant post-sale account management responsibilities to the CAM-Account/Relationship Management Function.</v>
          </cell>
        </row>
        <row r="1045">
          <cell r="E1045" t="str">
            <v>CSL</v>
          </cell>
          <cell r="G1045" t="str">
            <v>This function is reserved for sales groups that focus on very large, complex sales with longer sales cycles (i.e., one year or more). This function does not typically include entry-level matches.</v>
          </cell>
        </row>
        <row r="1046">
          <cell r="E1046" t="str">
            <v>CSL</v>
          </cell>
          <cell r="G1046" t="str">
            <v>Note: The EX Career Band is not applicable in North America. Executives are collected as Executive Benchmarks in North America's Executive Surveys.</v>
          </cell>
        </row>
        <row r="1047">
          <cell r="E1047" t="str">
            <v>CSL</v>
          </cell>
          <cell r="G1047" t="str">
            <v>EX (Executive)</v>
          </cell>
        </row>
        <row r="1048">
          <cell r="E1048" t="str">
            <v>CSL</v>
          </cell>
          <cell r="G1048" t="str">
            <v>M (Supervisory/Management)</v>
          </cell>
        </row>
        <row r="1049">
          <cell r="E1049" t="str">
            <v>CSL</v>
          </cell>
          <cell r="G1049" t="str">
            <v>S (Customer/Client Management and Sales)</v>
          </cell>
        </row>
        <row r="1050">
          <cell r="E1050" t="str">
            <v>CSL000</v>
          </cell>
          <cell r="G1050" t="str">
            <v>Plans, facilitates and/or conducts multifaceted, extended negotiations for the sale of complex, high-value, multi-year contracts for solutions and/or services to produce revenue in line with organization and individual targets and quotas | Applies consultative selling skills to develop attractive value propositions for one strategic or several large, complex opportunities in a specific industry or other defined market segment that may include many countries and regions | Maintains effective customer relationships with key senior-level decision makers and influencers in order to understand the customer's requirements, match them with the organization's solutions and close the deal | Utilizes advanced product/service knowledge and understanding of the customer's business to develop customized proposals that present creative solutions that successfully sell the organization's capabilities | Produces revenue in line with current organization and individual targets/quotas</v>
          </cell>
        </row>
        <row r="1051">
          <cell r="E1051" t="str">
            <v>CSL200</v>
          </cell>
          <cell r="G1051" t="str">
            <v>Sells high-value consulting and professional services such as business process design, strategy consulting, change management, and application design and management to leading organizations | Establishes and maintains key client relationships and collaborates with clients on their requirements to favorably influence specifications in requests for proposal (RFPs) | Secures estimates from partners and alliance partners as needed for resources with specialized expertise | Transitions sold business to professional services and project management teams for implementation</v>
          </cell>
        </row>
        <row r="1052">
          <cell r="E1052" t="str">
            <v>CSL210</v>
          </cell>
          <cell r="G1052" t="str">
            <v>Sells a portfolio of services; products typically include facilities (i.e., office building, factory, warehouse) management, business process or information technology outsourcing | Collaborates with clients' senior management teams to define and execute outsourcing initiatives that create solutions, process optimization, redesign and change management | Ensures solution value drivers are reflected in the client value proposition | Collaborates with delivery team to ensure that delivery capability matches the proposed solution</v>
          </cell>
        </row>
        <row r="1053">
          <cell r="E1053" t="str">
            <v>CSL220</v>
          </cell>
          <cell r="G1053" t="str">
            <v>Sells complex, high-value, corporate-wide systems and solutions that typically integrate hardware, software and/or services from multiple vendors into an integrated system solution | Promotes the organization's capabilities to provide an integrated solution that combines products and services | Qualifies potential customers and analyzes their technical requirements to determine the appropriate resources, which may include subcontractors, to fulfill their needs | Grows a base of accounts within an assigned market segment and applies consultative sales techniques to meet or exceed established sales targets | Maintains a high level of industry, organization, product and service knowledge to transfer this knowledge to customers and prospects</v>
          </cell>
        </row>
        <row r="1054">
          <cell r="E1054" t="str">
            <v>CSL232</v>
          </cell>
          <cell r="G1054" t="str">
            <v>Sells a portfolio of the organization's and/or third-party Internet of Things products and solutions directly to client organizations | Specializes in the sale of Internet of Things products and solutions to large organizations and/or government agencies | Implements new business initiatives to drive Internet of Things sales revenue through a consultative selling approach</v>
          </cell>
        </row>
        <row r="1055">
          <cell r="E1055" t="str">
            <v>CSL234</v>
          </cell>
          <cell r="G1055" t="str">
            <v>Sells a portfolio of the organization's and/or third-party blockchain solutions directly to client organizations | Specializes in the sale of blockchain solutions to large organizations and/or government agencies | Technical understanding of blockchain, IT architecture and implementation processes is required</v>
          </cell>
        </row>
        <row r="1056">
          <cell r="E1056" t="str">
            <v>CSL236</v>
          </cell>
          <cell r="G1056" t="str">
            <v>Sells a portfolio of the organization's and/or third-party payment services and solutions directly to client organizations | Specializes in the sale of payment services and solutions to large organizations and/or government agencies | Technical understanding and experience in payments services and their integration is required</v>
          </cell>
        </row>
        <row r="1057">
          <cell r="E1057" t="str">
            <v>CSL270</v>
          </cell>
          <cell r="G1057" t="str">
            <v>Sells a portfolio of the organization's and/or third-party telecom services directly to client organizations | Specializes in the sale of voice, data and/or network services for large organizations and/or government</v>
          </cell>
        </row>
        <row r="1058">
          <cell r="E1058" t="str">
            <v>CSL280</v>
          </cell>
          <cell r="G1058" t="str">
            <v>Sells a portfolio of the organization's and/or third-party cloud services and solutions directly to client organizations; services typically include cloud storage and cloud computing | Specializes in the sale of cloud storage, cloud computing services and solutions to large organizations and/or government agencies</v>
          </cell>
        </row>
        <row r="1059">
          <cell r="E1059" t="str">
            <v>CSL999</v>
          </cell>
          <cell r="G1059" t="str">
            <v>Responsibilities are within the Large Deal Acquisition Sales Function but are not described in other Discipline summaries</v>
          </cell>
        </row>
        <row r="1060">
          <cell r="E1060" t="str">
            <v>CSM</v>
          </cell>
          <cell r="G1060" t="str">
            <v>Responsible for sales of advertising for one or more segments (e.g., daypart or genre of programming, major account list, customer industry segment, large geographic area or programmatic advertising) of the organization's advertising sales efforts.</v>
          </cell>
        </row>
        <row r="1061">
          <cell r="E1061" t="str">
            <v>CSM</v>
          </cell>
          <cell r="G1061" t="str">
            <v>Match incumbents responsible for inside sales (i.e., selling using the phone or email without seeing potential customers face-to-face) to the CTS020-Remote Sales - Outbound Discipline in the CTS-Remote Sales Function.</v>
          </cell>
        </row>
        <row r="1062">
          <cell r="E1062" t="str">
            <v>CSM</v>
          </cell>
          <cell r="G1062" t="str">
            <v>Match incumbents to the Advertising Sales and Account Management Discipline that best describes their primary (but not necessarily exclusive) focus.</v>
          </cell>
        </row>
        <row r="1063">
          <cell r="E1063" t="str">
            <v>CSM</v>
          </cell>
          <cell r="G1063" t="str">
            <v>Match incumbents who focus exclusively on account management (i.e., do not initiate sales) for major/strategic advertising sales accounts to the appropriate discipline in the CAM-Account/Relationship Management Function.</v>
          </cell>
        </row>
        <row r="1064">
          <cell r="E1064" t="str">
            <v>CSM</v>
          </cell>
          <cell r="G1064" t="str">
            <v>Note: The EX Career Band is not applicable in North America. Executives are collected as Executive Benchmarks in North America's Executive Surveys.</v>
          </cell>
        </row>
        <row r="1065">
          <cell r="E1065" t="str">
            <v>CSM</v>
          </cell>
          <cell r="G1065" t="str">
            <v>EX (Executive)</v>
          </cell>
        </row>
        <row r="1066">
          <cell r="E1066" t="str">
            <v>CSM</v>
          </cell>
          <cell r="G1066" t="str">
            <v>M (Supervisory/Management)</v>
          </cell>
        </row>
        <row r="1067">
          <cell r="E1067" t="str">
            <v>CSM</v>
          </cell>
          <cell r="G1067" t="str">
            <v>S (Customer/Client Management and Sales)</v>
          </cell>
        </row>
        <row r="1068">
          <cell r="E1068" t="str">
            <v>CSM000</v>
          </cell>
          <cell r="G1068" t="str">
            <v>Sells advertising in the organization's media outlets to one or more national accounts or accounts in a geographic territory to achieve sales targets and maximize revenue | Tracks sales performance against individual/team quotas and the organization's business objectives | Ensures clear understanding and interpretation of client needs and ensures requirements are met | Identifies local and national trends and adjusts advertising sales strategy accordingly | Responsibilities are within the Advertising Sales and Account Management Function as a generalist or in a combination of Disciplines</v>
          </cell>
        </row>
        <row r="1069">
          <cell r="E1069" t="str">
            <v>CSM000</v>
          </cell>
          <cell r="G1069" t="str">
            <v>Match incumbents responsible for advertising sales for a geographic territory to this discipline.</v>
          </cell>
        </row>
        <row r="1070">
          <cell r="E1070" t="str">
            <v>CSM010</v>
          </cell>
          <cell r="G1070" t="str">
            <v>Sells advertising time or space primarily for organizations/products in a specific industry (e.g., auto, food/beverage, retail)</v>
          </cell>
        </row>
        <row r="1071">
          <cell r="E1071" t="str">
            <v>CSM020</v>
          </cell>
          <cell r="G1071" t="str">
            <v>Sells advertising time or space that runs in specific programming genres (e.g., news, sports, entertainment), during specific times of day (e.g., prime time, daytime) or in specific sections of a publication</v>
          </cell>
        </row>
        <row r="1072">
          <cell r="E1072" t="str">
            <v>CSM030</v>
          </cell>
          <cell r="G1072" t="str">
            <v>Sells sponsorships and/or product placement opportunities as part of a high-profile, long-term relationship between the advertiser and media outlet | Promotes sponsorship advantages to advertisers that may include providing multiple advertising and/or promotional vehicles (e.g., print, face-to-face, word of mouth, outdoor, online) for targeted communication to customers | Creates dynamic sales presentations incorporating the potential sponsor's marketing goals and benefits of sponsorship/product placement</v>
          </cell>
        </row>
        <row r="1073">
          <cell r="E1073" t="str">
            <v>CSM040</v>
          </cell>
          <cell r="G1073" t="str">
            <v>Sells interactive digital advertising opportunities that are priced on rates that typically include metrics such as page views, ad impressions, click-throughs and time visible | Applies in-depth knowledge to advise advertisers and peer advertising sales representatives on the effective use of digital and interactive advertisements | Recommends an optimal combination of digital and interactive advertising tools such as banners, keywords, paid search results, social media, email marketing, mobile marketing and/or dynamic ad text</v>
          </cell>
        </row>
        <row r="1074">
          <cell r="E1074" t="str">
            <v>CSM050</v>
          </cell>
          <cell r="G1074" t="str">
            <v>Sells classified advertising such as recruitment, automotive and real estate that may appear in print and/or online media outlets | Advises customers on the effective use and costs/benefits of line vs. display classified ads | Ensures that advertisements are entered correctly to ensure correct placement and pricing</v>
          </cell>
        </row>
        <row r="1075">
          <cell r="E1075" t="str">
            <v>CSM700</v>
          </cell>
          <cell r="G1075" t="str">
            <v>Executes programmatic advertising sales campaigns and builds pipeline of opportunities engaging with relevant programmatic buyers | Works with product teams and suppliers to construct and develop programmatic advertising proposals across multiple online platforms and digital products, utilizing a combination of real-time bidding, direct impression buying and/or exchanges | Follows spend and KPIs to monitor performance, plan future strategy and competitive scenarios | Builds and manages customer data segments in order to forecast and maximize programmatic digital sales revenue</v>
          </cell>
        </row>
        <row r="1076">
          <cell r="E1076" t="str">
            <v>CSM999</v>
          </cell>
          <cell r="G1076" t="str">
            <v>Responsibilities are within the Advertising Sales and Account Management Function but are not described in other Discipline summaries</v>
          </cell>
        </row>
        <row r="1077">
          <cell r="E1077" t="str">
            <v>CSN</v>
          </cell>
          <cell r="G1077" t="str">
            <v>Focuses exclusively on new business/new account acquisition. Develops prospects through individual efforts and by participating in organization-sponsored events and campaigns. Promotes and sells solutions to new customers at all levels, especially the senior executive level. Leads the acquisition of new, high-profile clients and focuses on winning large deals for meeting revenue and profit objectives.</v>
          </cell>
        </row>
        <row r="1078">
          <cell r="E1078" t="str">
            <v>CSN</v>
          </cell>
          <cell r="G1078" t="str">
            <v>M (Supervisory/Management)</v>
          </cell>
        </row>
        <row r="1079">
          <cell r="E1079" t="str">
            <v>CSN</v>
          </cell>
          <cell r="G1079" t="str">
            <v>S (Customer/Client Management and Sales)</v>
          </cell>
        </row>
        <row r="1080">
          <cell r="E1080" t="str">
            <v>CSN000</v>
          </cell>
          <cell r="G1080" t="str">
            <v>Promotes and sells products and/or services and solutions to new customers at all levels | Prospects for new accounts, secures appointments, determines needs, delivers sales presentations, negotiates terms and conditions, overcomes objections and closes sales | Develops strategies focused on expanding client base within defined market segments | Produces new account revenue in line with current organization and individual targets/quotas | Responsibilities are within the New Account Acquisition Sales Function as a generalist or in a combination of Disciplines</v>
          </cell>
        </row>
        <row r="1081">
          <cell r="E1081" t="str">
            <v>CSN999</v>
          </cell>
          <cell r="G1081" t="str">
            <v>Responsibilities are within the New Account Acquisition Sales Function but are not described in other Discipline summaries</v>
          </cell>
        </row>
        <row r="1082">
          <cell r="E1082" t="str">
            <v>CSO</v>
          </cell>
          <cell r="G1082" t="str">
            <v>Performs retail store/site functions in a physical location including selling the organizations' products/services, servicing customers, preventing losses, maintaining physical space and providing back office/stockroom support. Facilitates omnichannel sales and fulfillment. Incumbents may work in a showroom where products are showcased and available for inspection but purchased online rather than at the physical location.</v>
          </cell>
        </row>
        <row r="1083">
          <cell r="E1083" t="str">
            <v>CSO</v>
          </cell>
          <cell r="G1083" t="str">
            <v>Match store/site managers to RSM-Retail Store Management Function.</v>
          </cell>
        </row>
        <row r="1084">
          <cell r="E1084" t="str">
            <v>CSO</v>
          </cell>
          <cell r="G1084" t="str">
            <v>Match section managers, department managers and assistant managers with primary responsibility for floor operations to the appropriate discipline in this function.</v>
          </cell>
        </row>
        <row r="1085">
          <cell r="E1085" t="str">
            <v>CSO</v>
          </cell>
          <cell r="G1085" t="str">
            <v>Match incumbents who spend a majority of their time performing store/site operations activities to ensure customers have a positive experience and a limited amount of time selling products and services to the Business Support (U) Career Band. Any sales activity is incidental to providing customer service.</v>
          </cell>
        </row>
        <row r="1086">
          <cell r="E1086" t="str">
            <v>CSO</v>
          </cell>
          <cell r="G1086" t="str">
            <v>Match professional store sales incumbents (typically university trained) to the Customer/Client Management and Sales (S) Career Band. Selling typically requires specialized knowledge of product area gain either on the job or through formal training. Match incumbents who spend a majority of their time selling products and services and engage in limited retail operations activities (stocking, cashiering) to the Customer/Client Management and Sales Career Band Sales (S) Career Band. Incumbents' compensation is primarily commission-based (either commission-only or a combination of commission and salary).</v>
          </cell>
        </row>
        <row r="1087">
          <cell r="E1087" t="str">
            <v>CSO</v>
          </cell>
          <cell r="G1087" t="str">
            <v>The Production/Manual Labor Career Band (W) is typically only applicable to the CSO110-Retail Stockroom Discipline.</v>
          </cell>
        </row>
        <row r="1088">
          <cell r="E1088" t="str">
            <v>CSO</v>
          </cell>
          <cell r="G1088" t="str">
            <v>Match incumbents who sell directly to end customers outside of a physical retail store/site (via phone, text messages, emails, chat rooms, webinars and other forms of digital communication) to the appropriate discipline in the CTS-Remote Sales Function.</v>
          </cell>
        </row>
        <row r="1089">
          <cell r="E1089" t="str">
            <v>CSO</v>
          </cell>
          <cell r="G1089" t="str">
            <v>Match incumbents applying technical skills such as tailoring, make-up artistry, food preparation, compounding and dispensing pharmacy medication to RST-Retail Operations Technical Specialty.</v>
          </cell>
        </row>
        <row r="1090">
          <cell r="E1090" t="str">
            <v>CSO</v>
          </cell>
          <cell r="G1090" t="str">
            <v>M (Supervisory/Management)</v>
          </cell>
        </row>
        <row r="1091">
          <cell r="E1091" t="str">
            <v>CSO</v>
          </cell>
          <cell r="G1091" t="str">
            <v>S (Customer/Client Management and Sales)</v>
          </cell>
        </row>
        <row r="1092">
          <cell r="E1092" t="str">
            <v>CSO</v>
          </cell>
          <cell r="G1092" t="str">
            <v>U (Business Support)</v>
          </cell>
        </row>
        <row r="1093">
          <cell r="E1093" t="str">
            <v>CSO</v>
          </cell>
          <cell r="G1093" t="str">
            <v>W (Production/Manual Labor) (for CSO110 only)</v>
          </cell>
        </row>
        <row r="1094">
          <cell r="E1094" t="str">
            <v>CSO000</v>
          </cell>
          <cell r="G1094" t="str">
            <v>Sells general merchandise products and/or services across multiple categories in a retail store/site; may assist with placing order online if a product is not available at the store/site | Interacts with customers and sales support employees to maximize revenue generation and enhance the customer experience | Assists and educates customers about sales offerings, including selection and purchase of merchandise, using a broad familiarity with the organization's policies, products and/or services | May perform store/site-level support functions, including stocking, customer service, scheduling, day-to-day operations, cashiering, loss prevention, maintenance and back office support | Responsibilities are within the Retail Store Sales and Operations Function as a generalist or in a combination of Disciplines</v>
          </cell>
        </row>
        <row r="1095">
          <cell r="E1095" t="str">
            <v>CSO000</v>
          </cell>
          <cell r="G1095" t="str">
            <v>Match incumbents who sell a full range of consumer electronics (e.g., TVs, music players, mobile devices) to the CSO030-Retail Store Sales and Operations - Consumer Electronics and Appliances Discipline.</v>
          </cell>
        </row>
        <row r="1096">
          <cell r="E1096" t="str">
            <v>CSO000</v>
          </cell>
          <cell r="G1096" t="str">
            <v>Match incumbents who only sell mobile devices and related services (e.g., contracted voice and data services) and accessories to CSO070-Retail Sales and Operations - Mobile Devices and Services Discipline.</v>
          </cell>
        </row>
        <row r="1097">
          <cell r="E1097" t="str">
            <v>CSO010</v>
          </cell>
          <cell r="G1097" t="str">
            <v>Sells apparel, accessories, footwear and leather goods and related services (styling, personal shopping, tailoring, customization, post-sale services) in a retail store/site; may assist with placing order online if a product is not available at the store/site | Interacts with customers and sales support employees to maximize revenue generation and enhance the customer experience | Assists and educates customers about sales offerings, including selection and purchase of merchandise, using a broad familiarity with the organization's policies, products and/or services | May perform store-level support functions, including stocking, customer service, scheduling, day-to-day operations, cashiering, loss prevention, maintenance and back office support</v>
          </cell>
        </row>
        <row r="1098">
          <cell r="E1098" t="str">
            <v>CSO020</v>
          </cell>
          <cell r="G1098" t="str">
            <v>Sells beauty (e.g., perfumes and cosmetics), health and personal care products and related services in a retail store/site; may assist with placing order online if a product is not available at the store/site | Interacts with customers and sales support employees to maximize revenue generation and enhance the customer experience | Assists and educates customers about sales offerings, including selection and purchase of merchandise, using a broad familiarity with the organization's policies, products and/or services | May perform store-level support functions, including stocking, customer service, scheduling, day-to-day operations, cashiering, loss prevention, maintenance and back office support | Conducts marketing events and coordinates with make-up artists as appropriate | Typically maintains and reorders promotional stock</v>
          </cell>
        </row>
        <row r="1099">
          <cell r="E1099" t="str">
            <v>CSO030</v>
          </cell>
          <cell r="G1099" t="str">
            <v>Sells consumer electronics and appliances in a retail store/site and related services (repair, maintenance, financing, warranty); may assist with placing order online if a product is not available at the store/site | Interacts with customers and sales support employees to maximize revenue generation and enhance the customer experience | Assists and educates customers about sales offerings, including selection and purchase of merchandise, using a broad familiarity with the organization's policies, products and/or services | May perform store-level support functions, including stocking, customer service, scheduling, day-to-day operations, cashiering, loss prevention, maintenance and back office support</v>
          </cell>
        </row>
        <row r="1100">
          <cell r="E1100" t="str">
            <v>CSO040</v>
          </cell>
          <cell r="G1100" t="str">
            <v>Sells groceries, wine and/or spirits in a retail store/site | Interacts with customers and sales support employees to maximize revenue generation and enhance the customer experience | Assists and educates customers about sales offerings, including selection and purchase of merchandise, using a broad familiarity with the organization's policies, products and/or services | Applies knowledge of shelf-life, storage requirements, restocking and other produce requirements to maintain high standards in produce quality, variety, selection, food safety and sanitation | May perform store-level support functions, including stocking, customer service, scheduling, day-to-day operations, cashiering, loss prevention, maintenance and back office support</v>
          </cell>
        </row>
        <row r="1101">
          <cell r="E1101" t="str">
            <v>CSO050</v>
          </cell>
          <cell r="G1101" t="str">
            <v>Sells home and DIY products (houseware, furniture) and related services (installation, design advice) in a retail store/site or at a customer's home; may assist with placing order online if a product is not available at the store/site | Interacts with customers and sales support employees to maximize revenue generation and enhance the customer experience | Assists and educates customers about sales offerings, including selection and purchase of merchandise, using a broad familiarity with the organization's policies, products and/or services | May perform store-level support functions, including stocking, customer service, scheduling, day-to-day operations, cashiering, loss prevention, maintenance and back office support</v>
          </cell>
        </row>
        <row r="1102">
          <cell r="E1102" t="str">
            <v>CSO060</v>
          </cell>
          <cell r="G1102" t="str">
            <v>Sells jewelry and watches and related services (styling, personal shopping, repairs, maintenance) in a retail store/site; may assist with placing order online if a product is not available at the store/site | Interacts with customers and sales support employees to maximize revenue generation and enhance the customer experience | Assists and educates customers about sales offerings, including selection and purchase of merchandise, using a broad familiarity with the organization's policies, products and/or services | May perform store-level support functions, including stocking, customer service, scheduling, day-to-day operations, cashiering, loss prevention, maintenance and back office support</v>
          </cell>
        </row>
        <row r="1103">
          <cell r="E1103" t="str">
            <v>CSO070</v>
          </cell>
          <cell r="G1103" t="str">
            <v>Sells mobile devices and related products and services in a retail store/site; may assist with placing order online if a product is not available at the store/site | Communicates warranty information, return, replacement and upgrade policies | Interacts with customers and sales support employees to maximize revenue generation and enhance the customer experience | Assists and educates customers about sales offerings, including selection and purchase of merchandise, using a broad familiarity with the organization's policies, products and/or services | May perform store-level support functions, including stocking, customer service, scheduling, day-to-day operations, cashiering, loss prevention, maintenance and back office support</v>
          </cell>
        </row>
        <row r="1104">
          <cell r="E1104" t="str">
            <v>CSO070</v>
          </cell>
          <cell r="G1104" t="str">
            <v>Match incumbents who only sell mobile devices and related services (e.g., contracted voice and data services) and accessories to this discipline.</v>
          </cell>
        </row>
        <row r="1105">
          <cell r="E1105" t="str">
            <v>CSO070</v>
          </cell>
          <cell r="G1105" t="str">
            <v>Match incumbents who sell a full range of consumer electronics (e.g., TVs, music players as well as mobile devices) to CSO030-Retail Store Sales and Operations - Consumer Electronics and Appliances Discipline.</v>
          </cell>
        </row>
        <row r="1106">
          <cell r="E1106" t="str">
            <v>CSO080</v>
          </cell>
          <cell r="G1106" t="str">
            <v>Sells services (e.g., car rental, travel, hospitality ,and entertainment services) in a retail store/site | Interacts with customers and sales support employees to maximize revenue generation and enhance the customer experience | Assists and educates customers about sales offerings, including selection and purchase of merchandise, using a broad familiarity with the organization's policies, products and/or services</v>
          </cell>
        </row>
        <row r="1107">
          <cell r="E1107" t="str">
            <v>CSO090</v>
          </cell>
          <cell r="G1107" t="str">
            <v>Sells vehicles, automotive vehicular parts/accessories and related services in a retail store/site; may assist with placing order online if a product is not available at the store/site | Communicates additional services (repair, maintenance, financing, warranty) provided or sold | Interacts with customers and sales support employees to maximize revenue generation and enhance the customer experience | Assists and educates customers about sales offerings, including selection and purchase of merchandise, using a broad familiarity with the organization's policies, products and/or services | May perform store-level support functions, including stocking, customer service, scheduling, day-to-day operations, cashiering, loss prevention, maintenance and back office support</v>
          </cell>
        </row>
        <row r="1108">
          <cell r="E1108" t="str">
            <v>CSO100</v>
          </cell>
          <cell r="G1108" t="str">
            <v>Receives funds from customers and records cash and credit/debit card sales transactions | Counts money, issues change, operates a register and/or scanner to capture product and price information, balances register/account receipts and determines sales tax | May also handle returns/exchanges and restock unwanted merchandise</v>
          </cell>
        </row>
        <row r="1109">
          <cell r="E1109" t="str">
            <v>CSO100</v>
          </cell>
          <cell r="G1109" t="str">
            <v>Match incumbents whose responsibilities are exclusively cashiering to this discipline. Match incumbents who perform other activities in addition to cashiering to another discipline in this function.</v>
          </cell>
        </row>
        <row r="1110">
          <cell r="E1110" t="str">
            <v>CSO110</v>
          </cell>
          <cell r="G1110" t="str">
            <v>Maintains established inventory levels on store shelves by locating stock in the warehouse or stockroom and delivering items to the sales floor | Assists truck drivers making deliveries, including checking in and counting merchandise received and directing the merchandise to the proper location | Ensures that products are easily accessible, visually appealing and constantly available | Contacts approved vendors to reorder supplies and reviews order forms for proper coding, quantities requested and authorized approvals | May participate in periodic inventory audits</v>
          </cell>
        </row>
        <row r="1111">
          <cell r="E1111" t="str">
            <v>CSO110</v>
          </cell>
          <cell r="G1111" t="str">
            <v>Match incumbents who work exclusively in the stockroom to this discipline. Match incumbents who perform other activities in additional to stockroom activities to another discipline in this function.</v>
          </cell>
        </row>
        <row r="1112">
          <cell r="E1112" t="str">
            <v>CSO999</v>
          </cell>
          <cell r="G1112" t="str">
            <v>Responsibilities are within the Retail Store Sales and Operations Function but are not described in other Discipline summaries</v>
          </cell>
        </row>
        <row r="1113">
          <cell r="E1113" t="str">
            <v>CSP</v>
          </cell>
          <cell r="G1113" t="str">
            <v>Responsible for sales of licenses to either the organization's program content and/or the organization's network(s) to other operators, providers and/or stations. Licenses the organization's repertoire of programs to third parties to maximize sales revenue. Monitors and analyzes the marketplace to identify new syndication opportunities. Network affiliate sales are responsible for securing distribution for the organization's networks by sourcing, negotiating and executing/overseeing agreements and distribution deals with broadcast, cable, satellite, IP and other providers. Builds and maintains relationships with affiliated stations (broadcast networks) or cable system operators and others (cable networks).</v>
          </cell>
        </row>
        <row r="1114">
          <cell r="E1114" t="str">
            <v>CSP</v>
          </cell>
          <cell r="G1114" t="str">
            <v>Match incumbents responsible for acquiring (i.e., licensing in) programs and recordings from third parties to the MPC040-Media Content Acquisitions Discipline in the MPC-Media Programming Function.</v>
          </cell>
        </row>
        <row r="1115">
          <cell r="E1115" t="str">
            <v>CSP</v>
          </cell>
          <cell r="G1115" t="str">
            <v>Match incumbents responsible for acquiring (i.e., licensing in) short clips to the MBL030-Media Rights Management Discipline in the MBL-Media Business Affairs Function.</v>
          </cell>
        </row>
        <row r="1116">
          <cell r="E1116" t="str">
            <v>CSP</v>
          </cell>
          <cell r="G1116" t="str">
            <v>Match incumbents responsible for advertising sales for broadcast, print and/or online media, including syndication barter advertising sales, to the appropriate discipline in the CSM-Advertising Sales and Account Management Function.</v>
          </cell>
        </row>
        <row r="1117">
          <cell r="E1117" t="str">
            <v>CSP</v>
          </cell>
          <cell r="G1117" t="str">
            <v>Note: The EX Career Band is not applicable in North America. Executives are collected as Executive Benchmarks in North America's Executive Surveys.</v>
          </cell>
        </row>
        <row r="1118">
          <cell r="E1118" t="str">
            <v>CSP</v>
          </cell>
          <cell r="G1118" t="str">
            <v>EX (Executive)</v>
          </cell>
        </row>
        <row r="1119">
          <cell r="E1119" t="str">
            <v>CSP</v>
          </cell>
          <cell r="G1119" t="str">
            <v>M (Supervisory/Management)</v>
          </cell>
        </row>
        <row r="1120">
          <cell r="E1120" t="str">
            <v>CSP</v>
          </cell>
          <cell r="G1120" t="str">
            <v>S (Customer/Client Management and Sales)</v>
          </cell>
        </row>
        <row r="1121">
          <cell r="E1121" t="str">
            <v>CSP000</v>
          </cell>
          <cell r="G1121" t="str">
            <v>Sells licenses to program content and network(s) (i.e., recruits new network affiliates) to expand distribution for the organization's program content and networks on a national or international basis</v>
          </cell>
        </row>
        <row r="1122">
          <cell r="E1122" t="str">
            <v>CSP010</v>
          </cell>
          <cell r="G1122" t="str">
            <v>Licenses repertoire of content, including syndicated programs, to television stations or other third parties to maximize revenue | Designs, develops and implements licensing agreements and/or marketing programs | Analyzes and monitors the marketplace to identify new syndication opportunities (e.g., joint ventures) | Manages the end-to-end licensing/partnership process | Works to achieve station clearances (i.e., when a station clears time for programming) to maximize program audiences</v>
          </cell>
        </row>
        <row r="1123">
          <cell r="E1123" t="str">
            <v>CSP020</v>
          </cell>
          <cell r="G1123" t="str">
            <v>Sells network carriage agreements to cable or satellite operators, TV stations and/or other providers | Negotiates distribution deals and builds relationships with clients | May specialize in overall network sales or sales within a specific country, territory or other client list or an area of the network</v>
          </cell>
        </row>
        <row r="1124">
          <cell r="E1124" t="str">
            <v>CSP999</v>
          </cell>
          <cell r="G1124" t="str">
            <v>Responsibilities are within the Program/Affiliate Licensing Sales and Account Management Function but are not described in other Discipline summaries</v>
          </cell>
        </row>
        <row r="1125">
          <cell r="E1125" t="str">
            <v>CSR</v>
          </cell>
          <cell r="G1125" t="str">
            <v>Sells products and/or services directly to customers on the store's sales floor. Typically sells one or more categories of merchandise.</v>
          </cell>
        </row>
        <row r="1126">
          <cell r="E1126" t="str">
            <v>CSR</v>
          </cell>
          <cell r="G1126" t="str">
            <v>S (Customer/Client Management and Sales)</v>
          </cell>
        </row>
        <row r="1127">
          <cell r="E1127" t="str">
            <v>CSR</v>
          </cell>
          <cell r="G1127" t="str">
            <v>U (Business Support)</v>
          </cell>
        </row>
        <row r="1128">
          <cell r="E1128" t="str">
            <v>CSR150</v>
          </cell>
          <cell r="G1128" t="str">
            <v>Sells automotive parts, accessories and related services in a retail store</v>
          </cell>
        </row>
        <row r="1129">
          <cell r="E1129" t="str">
            <v>CTS</v>
          </cell>
          <cell r="G1129" t="str">
            <v>Initiates and answers inbound and/or outbound contact (via phone, text messages, emails, chat rooms, webinars and other forms of digital communication) directly from/to prospective and/or existing customers. Responds to customer questions and takes orders. Builds rapport with customers by probing for needs and recommending appropriate solutions. Achieves monthly, quarterly and annual sales objectives while ensuring optimum customer experience and satisfaction.</v>
          </cell>
        </row>
        <row r="1130">
          <cell r="E1130" t="str">
            <v>CTS</v>
          </cell>
          <cell r="G1130" t="str">
            <v>Alternative titles are Telemarketer, Inside Sales Representative.</v>
          </cell>
        </row>
        <row r="1131">
          <cell r="E1131" t="str">
            <v>CTS</v>
          </cell>
          <cell r="G1131" t="str">
            <v>Match incumbents responsible for post-sales nontechnical support in a telephone or contact center to the AMS-Customer Support/Operations Function.</v>
          </cell>
        </row>
        <row r="1132">
          <cell r="E1132" t="str">
            <v>CTS</v>
          </cell>
          <cell r="G1132" t="str">
            <v>Match incumbents responsible for post-sales technical support in a telephone or contact center to the AMT-Technical Customer Support Function.</v>
          </cell>
        </row>
        <row r="1133">
          <cell r="E1133" t="str">
            <v>CTS</v>
          </cell>
          <cell r="G1133" t="str">
            <v>Match Outside Sales Representatives to the CSD-Direct Sales Function.</v>
          </cell>
        </row>
        <row r="1134">
          <cell r="E1134" t="str">
            <v>CTS</v>
          </cell>
          <cell r="G1134" t="str">
            <v>Match professional telesales/remote sales incumbents (typically university trained) to the Customer/Client Management and Sales Career Band.</v>
          </cell>
        </row>
        <row r="1135">
          <cell r="E1135" t="str">
            <v>CTS</v>
          </cell>
          <cell r="G1135" t="str">
            <v>Match vocationally trained telesales/remote sales incumbents to the Business Support Career Band.</v>
          </cell>
        </row>
        <row r="1136">
          <cell r="E1136" t="str">
            <v>CTS</v>
          </cell>
          <cell r="G1136" t="str">
            <v>M (Supervisory/Management)</v>
          </cell>
        </row>
        <row r="1137">
          <cell r="E1137" t="str">
            <v>CTS</v>
          </cell>
          <cell r="G1137" t="str">
            <v>S (Customer/Client Management and Sales)</v>
          </cell>
        </row>
        <row r="1138">
          <cell r="E1138" t="str">
            <v>CTS</v>
          </cell>
          <cell r="G1138" t="str">
            <v>U (Business Support)</v>
          </cell>
        </row>
        <row r="1139">
          <cell r="E1139" t="str">
            <v>CTS000</v>
          </cell>
          <cell r="G1139" t="str">
            <v>Initiates and answers inbound and/or outbound sales contact directly from/to prospective and/or existing customers | Accepts orders, closes sales, maintains customer records and completes required documentation | Identifies and qualifies prospective customers and records sales prospecting activity in computer-based tracking systems | May have an assigned product line that may overlap other sales teams' territories | May have an individual or team sales quota and is likely to have a target earnings bonus or sales incentive opportunity</v>
          </cell>
        </row>
        <row r="1140">
          <cell r="E1140" t="str">
            <v>CTS010</v>
          </cell>
          <cell r="G1140" t="str">
            <v>Responds to inbound customer contact regarding product and service information and identifies upselling opportunities from such contact | Accepts orders, closes sales, maintains customer records and completes required documentation | Identifies and qualifies prospective customers and records sales prospecting activity in computer-based tracking systems | May have an assigned product line that may overlap other sales teams' territories | May have an individual or team sales quota and is likely to have a target earnings bonus or sales incentive opportunity</v>
          </cell>
        </row>
        <row r="1141">
          <cell r="E1141" t="str">
            <v>CTS020</v>
          </cell>
          <cell r="G1141" t="str">
            <v>Makes outbound sales contact (including cold calling) and pursues sales leads to develop a portfolio of buying customers | Accepts orders, closes sales, maintains customer records and completes required documentation | Identifies and qualifies prospective customers and records sales prospecting activity in computer-based tracking systems | May have an assigned product line that may overlap other sales teams' territories | May have an individual or team sales quota and is likely to have a target earnings bonus or sales incentive opportunity</v>
          </cell>
        </row>
        <row r="1142">
          <cell r="E1142" t="str">
            <v>CTS200</v>
          </cell>
          <cell r="G1142" t="str">
            <v>Contacts licensees and resellers to secure software license renewals for existing customers | Up-sells the organization's products/services while negotiating and closing license contracts | Identifies and transfers new business leads to account management teams | Coordinates all phases of the renewal cycle from initiating preparation and delivery of renewal paperwork to customers through ensuring that renewal is complete | Responds to customer questions and requirements related to contracts, pricing and additional features/options</v>
          </cell>
        </row>
        <row r="1143">
          <cell r="E1143" t="str">
            <v>CTS300</v>
          </cell>
          <cell r="G1143" t="str">
            <v>Initiates and answers inbound and/or outbound sales contact directly from/to prospective and/or existing customers | Provides styling advice and assists in the preparation of product range/combinations for proposal, ensuring all products reflect the customer's needs | Accepts orders, closes sales, maintains customer records and completes required documentation | Identifies and qualifies prospective customers and records sales prospecting activity in computer-based tracking systems | May have an assigned product line that may overlap other sales teams' territories | May have an individual or team sales quota and is likely to have a target earnings bonus or sales incentive opportunity</v>
          </cell>
        </row>
        <row r="1144">
          <cell r="E1144" t="str">
            <v>CTS999</v>
          </cell>
          <cell r="G1144" t="str">
            <v>Responsibilities are within the Remote Sales Function but are not described in other Discipline summaries</v>
          </cell>
        </row>
        <row r="1145">
          <cell r="E1145" t="str">
            <v>CUS</v>
          </cell>
          <cell r="G1145" t="str">
            <v>Supports sales representatives and channel partners in administrative areas such as order processing, sales quotes, sales information management, product training and financing. Tracks transactions and prepares reports regarding information such as order status, sales results, leads, sales quotas and sales representative earnings.</v>
          </cell>
        </row>
        <row r="1146">
          <cell r="E1146" t="str">
            <v>CUS</v>
          </cell>
          <cell r="G1146" t="str">
            <v>Match incumbents responsible for business technical training (excluding IT training) to the AHR134-Technical Training Discipline in the AHR-Human Resources Function.</v>
          </cell>
        </row>
        <row r="1147">
          <cell r="E1147" t="str">
            <v>CUS</v>
          </cell>
          <cell r="G1147" t="str">
            <v>Match incumbents responsible for delivering technical product training to customers to the CUT040-Technical/Product Training Discipline in the CUT-Technical Sales Support Function.</v>
          </cell>
        </row>
        <row r="1148">
          <cell r="E1148" t="str">
            <v>CUS</v>
          </cell>
          <cell r="G1148" t="str">
            <v>Match incumbents responsible for sales compensation to the AHR050-Compensation - Sales Compensation Discipline in the AHR-Human Resources Function.</v>
          </cell>
        </row>
        <row r="1149">
          <cell r="E1149" t="str">
            <v>CUS</v>
          </cell>
          <cell r="G1149" t="str">
            <v>Match incumbents who provide business development support to this function.</v>
          </cell>
        </row>
        <row r="1150">
          <cell r="E1150" t="str">
            <v>CUS</v>
          </cell>
          <cell r="G1150" t="str">
            <v>This function focuses on supporting sales personnel on nontechnical matters. Incumbents that support customers are located in the AMS-Customer Support/Operations and AMT-Technical Customer Support Functions.</v>
          </cell>
        </row>
        <row r="1151">
          <cell r="E1151" t="str">
            <v>CUS</v>
          </cell>
          <cell r="G1151" t="str">
            <v>This Function focuses on supporting sales personnel on nontechnical matters. Incumbents that support customers are located in the AMS-Customer Support/Operations and AMT-Technical Customer Support Functions. Match incumbents responsible for providing technical support to sales personnel to the CUT-Technical Sales Support Function.</v>
          </cell>
        </row>
        <row r="1152">
          <cell r="E1152" t="str">
            <v>CUS</v>
          </cell>
          <cell r="G1152" t="str">
            <v>This Function focuses on supporting sales personnel on nontechnical matters. Incumbents that support customers are located in the AMS-Customer Support/Operations Function.</v>
          </cell>
        </row>
        <row r="1153">
          <cell r="E1153" t="str">
            <v>CUS</v>
          </cell>
          <cell r="G1153" t="str">
            <v>Note: The EX Career Band is not applicable in North America. Executives are collected as Executive Benchmarks in North America's Executive Surveys.</v>
          </cell>
        </row>
        <row r="1154">
          <cell r="E1154" t="str">
            <v>CUS</v>
          </cell>
          <cell r="G1154" t="str">
            <v>EX (Executive)</v>
          </cell>
        </row>
        <row r="1155">
          <cell r="E1155" t="str">
            <v>CUS</v>
          </cell>
          <cell r="G1155" t="str">
            <v>M (Supervisory/Management)</v>
          </cell>
        </row>
        <row r="1156">
          <cell r="E1156" t="str">
            <v>CUS</v>
          </cell>
          <cell r="G1156" t="str">
            <v>P (Professional)</v>
          </cell>
        </row>
        <row r="1157">
          <cell r="E1157" t="str">
            <v>CUS</v>
          </cell>
          <cell r="G1157" t="str">
            <v>U (Business Support)</v>
          </cell>
        </row>
        <row r="1158">
          <cell r="E1158" t="str">
            <v>CUS000</v>
          </cell>
          <cell r="G1158" t="str">
            <v>Supports sales representatives and channel partners in administrative areas such as order processing, customer quotes, sales information management, product training and financing | Responsibilities are within the Sales Support and Administration Function as a generalist or in a combination of Disciplines</v>
          </cell>
        </row>
        <row r="1159">
          <cell r="E1159" t="str">
            <v>CUS010</v>
          </cell>
          <cell r="G1159" t="str">
            <v>Develops, plans and conducts training on techniques for selling the organization's products and/or services for sales representatives and reseller partners | Designs training classes and training materials and prepares documentation | Conducts sales training needs assessments and analyzes employee training needs to determine requirements for new program development | Monitors and evaluates sales training programs, assesses results and implements enhancements as needed to ensure effectiveness of programs</v>
          </cell>
        </row>
        <row r="1160">
          <cell r="E1160" t="str">
            <v>CUS015</v>
          </cell>
          <cell r="G1160" t="str">
            <v>Provides analytical support using syndicated and internal data on distribution, merchandising and promotion opportunities for a specified product or product category | Prepares, analyzes and presents category action plans and delivers analytical reports to help the management team understand business dynamics | Maintains information of sales activities that support sales performance metrics and sales process improvement | Likely to have knowledge of syndicated data, space management, graphics, spreadsheets, planograms and other category management tools</v>
          </cell>
        </row>
        <row r="1161">
          <cell r="E1161" t="str">
            <v>CUS020</v>
          </cell>
          <cell r="G1161" t="str">
            <v>Negotiates terms and financial structures of the organization's leasing and other financing services for customers | Coordinates the completion of all necessary documentation for the financing arrangement</v>
          </cell>
        </row>
        <row r="1162">
          <cell r="E1162" t="str">
            <v>CUS030</v>
          </cell>
          <cell r="G1162" t="str">
            <v>Prepares and analyzes sales forecasts and results reports and presentations, including analyses of variances vs. budget forecasts | Supports periodic sales revenue target setting and forecasting and may conduct research to estimate market demand | Supports sales teams in preparing and evaluating deal scenarios and contract terms | Collaborates with sales, IT and finance to develop, create and maintain reporting requirements and ensure that the revenue recognition and forecasting systems provide accurate and timely data | May track sales vs. quota information to determine commissions</v>
          </cell>
        </row>
        <row r="1163">
          <cell r="E1163" t="str">
            <v>CUS040</v>
          </cell>
          <cell r="G1163" t="str">
            <v>Works with Sales Management, Sales Training, Sales Planning, Sales Compensation, Marketing and other parts of the business to promote sales excellence through various means, including metrics management, analyses of sales results, customer segmentation and targeting and coaching | May be involved in the design and implementation of the activity statements of the Representatives and design of sales incentives plans</v>
          </cell>
        </row>
        <row r="1164">
          <cell r="E1164" t="str">
            <v>CUS060</v>
          </cell>
          <cell r="G1164" t="str">
            <v>Provides operational support to sales management | Plans and coordinates projects to improve the operational efficiency and effectiveness of the sales force | Develops processes and procedures to support the sales process and participates in the development of requirements for sales support systems | Maintains information of sales activities that support sales performance metrics and sales process improvement</v>
          </cell>
        </row>
        <row r="1165">
          <cell r="E1165" t="str">
            <v>CUS700</v>
          </cell>
          <cell r="G1165" t="str">
            <v>Supports periodic advertising sales revenue target setting and forecasting and may conduct research to estimate market demand | Compiles and maintains inventory and revenue reports to track unsold, available advertising slots and maximize sales revenue | Prepares and analyzes reports and presentations on advertising sales forecasts and results, including analyses of variances vs. budget forecasts | Tracks advertising sales order transactions and prepares reports regarding information such as leads, sales results vs. quotas, order status and advertising sales representative commissions | Develops sales quotes for potential customers</v>
          </cell>
        </row>
        <row r="1166">
          <cell r="E1166" t="str">
            <v>CUS710</v>
          </cell>
          <cell r="G1166" t="str">
            <v>Schedules advertisements for breaks within and/or between programs | Sequences breaks and sends final schedules/sequenced breaks to transmission | Checks compliance with industry regulations | Manages the advertising traffic and scheduling computerized system</v>
          </cell>
        </row>
        <row r="1167">
          <cell r="E1167" t="str">
            <v>CUS720</v>
          </cell>
          <cell r="G1167" t="str">
            <v>Supports advertising sales account managers with data driven insights that demonstrate the value of the organization's media outlets | Analyzes audience demographics and measures (e.g., viewership, readership, site usage, product references, sales coverage, market penetration), market practices and sales trends to support advertising sales efforts | Predicts audience ratings based on trends</v>
          </cell>
        </row>
        <row r="1168">
          <cell r="E1168" t="str">
            <v>CUS740</v>
          </cell>
          <cell r="G1168" t="str">
            <v>Manages efficient collection, collation and analyses of circulation data | Monitors all sales movements and trends in the market for sales of newspapers, magazines or other publications | Analyzes and reports on sales, market share, returns, availability of titles and competitors</v>
          </cell>
        </row>
        <row r="1169">
          <cell r="E1169" t="str">
            <v>CUS750</v>
          </cell>
          <cell r="G1169" t="str">
            <v>Coordinates logistics of single-copy distribution | Ensures that all single-copy orders are distributed on time</v>
          </cell>
        </row>
        <row r="1170">
          <cell r="E1170" t="str">
            <v>CUS900</v>
          </cell>
          <cell r="G1170" t="str">
            <v>Inspects used vehicles to determine age, mileage and condition to ascertain the residual market value | Researches and analyzes used vehicle sales data to determine current residual market values | Supports vehicle remarketing sales and dispositions through various channels, including auction, open market resales or existing customers | Develops reports, plans and analyses of used vehicle inventories and resale proceeds</v>
          </cell>
        </row>
        <row r="1171">
          <cell r="E1171" t="str">
            <v>CUS999</v>
          </cell>
          <cell r="G1171" t="str">
            <v>Responsibilities are within the Sales Support and Administration Function but are not described in other Discipline summaries</v>
          </cell>
        </row>
        <row r="1172">
          <cell r="E1172" t="str">
            <v>CUT</v>
          </cell>
          <cell r="G1172" t="str">
            <v>Provides technical knowledge, advice and support to sales representatives, resellers and customers during the sales process to resolve requests regarding product/service technical issues and to maximize the benefits derived from the organization's products and/or services.</v>
          </cell>
        </row>
        <row r="1173">
          <cell r="E1173" t="str">
            <v>CUT</v>
          </cell>
          <cell r="G1173" t="str">
            <v>Incumbents matched to the AMT-Technical Customer Support Function provide post-sales technical problem resolution and maintenance services to customers. Match incumbents who provide technical support to sales representatives, resellers and customers during the sales process to the CUT000-Technical Sales Support Generalist/Multidiscipline code.</v>
          </cell>
        </row>
        <row r="1174">
          <cell r="E1174" t="str">
            <v>CUT</v>
          </cell>
          <cell r="G1174" t="str">
            <v>Match incumbents responsible for business technical training (excluding IT training) to the AHR134-Technical Training Discipline in the AHR-Human Resources Function.</v>
          </cell>
        </row>
        <row r="1175">
          <cell r="E1175" t="str">
            <v>CUT</v>
          </cell>
          <cell r="G1175" t="str">
            <v>Match incumbents responsible for training the organization's own employees on information technology to the AIT080-IT Training/Documentation Discipline in the AIT-IT Administration Function.</v>
          </cell>
        </row>
        <row r="1176">
          <cell r="E1176" t="str">
            <v>CUT</v>
          </cell>
          <cell r="G1176" t="str">
            <v>Match incumbents responsible for training the organization's sales representatives to the CUS010-Sales Training Discipline in the CUS-Sales Support and Administration Function.</v>
          </cell>
        </row>
        <row r="1177">
          <cell r="E1177" t="str">
            <v>CUT</v>
          </cell>
          <cell r="G1177" t="str">
            <v>Note: The EX Career Band is not applicable in North America. Executives are collected as Executive Benchmarks in North America's Executive Surveys.</v>
          </cell>
        </row>
        <row r="1178">
          <cell r="E1178" t="str">
            <v>CUT</v>
          </cell>
          <cell r="G1178" t="str">
            <v>EX (Executive)</v>
          </cell>
        </row>
        <row r="1179">
          <cell r="E1179" t="str">
            <v>CUT</v>
          </cell>
          <cell r="G1179" t="str">
            <v>M (Supervisory/Management)</v>
          </cell>
        </row>
        <row r="1180">
          <cell r="E1180" t="str">
            <v>CUT</v>
          </cell>
          <cell r="G1180" t="str">
            <v>P (Professional)</v>
          </cell>
        </row>
        <row r="1181">
          <cell r="E1181" t="str">
            <v>CUT</v>
          </cell>
          <cell r="G1181" t="str">
            <v>T (Technical Support)</v>
          </cell>
        </row>
        <row r="1182">
          <cell r="E1182" t="str">
            <v>CUT000</v>
          </cell>
          <cell r="G1182" t="str">
            <v>Provides technical expertise to sales representatives, resellers and customers during the sales process | Performs technical sales support at customer sites or on a multiple-site basis | Resolves technical product/service issues | Assists customers during the sales process to maximize the benefits derived from the organization's products and/or services | Responsibilities are within the Technical Sales Support Function as a generalist or in a combination of Disciplines</v>
          </cell>
        </row>
        <row r="1183">
          <cell r="E1183" t="str">
            <v>CUT010</v>
          </cell>
          <cell r="G1183" t="str">
            <v>Provides pre-sales technical expertise to the sales team and customers during the sales process | Provides technical input into bid proposals, projects and technical documents within the sales process and identifies additional sales opportunities with existing customers | Installs and demonstrates the organization's products at customer sites | Collaborates with sales teams to develop and recommend products and services to meet customers' requirements | Maintains up-to-date and comprehensive knowledge of the organization's and competitors' products and/or services</v>
          </cell>
        </row>
        <row r="1184">
          <cell r="E1184" t="str">
            <v>CUT010</v>
          </cell>
          <cell r="G1184" t="str">
            <v>Match incumbents providing support in a showroom environment to this discipline and the Technical Support Career Band.</v>
          </cell>
        </row>
        <row r="1185">
          <cell r="E1185" t="str">
            <v>CUT020</v>
          </cell>
          <cell r="G1185" t="str">
            <v>Assists customers to identify their technical specifications and determine what documentation is required to incorporate the organization's products into customer applications | Prepares engineering drawings, production specifications and schedules, and contract modifications to ensure that customers' technical requirements are met | Develops application notes that clearly describe how the organization's products should be used in the customers' target application | Develops test applications used for testing modules, including customer-specific components</v>
          </cell>
        </row>
        <row r="1186">
          <cell r="E1186" t="str">
            <v>CUT040</v>
          </cell>
          <cell r="G1186" t="str">
            <v>Develops, implements and/or delivers technical training as it relates to the organization's products | Works with product development teams to update training materials and ensure accuracy and effectiveness of courseware and supporting materials to align with new product releases | May provide technical product training to both internal staff (e.g., customer services, engineers, sales staff) and customers</v>
          </cell>
        </row>
        <row r="1187">
          <cell r="E1187" t="str">
            <v>CUT050</v>
          </cell>
          <cell r="G1187" t="str">
            <v>Promotes the sale of chemical, mechanical, electrical or electronic equipment, supplies or services which require professional engineering knowledge | Makes judgments involving complex engineering and economic principles and calculations to persuade potential buyers of the practical value of the product or service | Prepares Financial and operational estimates from blueprints, plans or other records submitted by potential customers and reports customer practices regarding utilization of organization products | Proposes changes in equipment or use of materials which would result in cost reduction or more efficient operation | Has technical experience</v>
          </cell>
        </row>
        <row r="1188">
          <cell r="E1188" t="str">
            <v>CUT200</v>
          </cell>
          <cell r="G1188" t="str">
            <v>Provides primarily pre-sales technical support to the semiconductor sales force and customers' design engineers | Analyzes customer requirements for applications of the organization's products | Assists sales representatives, channel partners and customers on the organization's semiconductor products throughout the development cycle to ensure successful completion of the application | May participate in delivering semiconductor-based product demonstrations to potential customers and/or post-sales technical support or customer training | Participates in semiconductor product proposals preparation and sales follow-up and collaborates with semiconductor product management on sales/marketing strategy and product enhancement</v>
          </cell>
        </row>
        <row r="1189">
          <cell r="E1189" t="str">
            <v>CUT900</v>
          </cell>
          <cell r="G1189" t="str">
            <v>Performs pre-delivery inspections (PDI) to identify defects and damage; investigates the origins of defects and damage | Prepares and maintains vehicle inventory records, including identification of cars with damages and/or defects | Implements relevant policies to ensure conformity with organization and legal requirements</v>
          </cell>
        </row>
        <row r="1190">
          <cell r="E1190" t="str">
            <v>CUT901</v>
          </cell>
          <cell r="G1190" t="str">
            <v>Develops, implements and/or delivers technical training as it relates to the organization's products | Works with product development teams to update training materials and ensure accuracy and effectiveness of courseware and supporting materials to align with new product releases | May provide training to internal staff, e.g., customer services, engineers, sales staff</v>
          </cell>
        </row>
        <row r="1191">
          <cell r="E1191" t="str">
            <v>CUT999</v>
          </cell>
          <cell r="G1191" t="str">
            <v>Responsibilities are within the Technical Sales Support Function but are not described in other Discipline summaries</v>
          </cell>
        </row>
        <row r="1192">
          <cell r="E1192" t="str">
            <v>LAST ROW</v>
          </cell>
          <cell r="G1192" t="str">
            <v>LAST ROW</v>
          </cell>
        </row>
      </sheetData>
      <sheetData sheetId="12">
        <row r="1">
          <cell r="A1" t="str">
            <v>Compatible Job Codes</v>
          </cell>
        </row>
        <row r="2">
          <cell r="A2" t="str">
            <v>AAA-E</v>
          </cell>
        </row>
        <row r="3">
          <cell r="A3" t="str">
            <v>AAB-E</v>
          </cell>
        </row>
        <row r="4">
          <cell r="A4" t="str">
            <v>AAS-M</v>
          </cell>
        </row>
        <row r="5">
          <cell r="A5" t="str">
            <v>AAS-P</v>
          </cell>
        </row>
        <row r="6">
          <cell r="A6" t="str">
            <v>AAS-U</v>
          </cell>
        </row>
        <row r="7">
          <cell r="A7" t="str">
            <v>AAT-M</v>
          </cell>
        </row>
        <row r="8">
          <cell r="A8" t="str">
            <v>AAT-P</v>
          </cell>
        </row>
        <row r="9">
          <cell r="A9" t="str">
            <v>AAT-T</v>
          </cell>
        </row>
        <row r="10">
          <cell r="A10" t="str">
            <v>AAT-U</v>
          </cell>
        </row>
        <row r="11">
          <cell r="A11" t="str">
            <v>AAY-E</v>
          </cell>
        </row>
        <row r="12">
          <cell r="A12" t="str">
            <v>AAY-M</v>
          </cell>
        </row>
        <row r="13">
          <cell r="A13" t="str">
            <v>AAY-P</v>
          </cell>
        </row>
        <row r="14">
          <cell r="A14" t="str">
            <v>AAY-U</v>
          </cell>
        </row>
        <row r="15">
          <cell r="A15" t="str">
            <v>ACA-E</v>
          </cell>
        </row>
        <row r="16">
          <cell r="A16" t="str">
            <v>ACA-M</v>
          </cell>
        </row>
        <row r="17">
          <cell r="A17" t="str">
            <v>ACA-P</v>
          </cell>
        </row>
        <row r="18">
          <cell r="A18" t="str">
            <v>ACA-U</v>
          </cell>
        </row>
        <row r="19">
          <cell r="A19" t="str">
            <v>ACD-E</v>
          </cell>
        </row>
        <row r="20">
          <cell r="A20" t="str">
            <v>ACD-M</v>
          </cell>
        </row>
        <row r="21">
          <cell r="A21" t="str">
            <v>ACD-P</v>
          </cell>
        </row>
        <row r="22">
          <cell r="A22" t="str">
            <v>AEM-E</v>
          </cell>
        </row>
        <row r="23">
          <cell r="A23" t="str">
            <v>AEM-M</v>
          </cell>
        </row>
        <row r="24">
          <cell r="A24" t="str">
            <v>AEM-P</v>
          </cell>
        </row>
        <row r="25">
          <cell r="A25" t="str">
            <v>AFA-E</v>
          </cell>
        </row>
        <row r="26">
          <cell r="A26" t="str">
            <v>AFA-M</v>
          </cell>
        </row>
        <row r="27">
          <cell r="A27" t="str">
            <v>AFA-P</v>
          </cell>
        </row>
        <row r="28">
          <cell r="A28" t="str">
            <v>AFB-E</v>
          </cell>
        </row>
        <row r="29">
          <cell r="A29" t="str">
            <v>AFB-M</v>
          </cell>
        </row>
        <row r="30">
          <cell r="A30" t="str">
            <v>AFB-P</v>
          </cell>
        </row>
        <row r="31">
          <cell r="A31" t="str">
            <v>AFB-U</v>
          </cell>
        </row>
        <row r="32">
          <cell r="A32" t="str">
            <v>AFC-E</v>
          </cell>
        </row>
        <row r="33">
          <cell r="A33" t="str">
            <v>AFC-M</v>
          </cell>
        </row>
        <row r="34">
          <cell r="A34" t="str">
            <v>AFC-P</v>
          </cell>
        </row>
        <row r="35">
          <cell r="A35" t="str">
            <v>AFC-U</v>
          </cell>
        </row>
        <row r="36">
          <cell r="A36" t="str">
            <v>AFT-E</v>
          </cell>
        </row>
        <row r="37">
          <cell r="A37" t="str">
            <v>AFT-M</v>
          </cell>
        </row>
        <row r="38">
          <cell r="A38" t="str">
            <v>AFT-P</v>
          </cell>
        </row>
        <row r="39">
          <cell r="A39" t="str">
            <v>AFT-U</v>
          </cell>
        </row>
        <row r="40">
          <cell r="A40" t="str">
            <v>AFU-E</v>
          </cell>
        </row>
        <row r="41">
          <cell r="A41" t="str">
            <v>AFU-M</v>
          </cell>
        </row>
        <row r="42">
          <cell r="A42" t="str">
            <v>AFU-P</v>
          </cell>
        </row>
        <row r="43">
          <cell r="A43" t="str">
            <v>AFU-U</v>
          </cell>
        </row>
        <row r="44">
          <cell r="A44" t="str">
            <v>AFY-E</v>
          </cell>
        </row>
        <row r="45">
          <cell r="A45" t="str">
            <v>AFY-M</v>
          </cell>
        </row>
        <row r="46">
          <cell r="A46" t="str">
            <v>AFY-P</v>
          </cell>
        </row>
        <row r="47">
          <cell r="A47" t="str">
            <v>AGA-E</v>
          </cell>
        </row>
        <row r="48">
          <cell r="A48" t="str">
            <v>AGA-M</v>
          </cell>
        </row>
        <row r="49">
          <cell r="A49" t="str">
            <v>AGA-P</v>
          </cell>
        </row>
        <row r="50">
          <cell r="A50" t="str">
            <v>AGS-E</v>
          </cell>
        </row>
        <row r="51">
          <cell r="A51" t="str">
            <v>AGS-M</v>
          </cell>
        </row>
        <row r="52">
          <cell r="A52" t="str">
            <v>AGS-P</v>
          </cell>
        </row>
        <row r="53">
          <cell r="A53" t="str">
            <v>AGS-T</v>
          </cell>
        </row>
        <row r="54">
          <cell r="A54" t="str">
            <v>AHR-E</v>
          </cell>
        </row>
        <row r="55">
          <cell r="A55" t="str">
            <v>AHR-M</v>
          </cell>
        </row>
        <row r="56">
          <cell r="A56" t="str">
            <v>AHR-P</v>
          </cell>
        </row>
        <row r="57">
          <cell r="A57" t="str">
            <v>AHR-U</v>
          </cell>
        </row>
        <row r="58">
          <cell r="A58" t="str">
            <v>AIC-E</v>
          </cell>
        </row>
        <row r="59">
          <cell r="A59" t="str">
            <v>AIC-M</v>
          </cell>
        </row>
        <row r="60">
          <cell r="A60" t="str">
            <v>AIC-P</v>
          </cell>
        </row>
        <row r="61">
          <cell r="A61" t="str">
            <v>AID-E</v>
          </cell>
        </row>
        <row r="62">
          <cell r="A62" t="str">
            <v>AID-M</v>
          </cell>
        </row>
        <row r="63">
          <cell r="A63" t="str">
            <v>AID-P</v>
          </cell>
        </row>
        <row r="64">
          <cell r="A64" t="str">
            <v>AID-T</v>
          </cell>
        </row>
        <row r="65">
          <cell r="A65" t="str">
            <v>AIT-E</v>
          </cell>
        </row>
        <row r="66">
          <cell r="A66" t="str">
            <v>AIT-M</v>
          </cell>
        </row>
        <row r="67">
          <cell r="A67" t="str">
            <v>AIT-P</v>
          </cell>
        </row>
        <row r="68">
          <cell r="A68" t="str">
            <v>AIT-T</v>
          </cell>
        </row>
        <row r="69">
          <cell r="A69" t="str">
            <v>ALG-E</v>
          </cell>
        </row>
        <row r="70">
          <cell r="A70" t="str">
            <v>ALG-M</v>
          </cell>
        </row>
        <row r="71">
          <cell r="A71" t="str">
            <v>ALG-P</v>
          </cell>
        </row>
        <row r="72">
          <cell r="A72" t="str">
            <v>ALS-M</v>
          </cell>
        </row>
        <row r="73">
          <cell r="A73" t="str">
            <v>ALS-P</v>
          </cell>
        </row>
        <row r="74">
          <cell r="A74" t="str">
            <v>ALS-U</v>
          </cell>
        </row>
        <row r="75">
          <cell r="A75" t="str">
            <v>AMJ-E</v>
          </cell>
        </row>
        <row r="76">
          <cell r="A76" t="str">
            <v>AMJ-M</v>
          </cell>
        </row>
        <row r="77">
          <cell r="A77" t="str">
            <v>AMJ-P</v>
          </cell>
        </row>
        <row r="78">
          <cell r="A78" t="str">
            <v>AMJ-U</v>
          </cell>
        </row>
        <row r="79">
          <cell r="A79" t="str">
            <v>AMK-E</v>
          </cell>
        </row>
        <row r="80">
          <cell r="A80" t="str">
            <v>AMK-M</v>
          </cell>
        </row>
        <row r="81">
          <cell r="A81" t="str">
            <v>AMK-P</v>
          </cell>
        </row>
        <row r="82">
          <cell r="A82" t="str">
            <v>AMK-U</v>
          </cell>
        </row>
        <row r="83">
          <cell r="A83" t="str">
            <v>AMS-E</v>
          </cell>
        </row>
        <row r="84">
          <cell r="A84" t="str">
            <v>AMS-M</v>
          </cell>
        </row>
        <row r="85">
          <cell r="A85" t="str">
            <v>AMS-P</v>
          </cell>
        </row>
        <row r="86">
          <cell r="A86" t="str">
            <v>AMS-U</v>
          </cell>
        </row>
        <row r="87">
          <cell r="A87" t="str">
            <v>AMT-E</v>
          </cell>
        </row>
        <row r="88">
          <cell r="A88" t="str">
            <v>AMT-M</v>
          </cell>
        </row>
        <row r="89">
          <cell r="A89" t="str">
            <v>AMT-P</v>
          </cell>
        </row>
        <row r="90">
          <cell r="A90" t="str">
            <v>AMT-T</v>
          </cell>
        </row>
        <row r="91">
          <cell r="A91" t="str">
            <v>AOM-E</v>
          </cell>
        </row>
        <row r="92">
          <cell r="A92" t="str">
            <v>AOM-M</v>
          </cell>
        </row>
        <row r="93">
          <cell r="A93" t="str">
            <v>AOM-P</v>
          </cell>
        </row>
        <row r="94">
          <cell r="A94" t="str">
            <v>AOM-T</v>
          </cell>
        </row>
        <row r="95">
          <cell r="A95" t="str">
            <v>AOM-W</v>
          </cell>
        </row>
        <row r="96">
          <cell r="A96" t="str">
            <v>AOO-E</v>
          </cell>
        </row>
        <row r="97">
          <cell r="A97" t="str">
            <v>AOO-M</v>
          </cell>
        </row>
        <row r="98">
          <cell r="A98" t="str">
            <v>AOO-P</v>
          </cell>
        </row>
        <row r="99">
          <cell r="A99" t="str">
            <v>AOO-T</v>
          </cell>
        </row>
        <row r="100">
          <cell r="A100" t="str">
            <v>AOO-U</v>
          </cell>
        </row>
        <row r="101">
          <cell r="A101" t="str">
            <v>APM-E</v>
          </cell>
        </row>
        <row r="102">
          <cell r="A102" t="str">
            <v>APM-M</v>
          </cell>
        </row>
        <row r="103">
          <cell r="A103" t="str">
            <v>APM-P</v>
          </cell>
        </row>
        <row r="104">
          <cell r="A104" t="str">
            <v>APM-U</v>
          </cell>
        </row>
        <row r="105">
          <cell r="A105" t="str">
            <v>AQY-E</v>
          </cell>
        </row>
        <row r="106">
          <cell r="A106" t="str">
            <v>AQY-M</v>
          </cell>
        </row>
        <row r="107">
          <cell r="A107" t="str">
            <v>AQY-P</v>
          </cell>
        </row>
        <row r="108">
          <cell r="A108" t="str">
            <v>AQY-U</v>
          </cell>
        </row>
        <row r="109">
          <cell r="A109" t="str">
            <v>ARE-E</v>
          </cell>
        </row>
        <row r="110">
          <cell r="A110" t="str">
            <v>ARE-M</v>
          </cell>
        </row>
        <row r="111">
          <cell r="A111" t="str">
            <v>ARE-P</v>
          </cell>
        </row>
        <row r="112">
          <cell r="A112" t="str">
            <v>ARE-U</v>
          </cell>
        </row>
        <row r="113">
          <cell r="A113" t="str">
            <v>ARP-E</v>
          </cell>
        </row>
        <row r="114">
          <cell r="A114" t="str">
            <v>ARP-M</v>
          </cell>
        </row>
        <row r="115">
          <cell r="A115" t="str">
            <v>ARP-P</v>
          </cell>
        </row>
        <row r="116">
          <cell r="A116" t="str">
            <v>ARP-T</v>
          </cell>
        </row>
        <row r="117">
          <cell r="A117" t="str">
            <v>ARS-E</v>
          </cell>
        </row>
        <row r="118">
          <cell r="A118" t="str">
            <v>ARS-M</v>
          </cell>
        </row>
        <row r="119">
          <cell r="A119" t="str">
            <v>ARS-P</v>
          </cell>
        </row>
        <row r="120">
          <cell r="A120" t="str">
            <v>ARS-T</v>
          </cell>
        </row>
        <row r="121">
          <cell r="A121" t="str">
            <v>ASC-E</v>
          </cell>
        </row>
        <row r="122">
          <cell r="A122" t="str">
            <v>ASC-M</v>
          </cell>
        </row>
        <row r="123">
          <cell r="A123" t="str">
            <v>ASC-P</v>
          </cell>
        </row>
        <row r="124">
          <cell r="A124" t="str">
            <v>ASC-U</v>
          </cell>
        </row>
        <row r="125">
          <cell r="A125" t="str">
            <v>ASC-W</v>
          </cell>
        </row>
        <row r="126">
          <cell r="A126" t="str">
            <v>AZE-E</v>
          </cell>
        </row>
        <row r="127">
          <cell r="A127" t="str">
            <v>AZE-M</v>
          </cell>
        </row>
        <row r="128">
          <cell r="A128" t="str">
            <v>AZE-P</v>
          </cell>
        </row>
        <row r="129">
          <cell r="A129" t="str">
            <v>AZT-M</v>
          </cell>
        </row>
        <row r="130">
          <cell r="A130" t="str">
            <v>AZT-P</v>
          </cell>
        </row>
        <row r="131">
          <cell r="A131" t="str">
            <v>AZT-T</v>
          </cell>
        </row>
        <row r="132">
          <cell r="A132" t="str">
            <v>AZT-W</v>
          </cell>
        </row>
        <row r="133">
          <cell r="A133" t="str">
            <v>AZU-M</v>
          </cell>
        </row>
        <row r="134">
          <cell r="A134" t="str">
            <v>AZU-W</v>
          </cell>
        </row>
        <row r="135">
          <cell r="A135" t="str">
            <v>CAM-E</v>
          </cell>
        </row>
        <row r="136">
          <cell r="A136" t="str">
            <v>CAM-M</v>
          </cell>
        </row>
        <row r="137">
          <cell r="A137" t="str">
            <v>CAM-S</v>
          </cell>
        </row>
        <row r="138">
          <cell r="A138" t="str">
            <v>CBM-E</v>
          </cell>
        </row>
        <row r="139">
          <cell r="A139" t="str">
            <v>CBM-M</v>
          </cell>
        </row>
        <row r="140">
          <cell r="A140" t="str">
            <v>CBM-S</v>
          </cell>
        </row>
        <row r="141">
          <cell r="A141" t="str">
            <v>CDM-E</v>
          </cell>
        </row>
        <row r="142">
          <cell r="A142" t="str">
            <v>CDM-M</v>
          </cell>
        </row>
        <row r="143">
          <cell r="A143" t="str">
            <v>CDM-S</v>
          </cell>
        </row>
        <row r="144">
          <cell r="A144" t="str">
            <v>CSA-E</v>
          </cell>
        </row>
        <row r="145">
          <cell r="A145" t="str">
            <v>CSA-M</v>
          </cell>
        </row>
        <row r="146">
          <cell r="A146" t="str">
            <v>CSA-S</v>
          </cell>
        </row>
        <row r="147">
          <cell r="A147" t="str">
            <v>CSC-E</v>
          </cell>
        </row>
        <row r="148">
          <cell r="A148" t="str">
            <v>CSC-M</v>
          </cell>
        </row>
        <row r="149">
          <cell r="A149" t="str">
            <v>CSC-S</v>
          </cell>
        </row>
        <row r="150">
          <cell r="A150" t="str">
            <v>CSD-E</v>
          </cell>
        </row>
        <row r="151">
          <cell r="A151" t="str">
            <v>CSD-M</v>
          </cell>
        </row>
        <row r="152">
          <cell r="A152" t="str">
            <v>CSD-S</v>
          </cell>
        </row>
        <row r="153">
          <cell r="A153" t="str">
            <v>CSL-E</v>
          </cell>
        </row>
        <row r="154">
          <cell r="A154" t="str">
            <v>CSL-M</v>
          </cell>
        </row>
        <row r="155">
          <cell r="A155" t="str">
            <v>CSL-S</v>
          </cell>
        </row>
        <row r="156">
          <cell r="A156" t="str">
            <v>CSN-M</v>
          </cell>
        </row>
        <row r="157">
          <cell r="A157" t="str">
            <v>CSN-S</v>
          </cell>
        </row>
        <row r="158">
          <cell r="A158" t="str">
            <v>CSO-S</v>
          </cell>
        </row>
        <row r="159">
          <cell r="A159" t="str">
            <v>CSO-U</v>
          </cell>
        </row>
        <row r="160">
          <cell r="A160" t="str">
            <v>CSR-S</v>
          </cell>
        </row>
        <row r="161">
          <cell r="A161" t="str">
            <v>CSR-U</v>
          </cell>
        </row>
        <row r="162">
          <cell r="A162" t="str">
            <v>CTS-M</v>
          </cell>
        </row>
        <row r="163">
          <cell r="A163" t="str">
            <v>CTS-S</v>
          </cell>
        </row>
        <row r="164">
          <cell r="A164" t="str">
            <v>CTS-U</v>
          </cell>
        </row>
        <row r="165">
          <cell r="A165" t="str">
            <v>CUS-E</v>
          </cell>
        </row>
        <row r="166">
          <cell r="A166" t="str">
            <v>CUS-M</v>
          </cell>
        </row>
        <row r="167">
          <cell r="A167" t="str">
            <v>CUS-P</v>
          </cell>
        </row>
        <row r="168">
          <cell r="A168" t="str">
            <v>CUS-U</v>
          </cell>
        </row>
        <row r="169">
          <cell r="A169" t="str">
            <v>CUT-E</v>
          </cell>
        </row>
        <row r="170">
          <cell r="A170" t="str">
            <v>CUT-M</v>
          </cell>
        </row>
        <row r="171">
          <cell r="A171" t="str">
            <v>CUT-P</v>
          </cell>
        </row>
        <row r="172">
          <cell r="A172" t="str">
            <v>CUT-T</v>
          </cell>
        </row>
        <row r="173">
          <cell r="A173" t="str">
            <v>RSM-M</v>
          </cell>
        </row>
        <row r="174">
          <cell r="A174" t="str">
            <v>RSM-U</v>
          </cell>
        </row>
        <row r="175">
          <cell r="A175" t="str">
            <v>AHS-E</v>
          </cell>
        </row>
        <row r="176">
          <cell r="A176" t="str">
            <v>AHS-M</v>
          </cell>
        </row>
        <row r="177">
          <cell r="A177" t="str">
            <v>AHS-P</v>
          </cell>
        </row>
        <row r="178">
          <cell r="A178" t="str">
            <v>AHS-T</v>
          </cell>
        </row>
        <row r="179">
          <cell r="A179" t="str">
            <v>AAT-W</v>
          </cell>
        </row>
      </sheetData>
      <sheetData sheetId="13">
        <row r="1">
          <cell r="A1" t="str">
            <v>Career Band/Level/Grade</v>
          </cell>
          <cell r="C1" t="str">
            <v>Description</v>
          </cell>
        </row>
        <row r="2">
          <cell r="A2" t="str">
            <v>EX</v>
          </cell>
          <cell r="C2" t="str">
            <v>● Holds management accountability for a business, division, major geography, corporate function or major corporate sub-function
● Develops, establishes and approves long-term vision and strategy for the area managed
● May be a board or executive committee member or have a comparable level of influence</v>
          </cell>
        </row>
        <row r="3">
          <cell r="A3" t="str">
            <v>EX-17</v>
          </cell>
          <cell r="C3" t="str">
            <v>● Typically reports to the head of a subregion, country, division or function
● In large organizations (Global Grade 20 to 22), heads an infrastructure function with indirect impact on business performance</v>
          </cell>
        </row>
        <row r="4">
          <cell r="A4" t="str">
            <v>EX-16</v>
          </cell>
          <cell r="C4" t="str">
            <v>● Typically reports to the head of a subregion, country, division or function
● In large organizations (Global Grade 20 to 22), heads a function within a geography or line of business or heads a subfunction of the parent organization; significantly influences functional strategy</v>
          </cell>
        </row>
        <row r="5">
          <cell r="A5" t="str">
            <v>M</v>
          </cell>
          <cell r="C5" t="str">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ell>
        </row>
        <row r="6">
          <cell r="A6" t="str">
            <v>M1</v>
          </cell>
          <cell r="C6" t="str">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ell>
        </row>
        <row r="7">
          <cell r="A7" t="str">
            <v>M1-10</v>
          </cell>
          <cell r="C7" t="str">
            <v xml:space="preserve">●	Accountable for the results of medium-sized routine support or production operations teams		
●	Solves problems based on practice and precedent		
●	Trains team members and provides input to employee performance evaluations		</v>
          </cell>
        </row>
        <row r="8">
          <cell r="A8" t="str">
            <v>M1-11</v>
          </cell>
          <cell r="C8" t="str">
            <v xml:space="preserve">●	Accountable for the results of a large and/or moderately complex support or production operations team including subordinate work leaders		
●	Applies acquired expertise to analyze and solve problems without clear precedent		
●	Provides input on resource planning and policy development		
●	Coaches team members on performance, completes employee performance evaluations and recommends pay actions		</v>
          </cell>
        </row>
        <row r="9">
          <cell r="A9" t="str">
            <v>M2</v>
          </cell>
          <cell r="C9" t="str">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ell>
        </row>
        <row r="10">
          <cell r="A10" t="str">
            <v>M2-12</v>
          </cell>
          <cell r="C10" t="str">
            <v xml:space="preserve">●	Accountable for results of a small team of employees		
●	Exercises limited management authority; sets employee performance objectives, conducts performance reviews and recommends pay actions		
●	Defines team operating standards and ensures essential procedures are followed based on knowledge of own discipline		</v>
          </cell>
        </row>
        <row r="11">
          <cell r="A11" t="str">
            <v>M2-13</v>
          </cell>
          <cell r="C11" t="str">
            <v>●	Accountable for the budget, performance and results of a medium-sized team or multiple small teams of employees		
●	Exercises full management authority, including performance reviews, pay decisions, recruitment, discipline, termination and other personnel actions		
●	Addresses issues with impact beyond own team based on knowledge of related disciplines</v>
          </cell>
        </row>
        <row r="12">
          <cell r="A12" t="str">
            <v>M3</v>
          </cell>
          <cell r="C12" t="str">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ell>
        </row>
        <row r="13">
          <cell r="A13" t="str">
            <v>M3-14</v>
          </cell>
          <cell r="C13" t="str">
            <v xml:space="preserve">●	Identifies applications of functional knowledge and existing methodologies to complex problems	
●	Manages large teams of professionals and/or junior managers		
		</v>
          </cell>
        </row>
        <row r="14">
          <cell r="A14" t="str">
            <v>M3-15</v>
          </cell>
          <cell r="C14" t="str">
            <v xml:space="preserve">●	Looks beyond existing methodologies and own discipline to define and resolve complex problems
●	Develops plans and delivers results in fast-changing businesses and/or regulatory environments
●	Provides input to functional or departmental strategy		
●	Manages large, potentially diverse teams of managers and/or senior professionals		
		</v>
          </cell>
        </row>
        <row r="15">
          <cell r="A15" t="str">
            <v>M4</v>
          </cell>
          <cell r="C15" t="str">
            <v xml:space="preserve">●	Provides leadership and direction through Senior Managers and Managers		
●	Has accountability for the performance and results of:		
	●	A large, strategically important discipline in an extremely large market; and/or	
	●	Related disciplines or a medium-sized function in a large market or medium-sized division; and/or	
	●	A medium-sized discipline or department in a major region	
●	Adapts and executes functional or departmental business plans and contributes to the development of functional or departmental strategies		
●	Decisions are guided by functional or major operational segment strategies and priorities		</v>
          </cell>
        </row>
        <row r="16">
          <cell r="A16" t="str">
            <v>M5</v>
          </cell>
          <cell r="C16" t="str">
            <v xml:space="preserve">●	Applies only to large international or global organizations		
●	Provides leadership and direction through Group and/or Senior Managers		
●	Has accountability for the performance and results of:		
	●	A large, strategically important function in an extremely large market and/or	
	●	Diverse disciplines (e.g., within Human Resources - Training, Recruitment and Compensation &amp; Benefits) or departments within a large geography or division and/or	
	●	A large, strategically important discipline within a major region and/or	
	●	A medium-sized global corporate discipline or department	
●	Develops, adapts and executes strategies to achieve key business objectives in area of responsibility		
●	Decisions are guided by organization and functional strategies and objectives		</v>
          </cell>
        </row>
        <row r="17">
          <cell r="A17" t="str">
            <v>M5-16</v>
          </cell>
          <cell r="C17" t="str">
            <v>● Typically reports to the head of a subregion, country, division or function
● In large organizations (Global Grade 20 to 22), heads a function within a geography or line of business or heads a subfunction of the parent organization; significantly influences functional strategy</v>
          </cell>
        </row>
        <row r="18">
          <cell r="A18" t="str">
            <v>P</v>
          </cell>
          <cell r="C18" t="str">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ell>
        </row>
        <row r="19">
          <cell r="A19" t="str">
            <v>P1</v>
          </cell>
          <cell r="C19" t="str">
            <v xml:space="preserve">●	Performs routine assignments in the entry level of the Professional Career Band		
●	Typically requires a college or university degree or the equivalent work experience and has conceptual knowledge of fundamental theories, principles and practices 		
●	Has no discretion to vary from established procedures by performing structured work assignments		
●	Uses existing procedures to solve routine or standard problems		
●	Receives instruction, guidance and direction from more senior level roles		</v>
          </cell>
        </row>
        <row r="20">
          <cell r="A20" t="str">
            <v>P2</v>
          </cell>
          <cell r="C20" t="str">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ell>
        </row>
        <row r="21">
          <cell r="A21" t="str">
            <v>P2-09</v>
          </cell>
          <cell r="C21" t="str">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ell>
        </row>
        <row r="22">
          <cell r="A22" t="str">
            <v>P2-10</v>
          </cell>
          <cell r="C22" t="str">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ell>
        </row>
        <row r="23">
          <cell r="A23" t="str">
            <v>P3</v>
          </cell>
          <cell r="C23" t="str">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ell>
        </row>
        <row r="24">
          <cell r="A24" t="str">
            <v>P3-11</v>
          </cell>
          <cell r="C24" t="str">
            <v xml:space="preserve">●	Contributes to process improvements		
●	Typically resolves problems using existing solutions		
●	Occasionally leads the work of small project teams; provides informal guidance to junior staff		
●	Works with minimal guidance		</v>
          </cell>
        </row>
        <row r="25">
          <cell r="A25" t="str">
            <v>P3-12</v>
          </cell>
          <cell r="C25" t="str">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ell>
        </row>
        <row r="26">
          <cell r="A26" t="str">
            <v>P4</v>
          </cell>
          <cell r="C26" t="str">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ell>
        </row>
        <row r="27">
          <cell r="A27" t="str">
            <v>P4-13</v>
          </cell>
          <cell r="C27" t="str">
            <v xml:space="preserve">●	Guides others in resolving complex issues in specialized area based on existing solutions and procedures		
●	Serves as an expert within own discipline		
●	May lead function teams or projects and serves as a best practices/quality resource		
●	Trains/mentors junior staff		</v>
          </cell>
        </row>
        <row r="28">
          <cell r="A28" t="str">
            <v>P4-14</v>
          </cell>
          <cell r="C28" t="str">
            <v xml:space="preserve">●	Guides others in resolving complex issues in own specialized area and solves complex problems with implications on cross-functional business processes and outcomes		
●	Serves as an advisor and applies knowledge of strategies that can be deployed within own function and discipline		
●	Applies working knowledge of the theories and concepts in other disciplines		
●	May lead teams or projects with broad visibility		</v>
          </cell>
        </row>
        <row r="29">
          <cell r="A29" t="str">
            <v>P5</v>
          </cell>
          <cell r="C29" t="str">
            <v xml:space="preserve">●	Is recognized as an expert and advisor within the organization and has in-depth and/or breadth of expertise in own discipline and broad knowledge of other disciplines within the function		
●	Anticipates internal and/or external business challenges and/or regulatory issues; recommends process, product or service improvements		
●	Solves unique and complex problems that have a broad impact on the business		
●	Contributes to the development of functional strategy		
●	Leads teams or projects with broad visibility to achieve milestones and objectives		
●	Progression to this level is typically restricted on the basis of business requirements		
●	Typically operates with broad latitude in a complex environment		</v>
          </cell>
        </row>
        <row r="30">
          <cell r="A30" t="str">
            <v>P6</v>
          </cell>
          <cell r="C30" t="str">
            <v xml:space="preserve">●	Is recognized as an external thought leader within strategic function or discipline		
●	Has broad and comprehensive expertise in leading-edge theories, techniques and/or technologies within own function or discipline		
●	Proactively identifies and solves the most complex problems that impact the management and direction of the business		
●	Participates in the development of the product or business strategy		
●	Leads multidisciplinary projects or initiatives		
●	Progression to this level is typically restricted on the basis of individual capabilities and business requirements		</v>
          </cell>
        </row>
        <row r="31">
          <cell r="A31" t="str">
            <v>P6-16</v>
          </cell>
          <cell r="C31" t="str">
            <v xml:space="preserve">●	Typically found in Global Grade 18 or higher organizations		
●	Contributes thought leadership and innovation that influences change and advancement of the industry and/or profession		
●	Leads large projects/initiatives that impact the business on a domestic or international scale		</v>
          </cell>
        </row>
        <row r="32">
          <cell r="A32" t="str">
            <v>P6-17</v>
          </cell>
          <cell r="C32" t="str">
            <v xml:space="preserve">●	Only applies to large international or global businesses		
●	Contributes as top thought leader worldwide, whose achievements include major innovations that change and advance the industry and/or profession		
●	Leads the largest projects/initiatives that have a significant impact upon a complex, global business		</v>
          </cell>
        </row>
        <row r="33">
          <cell r="A33" t="str">
            <v>S</v>
          </cell>
          <cell r="C33" t="str">
            <v>● Primarily involved in direct contact with customers/clients to acquire new business or develop existing business or accounts
● Participates in sales presentations, developing bids, and responding to proposals 
● At senior levels, likely to set/negotiate product/service terms or contracts
● A significant portion of compensation is likely to be based on sales results</v>
          </cell>
        </row>
        <row r="34">
          <cell r="A34" t="str">
            <v>S1</v>
          </cell>
          <cell r="C34" t="str">
            <v xml:space="preserve">●	Typically requires a college or university degree or the equivalent work experience and has general awareness of business, financials, products/services and the market		
●	Works with territory/account, product/services or sales process with limited complexity		
●	Has limited direct contact with clients and no authority/opportunity to set and negotiate product/service terms		
●	Relies on manager to provide planning and manage resources		</v>
          </cell>
        </row>
        <row r="35">
          <cell r="A35" t="str">
            <v>S2</v>
          </cell>
          <cell r="C35" t="str">
            <v xml:space="preserve">●	Continues to build knowledge of business, financials, products/services, the market or account needs		
●	Works with moderately complex territory/assigned accounts, products/services, sales or account management processes		
●	Has direct contact with clients and moderate authority/opportunity to set and negotiate product/service terms		
●	Is beginning to plan own territory or account approach and monitor resources		</v>
          </cell>
        </row>
        <row r="36">
          <cell r="A36" t="str">
            <v>S2-09</v>
          </cell>
          <cell r="C36" t="str">
            <v xml:space="preserve">●	Has structured direct contact with clients and limited authority for negotiation		
●	Has general knowledge of assigned products and services		
●	Develops competence by performing structured work assignments		</v>
          </cell>
        </row>
        <row r="37">
          <cell r="A37" t="str">
            <v>S2-10</v>
          </cell>
          <cell r="C37" t="str">
            <v xml:space="preserve">●	Typically responsible for products/services or territories/accounts that have moderate complexity		
●	Works within plan dictated by manager		
●	Has direct contact with clients with moderate opportunity to negotiate		
●	May train new team members and provide input to employee performance evaluations		</v>
          </cell>
        </row>
        <row r="38">
          <cell r="A38" t="str">
            <v>S3</v>
          </cell>
          <cell r="C38" t="str">
            <v xml:space="preserve">●	Has a solid understanding of business, financials, products/services, the market and the needs of assigned accounts; may help develop colleagues' understanding; may be recognized as an expert in one area		
●	Works with complex or large territory/account, products/services, sales or account management processes; may serve as team lead		
●	Has authority/opportunity to set and negotiate product/service terms		
●	Plans own territory or account approach and manages own resources		
●	May represent the level at which career may stabilize for many years or even until retirement		</v>
          </cell>
        </row>
        <row r="39">
          <cell r="A39" t="str">
            <v>S3-11</v>
          </cell>
          <cell r="C39" t="str">
            <v xml:space="preserve">●	Manages a medium domestic territory		
●	Develops expertise in an aspect of business, financials, products/services, the market and the needs of assigned accounts		
●	Leads a small sales team on an ad hoc basis to meet specific client needs		
●	Occasionally leads the work of small team; provides informal guidance to junior staff		</v>
          </cell>
        </row>
        <row r="40">
          <cell r="A40" t="str">
            <v>S3-12</v>
          </cell>
          <cell r="C40" t="str">
            <v xml:space="preserve">●	Manages accounts in a large domestic or small multi-country territory		
●	Recognized internally as an expert in an aspect of business, financials, products/services, the market and the needs of assigned accounts		
●	Typically leads a small sales team but without supervisory authority		
●	Trains and mentors junior staff		</v>
          </cell>
        </row>
        <row r="41">
          <cell r="A41" t="str">
            <v>S4</v>
          </cell>
          <cell r="C41" t="str">
            <v xml:space="preserve">●	Has a deep understanding of business, financials, products/services, the market or the needs/challenges of assigned accounts		
●	Develops colleagues' and customers' understanding		
●	Recognized as an expert in one or more areas		
●	Works with complex or high profile territory/account, products/services, sales or account management process; serves as team lead		
●	Has broad authority/opportunity to set and negotiate product/service terms		
●	Plans own territory or account approach and has input into colleagues' approaches; manages own and often others' resources		
●	Progression to this level is typically restricted on the basis of business requirements		</v>
          </cell>
        </row>
        <row r="42">
          <cell r="A42" t="str">
            <v>S4-13</v>
          </cell>
          <cell r="C42" t="str">
            <v xml:space="preserve">●	Some clients are high profile accounts spanning broad geographic areas, representing significant revenue and having diverse and complex needs		
●	Negotiates sales terms with moderate discretion within policy guidelines		
●	Leads small to medium sales teams, but without supervisory authority		</v>
          </cell>
        </row>
        <row r="43">
          <cell r="A43" t="str">
            <v>S4-14</v>
          </cell>
          <cell r="C43" t="str">
            <v xml:space="preserve">●	Most clients are substantial, high profile accounts spanning broad geographic areas, representing significant revenue and having diverse and complex needs		
●	Negotiates sales terms with considerable discretion at high levels of client organizations		
●	Leads medium to large sales teams, but without supervisory authority		
●	Is recognized as a best practice expert in several business/sales/product/service areas		</v>
          </cell>
        </row>
        <row r="44">
          <cell r="A44" t="str">
            <v>S5</v>
          </cell>
          <cell r="C44" t="str">
            <v xml:space="preserve">●	Has a complete understanding of business, financials, products/services, the market and the needs/challenges of assigned accounts; develops colleagues' and customers' understanding; is recognized as an expert in many areas		
●	Works with large, important or global accounts		
●	Has full authority/opportunity to set and negotiate product/service terms		
●	Plans own account management approach and has input into colleagues' approaches; manages own and often others' resources		
●	Progression to this level is typically restricted on the basis of business requirements		</v>
          </cell>
        </row>
        <row r="45">
          <cell r="A45" t="str">
            <v>S6</v>
          </cell>
          <cell r="C45" t="str">
            <v xml:space="preserve">●	Is recognized externally as a leading sales strategist and business expert, with a highly sophisticated understanding of customer needs and competitors' offerings		
●	Is recognized internally as a role model and leader in planning and executing successful sales strategies for the organization's largest and most complex clients or markets		
●	Develops and implements new and innovative approaches to the sales process, including negotiation of sales and service terms, and approaches to account management and resources utilization		
●	Leads projects or initiatives that extend beyond the sales organization		
●	Progression to this level is typically restricted on the basis of individual capabilities and business requirements		</v>
          </cell>
        </row>
        <row r="46">
          <cell r="A46" t="str">
            <v>S6-16</v>
          </cell>
          <cell r="C46" t="str">
            <v xml:space="preserve">●	Typically found in Global Grade 18 or higher organization		
●	Manages large, complex or international accounts in a medium to large organization		
●	Is recognized as a major sales producer in an international business		</v>
          </cell>
        </row>
        <row r="47">
          <cell r="A47" t="str">
            <v>S6-17</v>
          </cell>
          <cell r="C47" t="str">
            <v xml:space="preserve">●	Only applies to large international or global businesses		
●	Manages largest, most strategically important global accounts in a very large organization		
●	Develops market (including new market) and account sales strategies		
●	Is recognized as one of the top sales producers in a global organization and in the wider industry		</v>
          </cell>
        </row>
        <row r="48">
          <cell r="A48" t="str">
            <v>T</v>
          </cell>
          <cell r="C48" t="str">
            <v>● Performs specialized technical tasks required to support operations (e.g., IT development, research support, skilled trade)
● Requires vocational training or the equivalent experience and may require external certification but typically does not require a university degree</v>
          </cell>
        </row>
        <row r="49">
          <cell r="A49" t="str">
            <v>T1</v>
          </cell>
          <cell r="C49" t="str">
            <v xml:space="preserve">●	Has basic skills in an analytical or scientific method or operational process		
●	Works within clearly defined standard operating procedures and/or scientific methods and adheres to quality guidelines		
●	Works with close supervision		</v>
          </cell>
        </row>
        <row r="50">
          <cell r="A50" t="str">
            <v>T2</v>
          </cell>
          <cell r="C50" t="str">
            <v xml:space="preserve">●	Has working knowledge and skills to perform a defined set of analytical/scientific methods or operational processes		
●	Applies experience and skills to complete assigned work within own area of expertise		
●	Works within standard operating procedures and/or scientific methods		
●	Works with a moderate degree of supervision		</v>
          </cell>
        </row>
        <row r="51">
          <cell r="A51" t="str">
            <v>T3</v>
          </cell>
          <cell r="C51" t="str">
            <v xml:space="preserve">●	Has full proficiency in a range of technical processes or procedures (or deep skills in a single area) through job-related training and considerable work experience		
●	Completes a variety of atypical assignments		
●	Works within defined technical processes and procedures or methodologies and may help determine the appropriate approach for new assignments		
●	Works with a limited degree of supervision, with oversight focused only on complex new assignments		
●	Acts as an informal resource for colleagues with less experience		</v>
          </cell>
        </row>
        <row r="52">
          <cell r="A52" t="str">
            <v>T3-07</v>
          </cell>
          <cell r="C52" t="str">
            <v xml:space="preserve">●	Performs moderately complex and varied tasks		
●	May have specialized external certification		
●	Guides junior team members		</v>
          </cell>
        </row>
        <row r="53">
          <cell r="A53" t="str">
            <v>T3-08</v>
          </cell>
          <cell r="C53" t="str">
            <v xml:space="preserve">●	Performs highly complex and varied tasks		
●	Typically has specialized external certification		
●	Guides and supports junior team members; may assist in their formal orientation and training		</v>
          </cell>
        </row>
        <row r="54">
          <cell r="A54" t="str">
            <v>T4</v>
          </cell>
          <cell r="C54" t="str">
            <v xml:space="preserve">●	Has advanced and specialized expertise, typically developed through a combination of job-related training and considerable work experience		
●	Proposes improvements to processes		
●	May act as a lead, coordinating and facilitating the work of others but is not a supervisor		
●	Works autonomously within established procedures and practices		
●	Spends a majority of working time performing the same work processes and activities as employees on team		</v>
          </cell>
        </row>
        <row r="55">
          <cell r="A55" t="str">
            <v>T4-09</v>
          </cell>
          <cell r="C55" t="str">
            <v xml:space="preserve">●	Performs a variety of complex tasks and/or may lead a team in the performance of a variety of tasks that are often routine		
●	Solves complex problems of a recurring nature		</v>
          </cell>
        </row>
        <row r="56">
          <cell r="A56" t="str">
            <v>T4-10</v>
          </cell>
          <cell r="C56" t="str">
            <v xml:space="preserve">●	Performs a variety of the most complex tasks and/or may lead one or more teams		
●	Analyzes the most complex technical problems and delivers solutions where precedent may not exist		</v>
          </cell>
        </row>
        <row r="57">
          <cell r="A57" t="str">
            <v>U</v>
          </cell>
          <cell r="C57" t="str">
            <v>● Performs clerical/administrative or specialized support tasks in an office, field or retail store/site setting
● May require vocational training or the equivalent experience, but does not require a university degree</v>
          </cell>
        </row>
        <row r="58">
          <cell r="A58" t="str">
            <v>U1</v>
          </cell>
          <cell r="C58" t="str">
            <v xml:space="preserve">●	Entry level position with little or no prior relevant training or work experience		
●	Acquires basic skills to perform routine tasks		
●	Work is prescribed and completed with little autonomy		
●	Works with either close supervision or under clearly defined procedures		</v>
          </cell>
        </row>
        <row r="59">
          <cell r="A59" t="str">
            <v>U2</v>
          </cell>
          <cell r="C59" t="str">
            <v xml:space="preserve">●	Has working knowledge and skills developed through formal training or work experience		
●	Works within established procedures with a moderate degree of supervision		
●	Identifies the problem and all relevant issues in straightforward situations, assesses each using standard procedures and makes sound decisions		</v>
          </cell>
        </row>
        <row r="60">
          <cell r="A60" t="str">
            <v>U2-05</v>
          </cell>
          <cell r="C60" t="str">
            <v xml:space="preserve">●	Has limited prior relevant training or work experience		
●	Has limited discretion to vary from established procedures		</v>
          </cell>
        </row>
        <row r="61">
          <cell r="A61" t="str">
            <v>U2-06</v>
          </cell>
          <cell r="C61" t="str">
            <v xml:space="preserve">●	Has prior relevant training or related work experience		
●	Performs routine tasks following specific instructions or under close supervision		
●	Work is clearly defined and completed according to instruction		</v>
          </cell>
        </row>
        <row r="62">
          <cell r="A62" t="str">
            <v>U3</v>
          </cell>
          <cell r="C62" t="str">
            <v xml:space="preserve">●	Has full proficiency gained through job-related training and considerable work experience		
●	Completes work with a limited degree of supervision		
●	Likely to act as an informal resource for colleagues with less experience		
●	Identifies key issues and patterns from partial/conflicting data		
●	Takes a broad perspective to problems and spots new, less obvious solutions		</v>
          </cell>
        </row>
        <row r="63">
          <cell r="A63" t="str">
            <v>U4</v>
          </cell>
          <cell r="C63" t="str">
            <v xml:space="preserve">●	Has advanced and specialized expertise, typically developed through a combination of job-related training and considerable work experience		
●	May act as a lead, coordinating and facilitating the work of others, but is not a supervisor		
●	Works autonomously within established procedures and practices		
●	May support the development of new and innovative solutions to complex problems		
●	Spends a majority of working time performing the same work processes and activities as employees on team		</v>
          </cell>
        </row>
        <row r="64">
          <cell r="A64" t="str">
            <v>U4-08</v>
          </cell>
          <cell r="C64" t="str">
            <v xml:space="preserve">●	Performs a variety of complex tasks and/or may lead a team in the performance of a variety of tasks that are often routine		
●	May support the development of solutions to complex problems of a recurring nature		</v>
          </cell>
        </row>
        <row r="65">
          <cell r="A65" t="str">
            <v>U4-09</v>
          </cell>
          <cell r="C65" t="str">
            <v xml:space="preserve">●	Performs a variety of the most complex tasks and/or may lead one or more teams		
●	Supports the delivery of new solutions complex problems where precedent may not exist		</v>
          </cell>
        </row>
        <row r="66">
          <cell r="A66" t="str">
            <v>W</v>
          </cell>
          <cell r="C66" t="str">
            <v>● Performs operational or manual tasks, primarily in manufacturing, supply chain or operational environments
● Typically performs unskilled or semi-skilled work
● Typically does not require vocational training or a university degree</v>
          </cell>
        </row>
        <row r="67">
          <cell r="A67" t="str">
            <v>W1</v>
          </cell>
          <cell r="C67" t="str">
            <v xml:space="preserve">●	Has little or no prior relevant training or work experience		
●	Works under close supervision with little autonomy		
●	Works with clearly defined methods and tasks that are described in detail		</v>
          </cell>
        </row>
        <row r="68">
          <cell r="A68" t="str">
            <v>W1-02</v>
          </cell>
          <cell r="C68" t="str">
            <v xml:space="preserve">●	Has no prior relevant training or work experience		
●	Contributes indirectly to specific unskilled tasks or processes		
●	Has no discretion to vary from established procedures		</v>
          </cell>
        </row>
        <row r="69">
          <cell r="A69" t="str">
            <v>W1-03</v>
          </cell>
          <cell r="C69" t="str">
            <v xml:space="preserve">●	Has limited prior relevant training or work experience		
●	Contributes directly to specific unskilled tasks or processes		
●	Has limited discretion to vary from established procedures		</v>
          </cell>
        </row>
        <row r="70">
          <cell r="A70" t="str">
            <v>W2</v>
          </cell>
          <cell r="C70" t="str">
            <v xml:space="preserve">●	Has skills developed through formal training or work experience		
●	Works within established procedures and guidelines with limited ability to modify methods and approach		
●	Completes assigned tasks with a moderate degree of supervision		</v>
          </cell>
        </row>
        <row r="71">
          <cell r="A71" t="str">
            <v>W2-04</v>
          </cell>
          <cell r="C71" t="str">
            <v xml:space="preserve">●	Performs most established procedures and will typically be considered semi-skilled through work experience		
●	Resolves routine issues with senior staff or supervisory guidance and approval		</v>
          </cell>
        </row>
        <row r="72">
          <cell r="A72" t="str">
            <v>W2-05</v>
          </cell>
          <cell r="C72" t="str">
            <v xml:space="preserve">●	Performs the full range of established procedures, and will typically be considered skilled through work experience		
●	Resolves routine issues without supervisory approval		</v>
          </cell>
        </row>
        <row r="73">
          <cell r="A73" t="str">
            <v>W3</v>
          </cell>
          <cell r="C73" t="str">
            <v xml:space="preserve">●	Has proficiency through job-related training and considerable work experience		
●	Completes work with a limited degree of supervision; regularly provides guidance to others with less experience		
●	May act as an informal resource for colleagues with less experience		</v>
          </cell>
        </row>
        <row r="74">
          <cell r="A74" t="str">
            <v>W4</v>
          </cell>
          <cell r="C74" t="str">
            <v xml:space="preserve">●	Has advanced skills, typically gained through a combination of job-related training and considerable work experience		
●	May act as a lead, coordinating the work of others, but is not a supervisor		
●	Works autonomously within established procedures and practices		
●	Has developed a specialized level of skill to perform assigned tasks		</v>
          </cell>
        </row>
        <row r="75">
          <cell r="A75" t="str">
            <v>W4-07</v>
          </cell>
          <cell r="C75" t="str">
            <v xml:space="preserve">●	Performs a variety of complex tasks and/or may lead a team in the performance of a variety of tasks that are often routine		
●	May support the development of solutions to complex problems of a recurring nature		</v>
          </cell>
        </row>
        <row r="76">
          <cell r="A76" t="str">
            <v>W4-08</v>
          </cell>
          <cell r="C76" t="str">
            <v xml:space="preserve">●	Performs a variety of the most complex tasks and/or may lead one or more teams		
●	Supports the delivery of new solutions complex problems where precedent may not exist		</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Definitions for Data Elements"/>
      <sheetName val="Contact Data"/>
      <sheetName val="Organization Data"/>
      <sheetName val="Incumbent Data"/>
      <sheetName val="Country Codes"/>
      <sheetName val="PickLists"/>
    </sheetNames>
    <sheetDataSet>
      <sheetData sheetId="0"/>
      <sheetData sheetId="1"/>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Definitions for Data Elements"/>
      <sheetName val="Contact Data"/>
      <sheetName val="Organization Data"/>
      <sheetName val="Incumbent Data"/>
      <sheetName val="Country Codes"/>
      <sheetName val="PickLists"/>
    </sheetNames>
    <sheetDataSet>
      <sheetData sheetId="0"/>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Definitions for Data Elements"/>
      <sheetName val="Contact Data"/>
      <sheetName val="Organization Data"/>
      <sheetName val="Incumbent Data"/>
      <sheetName val="Country Codes"/>
      <sheetName val="PickLists"/>
    </sheetNames>
    <sheetDataSet>
      <sheetData sheetId="0"/>
      <sheetData sheetId="1"/>
      <sheetData sheetId="2"/>
      <sheetData sheetId="3"/>
      <sheetData sheetId="4"/>
      <sheetData sheetId="5"/>
      <sheetData sheetId="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Definitions for Data Elements"/>
      <sheetName val="Contact Data"/>
      <sheetName val="Organization Data"/>
      <sheetName val="Incumbent Data"/>
      <sheetName val="Country Codes"/>
      <sheetName val="Industry Groups"/>
      <sheetName val="PickLists"/>
    </sheetNames>
    <sheetDataSet>
      <sheetData sheetId="0"/>
      <sheetData sheetId="1"/>
      <sheetData sheetId="2"/>
      <sheetData sheetId="3"/>
      <sheetData sheetId="4"/>
      <sheetData sheetId="5"/>
      <sheetData sheetId="6"/>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erms and Conditions"/>
      <sheetName val="Table of Contents"/>
      <sheetName val="Introduction"/>
      <sheetName val="Changes Reference"/>
      <sheetName val="Job Matching"/>
      <sheetName val="Leveling"/>
      <sheetName val="F &amp; D - Listing"/>
      <sheetName val="Career Bands by Function"/>
      <sheetName val="Pos Coverage Ref"/>
      <sheetName val="Country.Area.City Codes"/>
      <sheetName val="Industry Groups Reference"/>
      <sheetName val="HR Policies and Practices Ref"/>
      <sheetName val="Benefits Design Practices Ref"/>
      <sheetName val="4 F.D. (VALUES)"/>
      <sheetName val="4 F.D MOCK-UP"/>
      <sheetName val="2017 Position Descrip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WTW_2022">
  <a:themeElements>
    <a:clrScheme name="Custom 37">
      <a:dk1>
        <a:srgbClr val="000000"/>
      </a:dk1>
      <a:lt1>
        <a:srgbClr val="FFFFFF"/>
      </a:lt1>
      <a:dk2>
        <a:srgbClr val="7F35B2"/>
      </a:dk2>
      <a:lt2>
        <a:srgbClr val="E6E6E6"/>
      </a:lt2>
      <a:accent1>
        <a:srgbClr val="48086F"/>
      </a:accent1>
      <a:accent2>
        <a:srgbClr val="C900AC"/>
      </a:accent2>
      <a:accent3>
        <a:srgbClr val="F6517F"/>
      </a:accent3>
      <a:accent4>
        <a:srgbClr val="FF8204"/>
      </a:accent4>
      <a:accent5>
        <a:srgbClr val="FFB92A"/>
      </a:accent5>
      <a:accent6>
        <a:srgbClr val="3ADCC9"/>
      </a:accent6>
      <a:hlink>
        <a:srgbClr val="7F34B2"/>
      </a:hlink>
      <a:folHlink>
        <a:srgbClr val="48086F"/>
      </a:folHlink>
    </a:clrScheme>
    <a:fontScheme name="Times New Roman-Arial">
      <a:majorFont>
        <a:latin typeface="Times New Roman" panose="02020603050405020304"/>
        <a:ea typeface=""/>
        <a:cs typeface=""/>
        <a:font script="Jpan" typeface="ＭＳ Ｐ明朝"/>
        <a:font script="Hang" typeface="바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panose="020B0604020202020204"/>
        <a:ea typeface=""/>
        <a:cs typeface=""/>
        <a:font script="Jpan" typeface="ＭＳ Ｐゴシック"/>
        <a:font script="Hang" typeface="돋움"/>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Them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solidFill>
          <a:schemeClr val="accent1"/>
        </a:solidFill>
        <a:ln>
          <a:noFill/>
        </a:ln>
        <a:effectLst/>
      </a:spPr>
      <a:bodyPr rot="0" spcFirstLastPara="0" vertOverflow="overflow" horzOverflow="overflow" vert="horz" wrap="square" lIns="182880" tIns="0" rIns="182880" bIns="0" numCol="1" spcCol="0" rtlCol="0" fromWordArt="0" anchor="ctr" anchorCtr="0" forceAA="0" compatLnSpc="1">
        <a:prstTxWarp prst="textNoShape">
          <a:avLst/>
        </a:prstTxWarp>
        <a:noAutofit/>
      </a:bodyPr>
      <a:lstStyle>
        <a:defPPr algn="ctr">
          <a:defRPr sz="1600" b="0" i="0">
            <a:solidFill>
              <a:schemeClr val="bg1"/>
            </a:solidFill>
            <a:latin typeface="+mn-lt"/>
            <a:ea typeface="Roboto" panose="02000000000000000000" pitchFamily="2" charset="0"/>
            <a:cs typeface="Roboto" panose="02000000000000000000" pitchFamily="2" charset="0"/>
          </a:defRPr>
        </a:defPPr>
      </a:lstStyle>
    </a:spDef>
    <a:txDef>
      <a:spPr>
        <a:noFill/>
      </a:spPr>
      <a:bodyPr wrap="square" lIns="0" tIns="91440" rIns="0" bIns="0" rtlCol="0">
        <a:normAutofit/>
      </a:bodyPr>
      <a:lstStyle>
        <a:defPPr marL="0" indent="-3657600" algn="l">
          <a:spcAft>
            <a:spcPts val="600"/>
          </a:spcAft>
          <a:defRPr sz="1600" b="0" i="0">
            <a:solidFill>
              <a:schemeClr val="tx2"/>
            </a:solidFill>
            <a:latin typeface="+mn-lt"/>
            <a:ea typeface="Roboto" panose="02000000000000000000" pitchFamily="2" charset="0"/>
            <a:cs typeface="Times New Roman" panose="02020603050405020304" pitchFamily="18" charset="0"/>
          </a:defRPr>
        </a:defPPr>
      </a:lstStyle>
    </a:txDef>
  </a:objectDefaults>
  <a:extraClrSchemeLst/>
  <a:custClrLst>
    <a:custClr name="Ultraviolet">
      <a:srgbClr val="7F35B2"/>
    </a:custClr>
    <a:custClr name="Black">
      <a:srgbClr val="000000"/>
    </a:custClr>
    <a:custClr name="White">
      <a:srgbClr val="FFFFFF"/>
    </a:custClr>
    <a:custClr name="Gray Matter Light">
      <a:srgbClr val="E6E6E6"/>
    </a:custClr>
    <a:custClr name="Gray Matter">
      <a:srgbClr val="BFBFBF"/>
    </a:custClr>
    <a:custClr name="Gray Matter Dark">
      <a:srgbClr val="808080"/>
    </a:custClr>
    <a:custClr name="White">
      <a:srgbClr val="FFFFFF"/>
    </a:custClr>
    <a:custClr name="White">
      <a:srgbClr val="FFFFFF"/>
    </a:custClr>
    <a:custClr name="White">
      <a:srgbClr val="FFFFFF"/>
    </a:custClr>
    <a:custClr name="White">
      <a:srgbClr val="FFFFFF"/>
    </a:custClr>
    <a:custClr name="Ultraviolet Dark">
      <a:srgbClr val="48086F"/>
    </a:custClr>
    <a:custClr name="Fireworks">
      <a:srgbClr val="C900AC"/>
    </a:custClr>
    <a:custClr name="Coral Reef">
      <a:srgbClr val="F6517F"/>
    </a:custClr>
    <a:custClr name="Mandarin">
      <a:srgbClr val="FF8204"/>
    </a:custClr>
    <a:custClr name="Submarine">
      <a:srgbClr val="FFB92A"/>
    </a:custClr>
    <a:custClr name="Infinity">
      <a:srgbClr val="3ADCC9"/>
    </a:custClr>
    <a:custClr name="Stratosphere">
      <a:srgbClr val="327FEF"/>
    </a:custClr>
    <a:custClr name="White">
      <a:srgbClr val="FFFFFF"/>
    </a:custClr>
    <a:custClr name="White">
      <a:srgbClr val="FFFFFF"/>
    </a:custClr>
    <a:custClr name="White">
      <a:srgbClr val="FFFFFF"/>
    </a:custClr>
    <a:custClr name="Ultraviolet Light">
      <a:srgbClr val="C2A8F0"/>
    </a:custClr>
    <a:custClr name="Fireworks Light">
      <a:srgbClr val="E377DC"/>
    </a:custClr>
    <a:custClr name="Coral Reef Light">
      <a:srgbClr val="FFA3C2"/>
    </a:custClr>
    <a:custClr name="Mandarin Light">
      <a:srgbClr val="FFBFAC"/>
    </a:custClr>
    <a:custClr name="Submarine Light">
      <a:srgbClr val="F8E19A"/>
    </a:custClr>
    <a:custClr name="Infinity Light">
      <a:srgbClr val="A8E8E2"/>
    </a:custClr>
    <a:custClr name="Stratosphere Light">
      <a:srgbClr val="C3D7FE"/>
    </a:custClr>
    <a:custClr name="White">
      <a:srgbClr val="FFFFFF"/>
    </a:custClr>
    <a:custClr name="White">
      <a:srgbClr val="FFFFFF"/>
    </a:custClr>
    <a:custClr name="White">
      <a:srgbClr val="FFFFFF"/>
    </a:custClr>
  </a:custClrLst>
  <a:extLst>
    <a:ext uri="{05A4C25C-085E-4340-85A3-A5531E510DB2}">
      <thm15:themeFamily xmlns:thm15="http://schemas.microsoft.com/office/thememl/2012/main" name="WTW_2022" id="{3DC6405E-D6AC-4F2E-A3D2-755339B4E3C5}" vid="{C14EC84F-CF3F-4126-8C6E-3F16F558F8E2}"/>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F1898-F0EC-A249-AB78-9116759BE31B}">
  <sheetPr>
    <tabColor rgb="FF92D050"/>
  </sheetPr>
  <dimension ref="A1:EI639"/>
  <sheetViews>
    <sheetView showGridLines="0" tabSelected="1" topLeftCell="A2" zoomScaleNormal="100" workbookViewId="0">
      <selection activeCell="C3" sqref="C3"/>
    </sheetView>
  </sheetViews>
  <sheetFormatPr baseColWidth="10" defaultColWidth="10.6640625" defaultRowHeight="40.25" customHeight="1" x14ac:dyDescent="0.15"/>
  <cols>
    <col min="1" max="3" width="17.5" style="46" customWidth="1"/>
    <col min="4" max="4" width="14.83203125" style="46" customWidth="1"/>
    <col min="5" max="5" width="16.5" style="46" customWidth="1"/>
    <col min="6" max="6" width="26" style="46" bestFit="1" customWidth="1"/>
    <col min="7" max="7" width="12.5" style="47" customWidth="1"/>
    <col min="8" max="8" width="17.5" style="46" customWidth="1"/>
    <col min="9" max="9" width="12.1640625" style="46" customWidth="1"/>
    <col min="10" max="10" width="11.5" style="47" customWidth="1"/>
    <col min="11" max="13" width="20" style="46" customWidth="1"/>
    <col min="14" max="14" width="18.6640625" style="46" customWidth="1"/>
    <col min="15" max="15" width="33.83203125" style="48" customWidth="1"/>
    <col min="16" max="17" width="42.5" style="7" customWidth="1"/>
    <col min="18" max="18" width="17.33203125" style="7" customWidth="1"/>
    <col min="19" max="19" width="49.5" style="7" customWidth="1"/>
    <col min="20" max="20" width="0.1640625" style="7" customWidth="1"/>
    <col min="21" max="21" width="10.6640625" style="7" customWidth="1"/>
    <col min="22" max="22" width="58.33203125" style="7" customWidth="1"/>
    <col min="23" max="23" width="41.33203125" style="7" customWidth="1"/>
    <col min="24" max="24" width="9.1640625" style="7" customWidth="1"/>
    <col min="25" max="25" width="40.33203125" style="7" customWidth="1"/>
    <col min="26" max="26" width="57.5" style="7" customWidth="1"/>
    <col min="27" max="27" width="57.5" style="49" customWidth="1"/>
    <col min="28" max="16384" width="10.6640625" style="7"/>
  </cols>
  <sheetData>
    <row r="1" spans="1:139" s="6" customFormat="1" ht="40.25" hidden="1" customHeight="1" x14ac:dyDescent="0.15">
      <c r="A1" s="2" t="s">
        <v>0</v>
      </c>
      <c r="B1" s="2" t="s">
        <v>1</v>
      </c>
      <c r="C1" s="2" t="s">
        <v>2</v>
      </c>
      <c r="D1" s="2" t="s">
        <v>3</v>
      </c>
      <c r="E1" s="2" t="s">
        <v>4</v>
      </c>
      <c r="F1" s="2" t="s">
        <v>5</v>
      </c>
      <c r="G1" s="3" t="s">
        <v>6</v>
      </c>
      <c r="H1" s="2" t="s">
        <v>7</v>
      </c>
      <c r="I1" s="2" t="s">
        <v>8</v>
      </c>
      <c r="J1" s="3" t="s">
        <v>9</v>
      </c>
      <c r="K1" s="2" t="s">
        <v>10</v>
      </c>
      <c r="L1" s="2" t="s">
        <v>11</v>
      </c>
      <c r="M1" s="2" t="s">
        <v>12</v>
      </c>
      <c r="N1" s="2" t="s">
        <v>13</v>
      </c>
      <c r="O1" s="4" t="s">
        <v>14</v>
      </c>
      <c r="P1" s="5" t="s">
        <v>15</v>
      </c>
      <c r="Q1" s="2" t="s">
        <v>16</v>
      </c>
      <c r="R1" s="2" t="s">
        <v>17</v>
      </c>
      <c r="S1" s="2" t="s">
        <v>18</v>
      </c>
      <c r="T1" s="2" t="s">
        <v>9</v>
      </c>
      <c r="U1" s="2"/>
      <c r="V1" s="2" t="s">
        <v>19</v>
      </c>
      <c r="W1" s="4" t="s">
        <v>20</v>
      </c>
      <c r="X1" s="5"/>
      <c r="Y1" s="2" t="s">
        <v>21</v>
      </c>
      <c r="Z1" s="2" t="str">
        <f>IFERROR(O1&amp;" - "&amp;G1,"--")</f>
        <v>SIG Full Title - Global Grade</v>
      </c>
      <c r="AA1" s="2" t="s">
        <v>22</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row>
    <row r="2" spans="1:139" s="12" customFormat="1" ht="40.25" customHeight="1" thickBot="1" x14ac:dyDescent="0.2">
      <c r="A2" s="9" t="s">
        <v>0</v>
      </c>
      <c r="B2" s="9" t="s">
        <v>1</v>
      </c>
      <c r="C2" s="9" t="s">
        <v>2</v>
      </c>
      <c r="D2" s="9" t="s">
        <v>3</v>
      </c>
      <c r="E2" s="9" t="s">
        <v>4</v>
      </c>
      <c r="F2" s="9" t="s">
        <v>23</v>
      </c>
      <c r="G2" s="10" t="s">
        <v>6</v>
      </c>
      <c r="H2" s="9" t="s">
        <v>7</v>
      </c>
      <c r="I2" s="9" t="s">
        <v>8</v>
      </c>
      <c r="J2" s="10" t="s">
        <v>9</v>
      </c>
      <c r="K2" s="9" t="s">
        <v>10</v>
      </c>
      <c r="L2" s="9" t="s">
        <v>11</v>
      </c>
      <c r="M2" s="9" t="s">
        <v>12</v>
      </c>
      <c r="N2" s="9" t="s">
        <v>13</v>
      </c>
      <c r="O2" s="9" t="s">
        <v>2</v>
      </c>
      <c r="P2" s="11" t="s">
        <v>15</v>
      </c>
      <c r="Q2" s="9" t="s">
        <v>24</v>
      </c>
      <c r="R2" s="9" t="s">
        <v>17</v>
      </c>
      <c r="S2" s="9" t="s">
        <v>18</v>
      </c>
      <c r="T2" s="9" t="s">
        <v>9</v>
      </c>
      <c r="U2" s="9" t="s">
        <v>25</v>
      </c>
      <c r="V2" s="9" t="s">
        <v>26</v>
      </c>
      <c r="W2" s="9" t="s">
        <v>20</v>
      </c>
      <c r="X2" s="9" t="s">
        <v>6</v>
      </c>
      <c r="Y2" s="9" t="s">
        <v>27</v>
      </c>
      <c r="Z2" s="9" t="str">
        <f>IFERROR(O2&amp;" - "&amp;G2,"--")</f>
        <v>Job Profile - Global Grade</v>
      </c>
      <c r="AA2" s="9" t="s">
        <v>22</v>
      </c>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row>
    <row r="3" spans="1:139" ht="183" thickBot="1" x14ac:dyDescent="0.2">
      <c r="A3" s="17" t="str">
        <f>_xlfn.XLOOKUP(C3,'[1]SIG Job Families &amp; Descriptions'!F:F,'[1]SIG Job Families &amp; Descriptions'!B:B)</f>
        <v>Corporate Affairs/Communications</v>
      </c>
      <c r="B3" s="17" t="str">
        <f>_xlfn.XLOOKUP(C3,'[1]SIG Job Families &amp; Descriptions'!F:F,'[1]SIG Job Families &amp; Descriptions'!D:D)</f>
        <v>General Communications</v>
      </c>
      <c r="C3" s="17" t="s">
        <v>28</v>
      </c>
      <c r="D3" s="13" t="str">
        <f t="shared" ref="D3:D66" si="0">LEFT(E3,3)</f>
        <v>ACA</v>
      </c>
      <c r="E3" s="14" t="str">
        <f>_xlfn.XLOOKUP(C3,'[1]SIG Job Families &amp; Descriptions'!F:F,'[1]SIG Job Families &amp; Descriptions'!A:A)</f>
        <v>ACA000</v>
      </c>
      <c r="F3" s="15" t="s">
        <v>29</v>
      </c>
      <c r="G3" s="16" t="s">
        <v>30</v>
      </c>
      <c r="H3" s="17" t="str">
        <f>F3&amp;"-"&amp;G3</f>
        <v>Management-15</v>
      </c>
      <c r="I3" s="18" t="str">
        <f>IF(ISERROR(_xlfn.XLOOKUP(H3,'[1]SIG Level Structure'!D:D,'[1]SIG Level Structure'!D:D)),"0","1")</f>
        <v>1</v>
      </c>
      <c r="J3" s="19" t="str">
        <f>_xlfn.XLOOKUP($H3,'[1]SIG Level Structure'!$D:$D,'[1]SIG Level Structure'!F:F)</f>
        <v>M3</v>
      </c>
      <c r="K3" s="20" t="str">
        <f>E3&amp;"-"&amp;J3&amp;"-"&amp;G3</f>
        <v>ACA000-M3-15</v>
      </c>
      <c r="L3" s="20" t="str">
        <f>IFERROR(D3&amp;"-"&amp;LEFT(J3,1),"--")</f>
        <v>ACA-M</v>
      </c>
      <c r="M3" s="20" t="str">
        <f>VLOOKUP(L3,'[1]Compatible JC'!$A:$A,1,FALSE)</f>
        <v>ACA-M</v>
      </c>
      <c r="N3" s="20" t="str">
        <f>IFERROR(_xlfn.XLOOKUP(H3,'[1]SIG Level Structure'!D:D,'[1]SIG Level Structure'!C:C),"--")</f>
        <v>Senior Manager</v>
      </c>
      <c r="O3" s="21" t="str">
        <f>IFERROR(TRIM(N3&amp;" "&amp;C3),"--")</f>
        <v>Senior Manager General Communications</v>
      </c>
      <c r="P3" s="22" t="str">
        <f>_xlfn.XLOOKUP(E3,'[1]SIG Job Families &amp; Descriptions'!A:A,'[1]SIG Job Families &amp; Descriptions'!G:G)</f>
        <v>Researches, develops, plans, designs, maintains and implements policies and programs that enhance the organization's relations with the community, the public, government and regulatory authorities, shareholders and employees. Responsibilities are within the Corporate Affairs/Communications function as a generalist or in a combination of disciplines.
Develops and coordinates lines of communication within the organization among employees. Implements policies and programs to increase employee awareness and knowledge of activities affecting employees.</v>
      </c>
      <c r="Q3" s="23" t="str">
        <f>_xlfn.XLOOKUP(E3,'[1]2022 GI Position Descriptions'!E:E,'[1]2022 GI Position Descriptions'!G:G)</f>
        <v>Researches, develops, plans, designs, maintains and implements policies and programs that enhance the organization's relations with the community, the public, government and regulatory authorities, shareholders and employees | Responsibilities are within the Corporate Affairs/Communications Function as a generalist or in a combination of Disciplines</v>
      </c>
      <c r="R3" s="24" t="str">
        <f>IF(LEFT(J3,1)="E","EX",LEFT(J3,1))</f>
        <v>M</v>
      </c>
      <c r="S3" s="24" t="str">
        <f>_xlfn.XLOOKUP($R3,'[1]Career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3" s="24" t="str">
        <f>J3</f>
        <v>M3</v>
      </c>
      <c r="U3" s="25" t="str">
        <f t="shared" ref="U3:U66" si="1">T3</f>
        <v>M3</v>
      </c>
      <c r="V3" s="24" t="str">
        <f>_xlfn.XLOOKUP(T3,'[1]Career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3" s="26" t="str">
        <f>J3&amp;"-"&amp;G3</f>
        <v>M3-15</v>
      </c>
      <c r="X3" s="27" t="str">
        <f>G3</f>
        <v>15</v>
      </c>
      <c r="Y3" s="24" t="str">
        <f>_xlfn.XLOOKUP(W3,'[1]Career Bands &amp; Levels'!A:A,'[1]Career Bands &amp; Levels'!C:C,"No Grade Differentiator")</f>
        <v xml:space="preserve">●	Looks beyond existing methodologies and own discipline to define and resolve complex problems
●	Develops plans and delivers results in fast-changing businesses and/or regulatory environments
●	Provides input to functional or departmental strategy		
●	Manages large, potentially diverse teams of managers and/or senior professionals		
		</v>
      </c>
      <c r="Z3" s="28" t="str">
        <f>IFERROR(O3&amp;" - "&amp;G3,"--")</f>
        <v>Senior Manager General Communications - 15</v>
      </c>
      <c r="AA3" s="29" t="str">
        <f>_xlfn.XLOOKUP($H3,'[1]SIG Qualifications Input'!$D:$D,'[1]SIG Qualifications Input'!$H:$H)</f>
        <v xml:space="preserve">University degree or equivalent and 10+ years of work experience or equivalent
Profound experience in managing performance and results of diverse activities / multiple teams </v>
      </c>
    </row>
    <row r="4" spans="1:139" ht="183" thickBot="1" x14ac:dyDescent="0.2">
      <c r="A4" s="34" t="str">
        <f>_xlfn.XLOOKUP(C4,'[1]SIG Job Families &amp; Descriptions'!F:F,'[1]SIG Job Families &amp; Descriptions'!B:B)</f>
        <v>Corporate Affairs/Communications</v>
      </c>
      <c r="B4" s="34" t="str">
        <f>_xlfn.XLOOKUP(C4,'[1]SIG Job Families &amp; Descriptions'!F:F,'[1]SIG Job Families &amp; Descriptions'!D:D)</f>
        <v>General Communications</v>
      </c>
      <c r="C4" s="34" t="s">
        <v>28</v>
      </c>
      <c r="D4" s="30" t="str">
        <f t="shared" si="0"/>
        <v>ACA</v>
      </c>
      <c r="E4" s="31" t="str">
        <f>_xlfn.XLOOKUP(C4,'[1]SIG Job Families &amp; Descriptions'!F:F,'[1]SIG Job Families &amp; Descriptions'!A:A)</f>
        <v>ACA000</v>
      </c>
      <c r="F4" s="32" t="s">
        <v>29</v>
      </c>
      <c r="G4" s="33" t="s">
        <v>31</v>
      </c>
      <c r="H4" s="34" t="str">
        <f>F4&amp;"-"&amp;G4</f>
        <v>Management-14</v>
      </c>
      <c r="I4" s="35" t="str">
        <f>IF(ISERROR(_xlfn.XLOOKUP(H4,'[1]SIG Level Structure'!D:D,'[1]SIG Level Structure'!D:D)),"0","1")</f>
        <v>1</v>
      </c>
      <c r="J4" s="36" t="str">
        <f>_xlfn.XLOOKUP($H4,'[1]SIG Level Structure'!$D:$D,'[1]SIG Level Structure'!F:F)</f>
        <v>M3</v>
      </c>
      <c r="K4" s="37" t="str">
        <f>E4&amp;"-"&amp;J4&amp;"-"&amp;G4</f>
        <v>ACA000-M3-14</v>
      </c>
      <c r="L4" s="37" t="str">
        <f>IFERROR(D4&amp;"-"&amp;LEFT(J4,1),"--")</f>
        <v>ACA-M</v>
      </c>
      <c r="M4" s="37" t="str">
        <f>VLOOKUP(L4,'[1]Compatible JC'!$A:$A,1,FALSE)</f>
        <v>ACA-M</v>
      </c>
      <c r="N4" s="37" t="str">
        <f>IFERROR(_xlfn.XLOOKUP(H4,'[1]SIG Level Structure'!D:D,'[1]SIG Level Structure'!C:C),"--")</f>
        <v>Senior Manager</v>
      </c>
      <c r="O4" s="38" t="str">
        <f>IFERROR(TRIM(N4&amp;" "&amp;C4),"--")</f>
        <v>Senior Manager General Communications</v>
      </c>
      <c r="P4" s="22" t="str">
        <f>_xlfn.XLOOKUP(E4,'[1]SIG Job Families &amp; Descriptions'!A:A,'[1]SIG Job Families &amp; Descriptions'!G:G)</f>
        <v>Researches, develops, plans, designs, maintains and implements policies and programs that enhance the organization's relations with the community, the public, government and regulatory authorities, shareholders and employees. Responsibilities are within the Corporate Affairs/Communications function as a generalist or in a combination of disciplines.
Develops and coordinates lines of communication within the organization among employees. Implements policies and programs to increase employee awareness and knowledge of activities affecting employees.</v>
      </c>
      <c r="Q4" s="39" t="str">
        <f>_xlfn.XLOOKUP(E4,'[1]2022 GI Position Descriptions'!E:E,'[1]2022 GI Position Descriptions'!G:G)</f>
        <v>Researches, develops, plans, designs, maintains and implements policies and programs that enhance the organization's relations with the community, the public, government and regulatory authorities, shareholders and employees | Responsibilities are within the Corporate Affairs/Communications Function as a generalist or in a combination of Disciplines</v>
      </c>
      <c r="R4" s="22" t="str">
        <f>IF(LEFT(J4,1)="E","EX",LEFT(J4,1))</f>
        <v>M</v>
      </c>
      <c r="S4" s="22" t="str">
        <f>_xlfn.XLOOKUP($R4,'[1]Career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4" s="22" t="str">
        <f>J4</f>
        <v>M3</v>
      </c>
      <c r="U4" s="40" t="str">
        <f t="shared" si="1"/>
        <v>M3</v>
      </c>
      <c r="V4" s="22" t="str">
        <f>_xlfn.XLOOKUP(T4,'[1]Career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4" s="41" t="str">
        <f>J4&amp;"-"&amp;G4</f>
        <v>M3-14</v>
      </c>
      <c r="X4" s="42" t="str">
        <f>G4</f>
        <v>14</v>
      </c>
      <c r="Y4" s="22" t="str">
        <f>_xlfn.XLOOKUP(W4,'[1]Career Bands &amp; Levels'!A:A,'[1]Career Bands &amp; Levels'!C:C,"No Grade Differentiator")</f>
        <v xml:space="preserve">●	Identifies applications of functional knowledge and existing methodologies to complex problems	
●	Manages large teams of professionals and/or junior managers		
		</v>
      </c>
      <c r="Z4" s="43" t="str">
        <f>IFERROR(O4&amp;" - "&amp;G4,"--")</f>
        <v>Senior Manager General Communications - 14</v>
      </c>
      <c r="AA4" s="44" t="str">
        <f>_xlfn.XLOOKUP($H4,'[1]SIG Qualifications Input'!$D:$D,'[1]SIG Qualifications Input'!$H:$H)</f>
        <v xml:space="preserve">University degree or equivalent and 10+ years of work experience or equivalent
Profound experience in managing performance and results of diverse activities / multiple teams </v>
      </c>
    </row>
    <row r="5" spans="1:139" ht="183" thickBot="1" x14ac:dyDescent="0.2">
      <c r="A5" s="34" t="str">
        <f>_xlfn.XLOOKUP(C5,'[1]SIG Job Families &amp; Descriptions'!F:F,'[1]SIG Job Families &amp; Descriptions'!B:B)</f>
        <v>Corporate Affairs/Communications</v>
      </c>
      <c r="B5" s="34" t="str">
        <f>_xlfn.XLOOKUP(C5,'[1]SIG Job Families &amp; Descriptions'!F:F,'[1]SIG Job Families &amp; Descriptions'!D:D)</f>
        <v>General Communications</v>
      </c>
      <c r="C5" s="34" t="s">
        <v>28</v>
      </c>
      <c r="D5" s="30" t="str">
        <f t="shared" si="0"/>
        <v>ACA</v>
      </c>
      <c r="E5" s="31" t="str">
        <f>_xlfn.XLOOKUP(C5,'[1]SIG Job Families &amp; Descriptions'!F:F,'[1]SIG Job Families &amp; Descriptions'!A:A)</f>
        <v>ACA000</v>
      </c>
      <c r="F5" s="32" t="s">
        <v>32</v>
      </c>
      <c r="G5" s="33" t="s">
        <v>31</v>
      </c>
      <c r="H5" s="34" t="str">
        <f>F5&amp;"-"&amp;G5</f>
        <v>Professional-14</v>
      </c>
      <c r="I5" s="35" t="str">
        <f>IF(ISERROR(_xlfn.XLOOKUP(H5,'[1]SIG Level Structure'!D:D,'[1]SIG Level Structure'!D:D)),"0","1")</f>
        <v>1</v>
      </c>
      <c r="J5" s="36" t="str">
        <f>_xlfn.XLOOKUP($H5,'[1]SIG Level Structure'!$D:$D,'[1]SIG Level Structure'!F:F)</f>
        <v>P4</v>
      </c>
      <c r="K5" s="37" t="str">
        <f>E5&amp;"-"&amp;J5&amp;"-"&amp;G5</f>
        <v>ACA000-P4-14</v>
      </c>
      <c r="L5" s="37" t="str">
        <f>IFERROR(D5&amp;"-"&amp;LEFT(J5,1),"--")</f>
        <v>ACA-P</v>
      </c>
      <c r="M5" s="37" t="str">
        <f>VLOOKUP(L5,'[1]Compatible JC'!$A:$A,1,FALSE)</f>
        <v>ACA-P</v>
      </c>
      <c r="N5" s="37" t="str">
        <f>IFERROR(_xlfn.XLOOKUP(H5,'[1]SIG Level Structure'!D:D,'[1]SIG Level Structure'!C:C),"--")</f>
        <v>Senior Expert</v>
      </c>
      <c r="O5" s="38" t="str">
        <f>IFERROR(TRIM(N5&amp;" "&amp;C5),"--")</f>
        <v>Senior Expert General Communications</v>
      </c>
      <c r="P5" s="22" t="str">
        <f>_xlfn.XLOOKUP(E5,'[1]SIG Job Families &amp; Descriptions'!A:A,'[1]SIG Job Families &amp; Descriptions'!G:G)</f>
        <v>Researches, develops, plans, designs, maintains and implements policies and programs that enhance the organization's relations with the community, the public, government and regulatory authorities, shareholders and employees. Responsibilities are within the Corporate Affairs/Communications function as a generalist or in a combination of disciplines.
Develops and coordinates lines of communication within the organization among employees. Implements policies and programs to increase employee awareness and knowledge of activities affecting employees.</v>
      </c>
      <c r="Q5" s="39" t="str">
        <f>_xlfn.XLOOKUP(E5,'[1]2022 GI Position Descriptions'!E:E,'[1]2022 GI Position Descriptions'!G:G)</f>
        <v>Researches, develops, plans, designs, maintains and implements policies and programs that enhance the organization's relations with the community, the public, government and regulatory authorities, shareholders and employees | Responsibilities are within the Corporate Affairs/Communications Function as a generalist or in a combination of Disciplines</v>
      </c>
      <c r="R5" s="22" t="str">
        <f>IF(LEFT(J5,1)="E","EX",LEFT(J5,1))</f>
        <v>P</v>
      </c>
      <c r="S5" s="22" t="str">
        <f>_xlfn.XLOOKUP($R5,'[1]Career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 s="22" t="str">
        <f>J5</f>
        <v>P4</v>
      </c>
      <c r="U5" s="40" t="str">
        <f t="shared" si="1"/>
        <v>P4</v>
      </c>
      <c r="V5" s="22" t="str">
        <f>_xlfn.XLOOKUP(T5,'[1]Career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5" s="41" t="str">
        <f>J5&amp;"-"&amp;G5</f>
        <v>P4-14</v>
      </c>
      <c r="X5" s="42" t="str">
        <f>G5</f>
        <v>14</v>
      </c>
      <c r="Y5" s="22" t="str">
        <f>_xlfn.XLOOKUP(W5,'[1]Career Bands &amp; Levels'!A:A,'[1]Career Bands &amp; Levels'!C:C,"No Grade Differentiator")</f>
        <v xml:space="preserve">●	Guides others in resolving complex issues in own specialized area and solves complex problems with implications on cross-functional business processes and outcomes		
●	Serves as an advisor and applies knowledge of strategies that can be deployed within own function and discipline		
●	Applies working knowledge of the theories and concepts in other disciplines		
●	May lead teams or projects with broad visibility		</v>
      </c>
      <c r="Z5" s="43" t="str">
        <f>IFERROR(O5&amp;" - "&amp;G5,"--")</f>
        <v>Senior Expert General Communications - 14</v>
      </c>
      <c r="AA5" s="44" t="str">
        <f>_xlfn.XLOOKUP($H5,'[1]SIG Qualifications Input'!$D:$D,'[1]SIG Qualifications Input'!$H:$H)</f>
        <v>University degree or equivalent and 8-10 years of work experience or equivalent, 
Experience in functionally leading (sub-)projects / teams</v>
      </c>
    </row>
    <row r="6" spans="1:139" ht="183" thickBot="1" x14ac:dyDescent="0.2">
      <c r="A6" s="34" t="str">
        <f>_xlfn.XLOOKUP(C6,'[1]SIG Job Families &amp; Descriptions'!F:F,'[1]SIG Job Families &amp; Descriptions'!B:B)</f>
        <v>Corporate Affairs/Communications</v>
      </c>
      <c r="B6" s="34" t="str">
        <f>_xlfn.XLOOKUP(C6,'[1]SIG Job Families &amp; Descriptions'!F:F,'[1]SIG Job Families &amp; Descriptions'!D:D)</f>
        <v>General Communications</v>
      </c>
      <c r="C6" s="34" t="s">
        <v>28</v>
      </c>
      <c r="D6" s="30" t="str">
        <f t="shared" si="0"/>
        <v>ACA</v>
      </c>
      <c r="E6" s="31" t="str">
        <f>_xlfn.XLOOKUP(C6,'[1]SIG Job Families &amp; Descriptions'!F:F,'[1]SIG Job Families &amp; Descriptions'!A:A)</f>
        <v>ACA000</v>
      </c>
      <c r="F6" s="32" t="s">
        <v>32</v>
      </c>
      <c r="G6" s="33" t="s">
        <v>33</v>
      </c>
      <c r="H6" s="34" t="str">
        <f>F6&amp;"-"&amp;G6</f>
        <v>Professional-13</v>
      </c>
      <c r="I6" s="35" t="str">
        <f>IF(ISERROR(_xlfn.XLOOKUP(H6,'[1]SIG Level Structure'!D:D,'[1]SIG Level Structure'!D:D)),"0","1")</f>
        <v>1</v>
      </c>
      <c r="J6" s="36" t="str">
        <f>_xlfn.XLOOKUP($H6,'[1]SIG Level Structure'!$D:$D,'[1]SIG Level Structure'!F:F)</f>
        <v>P4</v>
      </c>
      <c r="K6" s="37" t="str">
        <f>E6&amp;"-"&amp;J6&amp;"-"&amp;G6</f>
        <v>ACA000-P4-13</v>
      </c>
      <c r="L6" s="37" t="str">
        <f>IFERROR(D6&amp;"-"&amp;LEFT(J6,1),"--")</f>
        <v>ACA-P</v>
      </c>
      <c r="M6" s="37" t="str">
        <f>VLOOKUP(L6,'[1]Compatible JC'!$A:$A,1,FALSE)</f>
        <v>ACA-P</v>
      </c>
      <c r="N6" s="37" t="str">
        <f>IFERROR(_xlfn.XLOOKUP(H6,'[1]SIG Level Structure'!D:D,'[1]SIG Level Structure'!C:C),"--")</f>
        <v>Senior Expert</v>
      </c>
      <c r="O6" s="38" t="str">
        <f>IFERROR(TRIM(N6&amp;" "&amp;C6),"--")</f>
        <v>Senior Expert General Communications</v>
      </c>
      <c r="P6" s="22" t="str">
        <f>_xlfn.XLOOKUP(E6,'[1]SIG Job Families &amp; Descriptions'!A:A,'[1]SIG Job Families &amp; Descriptions'!G:G)</f>
        <v>Researches, develops, plans, designs, maintains and implements policies and programs that enhance the organization's relations with the community, the public, government and regulatory authorities, shareholders and employees. Responsibilities are within the Corporate Affairs/Communications function as a generalist or in a combination of disciplines.
Develops and coordinates lines of communication within the organization among employees. Implements policies and programs to increase employee awareness and knowledge of activities affecting employees.</v>
      </c>
      <c r="Q6" s="39" t="str">
        <f>_xlfn.XLOOKUP(E6,'[1]2022 GI Position Descriptions'!E:E,'[1]2022 GI Position Descriptions'!G:G)</f>
        <v>Researches, develops, plans, designs, maintains and implements policies and programs that enhance the organization's relations with the community, the public, government and regulatory authorities, shareholders and employees | Responsibilities are within the Corporate Affairs/Communications Function as a generalist or in a combination of Disciplines</v>
      </c>
      <c r="R6" s="22" t="str">
        <f>IF(LEFT(J6,1)="E","EX",LEFT(J6,1))</f>
        <v>P</v>
      </c>
      <c r="S6" s="22" t="str">
        <f>_xlfn.XLOOKUP($R6,'[1]Career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6" s="22" t="str">
        <f>J6</f>
        <v>P4</v>
      </c>
      <c r="U6" s="40" t="str">
        <f t="shared" si="1"/>
        <v>P4</v>
      </c>
      <c r="V6" s="22" t="str">
        <f>_xlfn.XLOOKUP(T6,'[1]Career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6" s="41" t="str">
        <f>J6&amp;"-"&amp;G6</f>
        <v>P4-13</v>
      </c>
      <c r="X6" s="42" t="str">
        <f>G6</f>
        <v>13</v>
      </c>
      <c r="Y6" s="22" t="str">
        <f>_xlfn.XLOOKUP(W6,'[1]Career Bands &amp; Levels'!A:A,'[1]Career Bands &amp; Levels'!C:C,"No Grade Differentiator")</f>
        <v xml:space="preserve">●	Guides others in resolving complex issues in specialized area based on existing solutions and procedures		
●	Serves as an expert within own discipline		
●	May lead function teams or projects and serves as a best practices/quality resource		
●	Trains/mentors junior staff		</v>
      </c>
      <c r="Z6" s="43" t="str">
        <f>IFERROR(O6&amp;" - "&amp;G6,"--")</f>
        <v>Senior Expert General Communications - 13</v>
      </c>
      <c r="AA6" s="44" t="str">
        <f>_xlfn.XLOOKUP($H6,'[1]SIG Qualifications Input'!$D:$D,'[1]SIG Qualifications Input'!$H:$H)</f>
        <v>University degree or equivalent and 8-10 years of work experience or equivalent, 
Experience in functionally leading (sub-)projects / teams</v>
      </c>
    </row>
    <row r="7" spans="1:139" ht="183" thickBot="1" x14ac:dyDescent="0.2">
      <c r="A7" s="34" t="str">
        <f>_xlfn.XLOOKUP(C7,'[1]SIG Job Families &amp; Descriptions'!F:F,'[1]SIG Job Families &amp; Descriptions'!B:B)</f>
        <v>Corporate Affairs/Communications</v>
      </c>
      <c r="B7" s="34" t="str">
        <f>_xlfn.XLOOKUP(C7,'[1]SIG Job Families &amp; Descriptions'!F:F,'[1]SIG Job Families &amp; Descriptions'!D:D)</f>
        <v>General Communications</v>
      </c>
      <c r="C7" s="34" t="s">
        <v>28</v>
      </c>
      <c r="D7" s="30" t="str">
        <f t="shared" si="0"/>
        <v>ACA</v>
      </c>
      <c r="E7" s="31" t="str">
        <f>_xlfn.XLOOKUP(C7,'[1]SIG Job Families &amp; Descriptions'!F:F,'[1]SIG Job Families &amp; Descriptions'!A:A)</f>
        <v>ACA000</v>
      </c>
      <c r="F7" s="32" t="s">
        <v>32</v>
      </c>
      <c r="G7" s="33" t="s">
        <v>34</v>
      </c>
      <c r="H7" s="34" t="str">
        <f>F7&amp;"-"&amp;G7</f>
        <v>Professional-12</v>
      </c>
      <c r="I7" s="35" t="str">
        <f>IF(ISERROR(_xlfn.XLOOKUP(H7,'[1]SIG Level Structure'!D:D,'[1]SIG Level Structure'!D:D)),"0","1")</f>
        <v>1</v>
      </c>
      <c r="J7" s="36" t="str">
        <f>_xlfn.XLOOKUP($H7,'[1]SIG Level Structure'!$D:$D,'[1]SIG Level Structure'!F:F)</f>
        <v>P3</v>
      </c>
      <c r="K7" s="37" t="str">
        <f>E7&amp;"-"&amp;J7&amp;"-"&amp;G7</f>
        <v>ACA000-P3-12</v>
      </c>
      <c r="L7" s="37" t="str">
        <f>IFERROR(D7&amp;"-"&amp;LEFT(J7,1),"--")</f>
        <v>ACA-P</v>
      </c>
      <c r="M7" s="37" t="str">
        <f>VLOOKUP(L7,'[1]Compatible JC'!$A:$A,1,FALSE)</f>
        <v>ACA-P</v>
      </c>
      <c r="N7" s="37" t="str">
        <f>IFERROR(_xlfn.XLOOKUP(H7,'[1]SIG Level Structure'!D:D,'[1]SIG Level Structure'!C:C),"--")</f>
        <v>Expert</v>
      </c>
      <c r="O7" s="38" t="str">
        <f>IFERROR(TRIM(N7&amp;" "&amp;C7),"--")</f>
        <v>Expert General Communications</v>
      </c>
      <c r="P7" s="22" t="str">
        <f>_xlfn.XLOOKUP(E7,'[1]SIG Job Families &amp; Descriptions'!A:A,'[1]SIG Job Families &amp; Descriptions'!G:G)</f>
        <v>Researches, develops, plans, designs, maintains and implements policies and programs that enhance the organization's relations with the community, the public, government and regulatory authorities, shareholders and employees. Responsibilities are within the Corporate Affairs/Communications function as a generalist or in a combination of disciplines.
Develops and coordinates lines of communication within the organization among employees. Implements policies and programs to increase employee awareness and knowledge of activities affecting employees.</v>
      </c>
      <c r="Q7" s="39" t="str">
        <f>_xlfn.XLOOKUP(E7,'[1]2022 GI Position Descriptions'!E:E,'[1]2022 GI Position Descriptions'!G:G)</f>
        <v>Researches, develops, plans, designs, maintains and implements policies and programs that enhance the organization's relations with the community, the public, government and regulatory authorities, shareholders and employees | Responsibilities are within the Corporate Affairs/Communications Function as a generalist or in a combination of Disciplines</v>
      </c>
      <c r="R7" s="22" t="str">
        <f>IF(LEFT(J7,1)="E","EX",LEFT(J7,1))</f>
        <v>P</v>
      </c>
      <c r="S7" s="22" t="str">
        <f>_xlfn.XLOOKUP($R7,'[1]Career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7" s="22" t="str">
        <f>J7</f>
        <v>P3</v>
      </c>
      <c r="U7" s="40" t="str">
        <f t="shared" si="1"/>
        <v>P3</v>
      </c>
      <c r="V7" s="22" t="str">
        <f>_xlfn.XLOOKUP(T7,'[1]Career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7" s="41" t="str">
        <f>J7&amp;"-"&amp;G7</f>
        <v>P3-12</v>
      </c>
      <c r="X7" s="42" t="str">
        <f>G7</f>
        <v>12</v>
      </c>
      <c r="Y7" s="22" t="str">
        <f>_xlfn.XLOOKUP(W7,'[1]Career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7" s="43" t="str">
        <f>IFERROR(O7&amp;" - "&amp;G7,"--")</f>
        <v>Expert General Communications - 12</v>
      </c>
      <c r="AA7" s="44" t="str">
        <f>_xlfn.XLOOKUP($H7,'[1]SIG Qualifications Input'!$D:$D,'[1]SIG Qualifications Input'!$H:$H)</f>
        <v>University degree or equivalent and 4-8 years of work experience or equivalent, 
Initial experience in functionally leading (sub-) projects</v>
      </c>
    </row>
    <row r="8" spans="1:139" ht="183" thickBot="1" x14ac:dyDescent="0.2">
      <c r="A8" s="34" t="str">
        <f>_xlfn.XLOOKUP(C8,'[1]SIG Job Families &amp; Descriptions'!F:F,'[1]SIG Job Families &amp; Descriptions'!B:B)</f>
        <v>Corporate Affairs/Communications</v>
      </c>
      <c r="B8" s="34" t="str">
        <f>_xlfn.XLOOKUP(C8,'[1]SIG Job Families &amp; Descriptions'!F:F,'[1]SIG Job Families &amp; Descriptions'!D:D)</f>
        <v>General Communications</v>
      </c>
      <c r="C8" s="34" t="s">
        <v>28</v>
      </c>
      <c r="D8" s="30" t="str">
        <f t="shared" si="0"/>
        <v>ACA</v>
      </c>
      <c r="E8" s="31" t="str">
        <f>_xlfn.XLOOKUP(C8,'[1]SIG Job Families &amp; Descriptions'!F:F,'[1]SIG Job Families &amp; Descriptions'!A:A)</f>
        <v>ACA000</v>
      </c>
      <c r="F8" s="32" t="s">
        <v>32</v>
      </c>
      <c r="G8" s="33" t="s">
        <v>35</v>
      </c>
      <c r="H8" s="34" t="str">
        <f>F8&amp;"-"&amp;G8</f>
        <v>Professional-11</v>
      </c>
      <c r="I8" s="35" t="str">
        <f>IF(ISERROR(_xlfn.XLOOKUP(H8,'[1]SIG Level Structure'!D:D,'[1]SIG Level Structure'!D:D)),"0","1")</f>
        <v>1</v>
      </c>
      <c r="J8" s="36" t="str">
        <f>_xlfn.XLOOKUP($H8,'[1]SIG Level Structure'!$D:$D,'[1]SIG Level Structure'!F:F)</f>
        <v>P3</v>
      </c>
      <c r="K8" s="37" t="str">
        <f>E8&amp;"-"&amp;J8&amp;"-"&amp;G8</f>
        <v>ACA000-P3-11</v>
      </c>
      <c r="L8" s="37" t="str">
        <f>IFERROR(D8&amp;"-"&amp;LEFT(J8,1),"--")</f>
        <v>ACA-P</v>
      </c>
      <c r="M8" s="37" t="str">
        <f>VLOOKUP(L8,'[1]Compatible JC'!$A:$A,1,FALSE)</f>
        <v>ACA-P</v>
      </c>
      <c r="N8" s="37" t="str">
        <f>IFERROR(_xlfn.XLOOKUP(H8,'[1]SIG Level Structure'!D:D,'[1]SIG Level Structure'!C:C),"--")</f>
        <v>Expert</v>
      </c>
      <c r="O8" s="38" t="str">
        <f>IFERROR(TRIM(N8&amp;" "&amp;C8),"--")</f>
        <v>Expert General Communications</v>
      </c>
      <c r="P8" s="22" t="str">
        <f>_xlfn.XLOOKUP(E8,'[1]SIG Job Families &amp; Descriptions'!A:A,'[1]SIG Job Families &amp; Descriptions'!G:G)</f>
        <v>Researches, develops, plans, designs, maintains and implements policies and programs that enhance the organization's relations with the community, the public, government and regulatory authorities, shareholders and employees. Responsibilities are within the Corporate Affairs/Communications function as a generalist or in a combination of disciplines.
Develops and coordinates lines of communication within the organization among employees. Implements policies and programs to increase employee awareness and knowledge of activities affecting employees.</v>
      </c>
      <c r="Q8" s="39" t="str">
        <f>_xlfn.XLOOKUP(E8,'[1]2022 GI Position Descriptions'!E:E,'[1]2022 GI Position Descriptions'!G:G)</f>
        <v>Researches, develops, plans, designs, maintains and implements policies and programs that enhance the organization's relations with the community, the public, government and regulatory authorities, shareholders and employees | Responsibilities are within the Corporate Affairs/Communications Function as a generalist or in a combination of Disciplines</v>
      </c>
      <c r="R8" s="22" t="str">
        <f>IF(LEFT(J8,1)="E","EX",LEFT(J8,1))</f>
        <v>P</v>
      </c>
      <c r="S8" s="22" t="str">
        <f>_xlfn.XLOOKUP($R8,'[1]Career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8" s="22" t="str">
        <f>J8</f>
        <v>P3</v>
      </c>
      <c r="U8" s="40" t="str">
        <f t="shared" si="1"/>
        <v>P3</v>
      </c>
      <c r="V8" s="22" t="str">
        <f>_xlfn.XLOOKUP(T8,'[1]Career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8" s="41" t="str">
        <f>J8&amp;"-"&amp;G8</f>
        <v>P3-11</v>
      </c>
      <c r="X8" s="42" t="str">
        <f>G8</f>
        <v>11</v>
      </c>
      <c r="Y8" s="22" t="str">
        <f>_xlfn.XLOOKUP(W8,'[1]Career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8" s="43" t="str">
        <f>IFERROR(O8&amp;" - "&amp;G8,"--")</f>
        <v>Expert General Communications - 11</v>
      </c>
      <c r="AA8" s="44" t="str">
        <f>_xlfn.XLOOKUP($H8,'[1]SIG Qualifications Input'!$D:$D,'[1]SIG Qualifications Input'!$H:$H)</f>
        <v>University degree or equivalent and 4-8 years of work experience or equivalent, 
Initial experience in functionally leading (sub-) projects</v>
      </c>
    </row>
    <row r="9" spans="1:139" ht="183" thickBot="1" x14ac:dyDescent="0.2">
      <c r="A9" s="34" t="str">
        <f>_xlfn.XLOOKUP(C9,'[1]SIG Job Families &amp; Descriptions'!F:F,'[1]SIG Job Families &amp; Descriptions'!B:B)</f>
        <v>Corporate Affairs/Communications</v>
      </c>
      <c r="B9" s="34" t="str">
        <f>_xlfn.XLOOKUP(C9,'[1]SIG Job Families &amp; Descriptions'!F:F,'[1]SIG Job Families &amp; Descriptions'!D:D)</f>
        <v>General Communications</v>
      </c>
      <c r="C9" s="34" t="s">
        <v>28</v>
      </c>
      <c r="D9" s="30" t="str">
        <f t="shared" si="0"/>
        <v>ACA</v>
      </c>
      <c r="E9" s="31" t="str">
        <f>_xlfn.XLOOKUP(C9,'[1]SIG Job Families &amp; Descriptions'!F:F,'[1]SIG Job Families &amp; Descriptions'!A:A)</f>
        <v>ACA000</v>
      </c>
      <c r="F9" s="32" t="s">
        <v>32</v>
      </c>
      <c r="G9" s="33" t="s">
        <v>36</v>
      </c>
      <c r="H9" s="34" t="str">
        <f>F9&amp;"-"&amp;G9</f>
        <v>Professional-10</v>
      </c>
      <c r="I9" s="35" t="str">
        <f>IF(ISERROR(_xlfn.XLOOKUP(H9,'[1]SIG Level Structure'!D:D,'[1]SIG Level Structure'!D:D)),"0","1")</f>
        <v>1</v>
      </c>
      <c r="J9" s="36" t="str">
        <f>_xlfn.XLOOKUP($H9,'[1]SIG Level Structure'!$D:$D,'[1]SIG Level Structure'!F:F)</f>
        <v>P2</v>
      </c>
      <c r="K9" s="37" t="str">
        <f>E9&amp;"-"&amp;J9&amp;"-"&amp;G9</f>
        <v>ACA000-P2-10</v>
      </c>
      <c r="L9" s="37" t="str">
        <f>IFERROR(D9&amp;"-"&amp;LEFT(J9,1),"--")</f>
        <v>ACA-P</v>
      </c>
      <c r="M9" s="37" t="str">
        <f>VLOOKUP(L9,'[1]Compatible JC'!$A:$A,1,FALSE)</f>
        <v>ACA-P</v>
      </c>
      <c r="N9" s="37" t="str">
        <f>IFERROR(_xlfn.XLOOKUP(H9,'[1]SIG Level Structure'!D:D,'[1]SIG Level Structure'!C:C),"--")</f>
        <v>Senior Specialist</v>
      </c>
      <c r="O9" s="38" t="str">
        <f>IFERROR(TRIM(N9&amp;" "&amp;C9),"--")</f>
        <v>Senior Specialist General Communications</v>
      </c>
      <c r="P9" s="22" t="str">
        <f>_xlfn.XLOOKUP(E9,'[1]SIG Job Families &amp; Descriptions'!A:A,'[1]SIG Job Families &amp; Descriptions'!G:G)</f>
        <v>Researches, develops, plans, designs, maintains and implements policies and programs that enhance the organization's relations with the community, the public, government and regulatory authorities, shareholders and employees. Responsibilities are within the Corporate Affairs/Communications function as a generalist or in a combination of disciplines.
Develops and coordinates lines of communication within the organization among employees. Implements policies and programs to increase employee awareness and knowledge of activities affecting employees.</v>
      </c>
      <c r="Q9" s="39" t="str">
        <f>_xlfn.XLOOKUP(E9,'[1]2022 GI Position Descriptions'!E:E,'[1]2022 GI Position Descriptions'!G:G)</f>
        <v>Researches, develops, plans, designs, maintains and implements policies and programs that enhance the organization's relations with the community, the public, government and regulatory authorities, shareholders and employees | Responsibilities are within the Corporate Affairs/Communications Function as a generalist or in a combination of Disciplines</v>
      </c>
      <c r="R9" s="22" t="str">
        <f>IF(LEFT(J9,1)="E","EX",LEFT(J9,1))</f>
        <v>P</v>
      </c>
      <c r="S9" s="22" t="str">
        <f>_xlfn.XLOOKUP($R9,'[1]Career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9" s="22" t="str">
        <f>J9</f>
        <v>P2</v>
      </c>
      <c r="U9" s="40" t="str">
        <f t="shared" si="1"/>
        <v>P2</v>
      </c>
      <c r="V9" s="22" t="str">
        <f>_xlfn.XLOOKUP(T9,'[1]Career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9" s="41" t="str">
        <f>J9&amp;"-"&amp;G9</f>
        <v>P2-10</v>
      </c>
      <c r="X9" s="42" t="str">
        <f>G9</f>
        <v>10</v>
      </c>
      <c r="Y9" s="22" t="str">
        <f>_xlfn.XLOOKUP(W9,'[1]Career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9" s="43" t="str">
        <f>IFERROR(O9&amp;" - "&amp;G9,"--")</f>
        <v>Senior Specialist General Communications - 10</v>
      </c>
      <c r="AA9" s="44" t="str">
        <f>_xlfn.XLOOKUP($H9,'[1]SIG Qualifications Input'!$D:$D,'[1]SIG Qualifications Input'!$H:$H)</f>
        <v>University degree or equivalent and 2-4 years of work experience or equivalent</v>
      </c>
    </row>
    <row r="10" spans="1:139" ht="183" thickBot="1" x14ac:dyDescent="0.2">
      <c r="A10" s="34" t="str">
        <f>_xlfn.XLOOKUP(C10,'[1]SIG Job Families &amp; Descriptions'!F:F,'[1]SIG Job Families &amp; Descriptions'!B:B)</f>
        <v>Corporate Affairs/Communications</v>
      </c>
      <c r="B10" s="34" t="str">
        <f>_xlfn.XLOOKUP(C10,'[1]SIG Job Families &amp; Descriptions'!F:F,'[1]SIG Job Families &amp; Descriptions'!D:D)</f>
        <v>General Communications</v>
      </c>
      <c r="C10" s="34" t="s">
        <v>28</v>
      </c>
      <c r="D10" s="30" t="str">
        <f t="shared" si="0"/>
        <v>ACA</v>
      </c>
      <c r="E10" s="31" t="str">
        <f>_xlfn.XLOOKUP(C10,'[1]SIG Job Families &amp; Descriptions'!F:F,'[1]SIG Job Families &amp; Descriptions'!A:A)</f>
        <v>ACA000</v>
      </c>
      <c r="F10" s="32" t="s">
        <v>32</v>
      </c>
      <c r="G10" s="33" t="s">
        <v>37</v>
      </c>
      <c r="H10" s="34" t="str">
        <f>F10&amp;"-"&amp;G10</f>
        <v>Professional-09</v>
      </c>
      <c r="I10" s="35" t="str">
        <f>IF(ISERROR(_xlfn.XLOOKUP(H10,'[1]SIG Level Structure'!D:D,'[1]SIG Level Structure'!D:D)),"0","1")</f>
        <v>1</v>
      </c>
      <c r="J10" s="36" t="str">
        <f>_xlfn.XLOOKUP($H10,'[1]SIG Level Structure'!$D:$D,'[1]SIG Level Structure'!F:F)</f>
        <v>P2</v>
      </c>
      <c r="K10" s="37" t="str">
        <f>E10&amp;"-"&amp;J10&amp;"-"&amp;G10</f>
        <v>ACA000-P2-09</v>
      </c>
      <c r="L10" s="37" t="str">
        <f>IFERROR(D10&amp;"-"&amp;LEFT(J10,1),"--")</f>
        <v>ACA-P</v>
      </c>
      <c r="M10" s="37" t="str">
        <f>VLOOKUP(L10,'[1]Compatible JC'!$A:$A,1,FALSE)</f>
        <v>ACA-P</v>
      </c>
      <c r="N10" s="37" t="str">
        <f>IFERROR(_xlfn.XLOOKUP(H10,'[1]SIG Level Structure'!D:D,'[1]SIG Level Structure'!C:C),"--")</f>
        <v>Senior Specialist</v>
      </c>
      <c r="O10" s="38" t="str">
        <f>IFERROR(TRIM(N10&amp;" "&amp;C10),"--")</f>
        <v>Senior Specialist General Communications</v>
      </c>
      <c r="P10" s="22" t="str">
        <f>_xlfn.XLOOKUP(E10,'[1]SIG Job Families &amp; Descriptions'!A:A,'[1]SIG Job Families &amp; Descriptions'!G:G)</f>
        <v>Researches, develops, plans, designs, maintains and implements policies and programs that enhance the organization's relations with the community, the public, government and regulatory authorities, shareholders and employees. Responsibilities are within the Corporate Affairs/Communications function as a generalist or in a combination of disciplines.
Develops and coordinates lines of communication within the organization among employees. Implements policies and programs to increase employee awareness and knowledge of activities affecting employees.</v>
      </c>
      <c r="Q10" s="39" t="str">
        <f>_xlfn.XLOOKUP(E10,'[1]2022 GI Position Descriptions'!E:E,'[1]2022 GI Position Descriptions'!G:G)</f>
        <v>Researches, develops, plans, designs, maintains and implements policies and programs that enhance the organization's relations with the community, the public, government and regulatory authorities, shareholders and employees | Responsibilities are within the Corporate Affairs/Communications Function as a generalist or in a combination of Disciplines</v>
      </c>
      <c r="R10" s="22" t="str">
        <f>IF(LEFT(J10,1)="E","EX",LEFT(J10,1))</f>
        <v>P</v>
      </c>
      <c r="S10" s="22" t="str">
        <f>_xlfn.XLOOKUP($R10,'[1]Career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0" s="22" t="str">
        <f>J10</f>
        <v>P2</v>
      </c>
      <c r="U10" s="40" t="str">
        <f t="shared" si="1"/>
        <v>P2</v>
      </c>
      <c r="V10" s="22" t="str">
        <f>_xlfn.XLOOKUP(T10,'[1]Career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10" s="41" t="str">
        <f>J10&amp;"-"&amp;G10</f>
        <v>P2-09</v>
      </c>
      <c r="X10" s="42" t="str">
        <f>G10</f>
        <v>09</v>
      </c>
      <c r="Y10" s="22" t="str">
        <f>_xlfn.XLOOKUP(W10,'[1]Career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10" s="43" t="str">
        <f>IFERROR(O10&amp;" - "&amp;G10,"--")</f>
        <v>Senior Specialist General Communications - 09</v>
      </c>
      <c r="AA10" s="44" t="str">
        <f>_xlfn.XLOOKUP($H10,'[1]SIG Qualifications Input'!$D:$D,'[1]SIG Qualifications Input'!$H:$H)</f>
        <v>University degree or equivalent and 2-4 years of work experience or equivalent</v>
      </c>
    </row>
    <row r="11" spans="1:139" ht="183" thickBot="1" x14ac:dyDescent="0.2">
      <c r="A11" s="34" t="str">
        <f>_xlfn.XLOOKUP(C11,'[1]SIG Job Families &amp; Descriptions'!F:F,'[1]SIG Job Families &amp; Descriptions'!B:B)</f>
        <v>Corporate Affairs/Communications</v>
      </c>
      <c r="B11" s="34" t="str">
        <f>_xlfn.XLOOKUP(C11,'[1]SIG Job Families &amp; Descriptions'!F:F,'[1]SIG Job Families &amp; Descriptions'!D:D)</f>
        <v>General Communications</v>
      </c>
      <c r="C11" s="34" t="s">
        <v>38</v>
      </c>
      <c r="D11" s="30" t="str">
        <f t="shared" si="0"/>
        <v>ACD</v>
      </c>
      <c r="E11" s="31" t="str">
        <f>_xlfn.XLOOKUP(C11,'[1]SIG Job Families &amp; Descriptions'!F:F,'[1]SIG Job Families &amp; Descriptions'!A:A)</f>
        <v>ACD030</v>
      </c>
      <c r="F11" s="32" t="s">
        <v>32</v>
      </c>
      <c r="G11" s="33" t="s">
        <v>31</v>
      </c>
      <c r="H11" s="34" t="str">
        <f>F11&amp;"-"&amp;G11</f>
        <v>Professional-14</v>
      </c>
      <c r="I11" s="35" t="str">
        <f>IF(ISERROR(_xlfn.XLOOKUP(H11,'[1]SIG Level Structure'!D:D,'[1]SIG Level Structure'!D:D)),"0","1")</f>
        <v>1</v>
      </c>
      <c r="J11" s="36" t="str">
        <f>_xlfn.XLOOKUP($H11,'[1]SIG Level Structure'!$D:$D,'[1]SIG Level Structure'!F:F)</f>
        <v>P4</v>
      </c>
      <c r="K11" s="37" t="str">
        <f>E11&amp;"-"&amp;J11&amp;"-"&amp;G11</f>
        <v>ACD030-P4-14</v>
      </c>
      <c r="L11" s="37" t="str">
        <f>IFERROR(D11&amp;"-"&amp;LEFT(J11,1),"--")</f>
        <v>ACD-P</v>
      </c>
      <c r="M11" s="37" t="str">
        <f>VLOOKUP(L11,'[1]Compatible JC'!$A:$A,1,FALSE)</f>
        <v>ACD-P</v>
      </c>
      <c r="N11" s="37" t="str">
        <f>IFERROR(_xlfn.XLOOKUP(H11,'[1]SIG Level Structure'!D:D,'[1]SIG Level Structure'!C:C),"--")</f>
        <v>Senior Expert</v>
      </c>
      <c r="O11" s="38" t="str">
        <f>IFERROR(TRIM(N11&amp;" "&amp;C11),"--")</f>
        <v>Senior Expert Corporate Development</v>
      </c>
      <c r="P11" s="22" t="str">
        <f>_xlfn.XLOOKUP(E11,'[1]SIG Job Families &amp; Descriptions'!A:A,'[1]SIG Job Families &amp; Descriptions'!G:G)</f>
        <v>Researches, develops, plans, designs, maintains and implements policies and programs that enhance the organization's relations with the community, the public, government and regulatory authorities, shareholders and employees. Responsibilities are within the Corporate Affairs/Communications function as a generalist or in a combination of disciplines.
Develops and coordinates lines of communication within the organization among employees. Implements policies and programs to increase employee awareness and knowledge of activities affecting employees.</v>
      </c>
      <c r="Q11" s="39" t="str">
        <f>_xlfn.XLOOKUP(E11,'[1]2022 GI Position Descriptions'!E:E,'[1]2022 GI Position Descriptions'!G:G)</f>
        <v>Plans and executes strategies to meet organization's long-range goals including acquisitions/divestitures and strategic business alliances | Evaluates and develops new market initiatives and analyzes business opportunities in both new and existing markets | Develops proposals, including feasibility studies, for new business opportunities | Identifies, analyzes and compares alternative opportunities for entering new markets and adopting new technologies</v>
      </c>
      <c r="R11" s="22" t="str">
        <f>IF(LEFT(J11,1)="E","EX",LEFT(J11,1))</f>
        <v>P</v>
      </c>
      <c r="S11" s="22" t="str">
        <f>_xlfn.XLOOKUP($R11,'[1]Career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1" s="22" t="str">
        <f>J11</f>
        <v>P4</v>
      </c>
      <c r="U11" s="40" t="str">
        <f t="shared" si="1"/>
        <v>P4</v>
      </c>
      <c r="V11" s="22" t="str">
        <f>_xlfn.XLOOKUP(T11,'[1]Career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11" s="41" t="str">
        <f>J11&amp;"-"&amp;G11</f>
        <v>P4-14</v>
      </c>
      <c r="X11" s="42" t="str">
        <f>G11</f>
        <v>14</v>
      </c>
      <c r="Y11" s="22" t="str">
        <f>_xlfn.XLOOKUP(W11,'[1]Career Bands &amp; Levels'!A:A,'[1]Career Bands &amp; Levels'!C:C,"No Grade Differentiator")</f>
        <v xml:space="preserve">●	Guides others in resolving complex issues in own specialized area and solves complex problems with implications on cross-functional business processes and outcomes		
●	Serves as an advisor and applies knowledge of strategies that can be deployed within own function and discipline		
●	Applies working knowledge of the theories and concepts in other disciplines		
●	May lead teams or projects with broad visibility		</v>
      </c>
      <c r="Z11" s="43" t="str">
        <f>IFERROR(O11&amp;" - "&amp;G11,"--")</f>
        <v>Senior Expert Corporate Development - 14</v>
      </c>
      <c r="AA11" s="44" t="str">
        <f>_xlfn.XLOOKUP($H11,'[1]SIG Qualifications Input'!$D:$D,'[1]SIG Qualifications Input'!$H:$H)</f>
        <v>University degree or equivalent and 8-10 years of work experience or equivalent, 
Experience in functionally leading (sub-)projects / teams</v>
      </c>
    </row>
    <row r="12" spans="1:139" ht="183" thickBot="1" x14ac:dyDescent="0.2">
      <c r="A12" s="34" t="str">
        <f>_xlfn.XLOOKUP(C12,'[1]SIG Job Families &amp; Descriptions'!F:F,'[1]SIG Job Families &amp; Descriptions'!B:B)</f>
        <v>Corporate Affairs/Communications</v>
      </c>
      <c r="B12" s="34" t="str">
        <f>_xlfn.XLOOKUP(C12,'[1]SIG Job Families &amp; Descriptions'!F:F,'[1]SIG Job Families &amp; Descriptions'!D:D)</f>
        <v>General Communications</v>
      </c>
      <c r="C12" s="34" t="s">
        <v>38</v>
      </c>
      <c r="D12" s="30" t="str">
        <f t="shared" si="0"/>
        <v>ACD</v>
      </c>
      <c r="E12" s="31" t="str">
        <f>_xlfn.XLOOKUP(C12,'[1]SIG Job Families &amp; Descriptions'!F:F,'[1]SIG Job Families &amp; Descriptions'!A:A)</f>
        <v>ACD030</v>
      </c>
      <c r="F12" s="32" t="s">
        <v>32</v>
      </c>
      <c r="G12" s="33" t="s">
        <v>33</v>
      </c>
      <c r="H12" s="34" t="str">
        <f>F12&amp;"-"&amp;G12</f>
        <v>Professional-13</v>
      </c>
      <c r="I12" s="35" t="str">
        <f>IF(ISERROR(_xlfn.XLOOKUP(H12,'[1]SIG Level Structure'!D:D,'[1]SIG Level Structure'!D:D)),"0","1")</f>
        <v>1</v>
      </c>
      <c r="J12" s="36" t="str">
        <f>_xlfn.XLOOKUP($H12,'[1]SIG Level Structure'!$D:$D,'[1]SIG Level Structure'!F:F)</f>
        <v>P4</v>
      </c>
      <c r="K12" s="37" t="str">
        <f>E12&amp;"-"&amp;J12&amp;"-"&amp;G12</f>
        <v>ACD030-P4-13</v>
      </c>
      <c r="L12" s="37" t="str">
        <f>IFERROR(D12&amp;"-"&amp;LEFT(J12,1),"--")</f>
        <v>ACD-P</v>
      </c>
      <c r="M12" s="37" t="str">
        <f>VLOOKUP(L12,'[1]Compatible JC'!$A:$A,1,FALSE)</f>
        <v>ACD-P</v>
      </c>
      <c r="N12" s="37" t="str">
        <f>IFERROR(_xlfn.XLOOKUP(H12,'[1]SIG Level Structure'!D:D,'[1]SIG Level Structure'!C:C),"--")</f>
        <v>Senior Expert</v>
      </c>
      <c r="O12" s="38" t="str">
        <f>IFERROR(TRIM(N12&amp;" "&amp;C12),"--")</f>
        <v>Senior Expert Corporate Development</v>
      </c>
      <c r="P12" s="22" t="str">
        <f>_xlfn.XLOOKUP(E12,'[1]SIG Job Families &amp; Descriptions'!A:A,'[1]SIG Job Families &amp; Descriptions'!G:G)</f>
        <v>Researches, develops, plans, designs, maintains and implements policies and programs that enhance the organization's relations with the community, the public, government and regulatory authorities, shareholders and employees. Responsibilities are within the Corporate Affairs/Communications function as a generalist or in a combination of disciplines.
Develops and coordinates lines of communication within the organization among employees. Implements policies and programs to increase employee awareness and knowledge of activities affecting employees.</v>
      </c>
      <c r="Q12" s="39" t="str">
        <f>_xlfn.XLOOKUP(E12,'[1]2022 GI Position Descriptions'!E:E,'[1]2022 GI Position Descriptions'!G:G)</f>
        <v>Plans and executes strategies to meet organization's long-range goals including acquisitions/divestitures and strategic business alliances | Evaluates and develops new market initiatives and analyzes business opportunities in both new and existing markets | Develops proposals, including feasibility studies, for new business opportunities | Identifies, analyzes and compares alternative opportunities for entering new markets and adopting new technologies</v>
      </c>
      <c r="R12" s="22" t="str">
        <f>IF(LEFT(J12,1)="E","EX",LEFT(J12,1))</f>
        <v>P</v>
      </c>
      <c r="S12" s="22" t="str">
        <f>_xlfn.XLOOKUP($R12,'[1]Career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2" s="22" t="str">
        <f>J12</f>
        <v>P4</v>
      </c>
      <c r="U12" s="40" t="str">
        <f t="shared" si="1"/>
        <v>P4</v>
      </c>
      <c r="V12" s="22" t="str">
        <f>_xlfn.XLOOKUP(T12,'[1]Career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12" s="41" t="str">
        <f>J12&amp;"-"&amp;G12</f>
        <v>P4-13</v>
      </c>
      <c r="X12" s="42" t="str">
        <f>G12</f>
        <v>13</v>
      </c>
      <c r="Y12" s="22" t="str">
        <f>_xlfn.XLOOKUP(W12,'[1]Career Bands &amp; Levels'!A:A,'[1]Career Bands &amp; Levels'!C:C,"No Grade Differentiator")</f>
        <v xml:space="preserve">●	Guides others in resolving complex issues in specialized area based on existing solutions and procedures		
●	Serves as an expert within own discipline		
●	May lead function teams or projects and serves as a best practices/quality resource		
●	Trains/mentors junior staff		</v>
      </c>
      <c r="Z12" s="43" t="str">
        <f>IFERROR(O12&amp;" - "&amp;G12,"--")</f>
        <v>Senior Expert Corporate Development - 13</v>
      </c>
      <c r="AA12" s="44" t="str">
        <f>_xlfn.XLOOKUP($H12,'[1]SIG Qualifications Input'!$D:$D,'[1]SIG Qualifications Input'!$H:$H)</f>
        <v>University degree or equivalent and 8-10 years of work experience or equivalent, 
Experience in functionally leading (sub-)projects / teams</v>
      </c>
    </row>
    <row r="13" spans="1:139" ht="169" thickBot="1" x14ac:dyDescent="0.2">
      <c r="A13" s="34" t="str">
        <f>_xlfn.XLOOKUP(C13,'[1]SIG Job Families &amp; Descriptions'!F:F,'[1]SIG Job Families &amp; Descriptions'!B:B)</f>
        <v>Corporate Affairs/Communications</v>
      </c>
      <c r="B13" s="34" t="str">
        <f>_xlfn.XLOOKUP(C13,'[1]SIG Job Families &amp; Descriptions'!F:F,'[1]SIG Job Families &amp; Descriptions'!D:D)</f>
        <v>Investor Relations</v>
      </c>
      <c r="C13" s="34" t="s">
        <v>39</v>
      </c>
      <c r="D13" s="30" t="str">
        <f t="shared" si="0"/>
        <v>ACA</v>
      </c>
      <c r="E13" s="31" t="str">
        <f>_xlfn.XLOOKUP(C13,'[1]SIG Job Families &amp; Descriptions'!F:F,'[1]SIG Job Families &amp; Descriptions'!A:A)</f>
        <v>ACA090</v>
      </c>
      <c r="F13" s="32" t="s">
        <v>32</v>
      </c>
      <c r="G13" s="33" t="s">
        <v>40</v>
      </c>
      <c r="H13" s="34" t="str">
        <f>F13&amp;"-"&amp;G13</f>
        <v>Professional-16</v>
      </c>
      <c r="I13" s="35" t="str">
        <f>IF(ISERROR(_xlfn.XLOOKUP(H13,'[1]SIG Level Structure'!D:D,'[1]SIG Level Structure'!D:D)),"0","1")</f>
        <v>1</v>
      </c>
      <c r="J13" s="36" t="str">
        <f>_xlfn.XLOOKUP($H13,'[1]SIG Level Structure'!$D:$D,'[1]SIG Level Structure'!F:F)</f>
        <v>P6</v>
      </c>
      <c r="K13" s="37" t="str">
        <f>E13&amp;"-"&amp;J13&amp;"-"&amp;G13</f>
        <v>ACA090-P6-16</v>
      </c>
      <c r="L13" s="37" t="str">
        <f>IFERROR(D13&amp;"-"&amp;LEFT(J13,1),"--")</f>
        <v>ACA-P</v>
      </c>
      <c r="M13" s="37" t="str">
        <f>VLOOKUP(L13,'[1]Compatible JC'!$A:$A,1,FALSE)</f>
        <v>ACA-P</v>
      </c>
      <c r="N13" s="37" t="str">
        <f>IFERROR(_xlfn.XLOOKUP(H13,'[1]SIG Level Structure'!D:D,'[1]SIG Level Structure'!C:C),"--")</f>
        <v>Lead Expert</v>
      </c>
      <c r="O13" s="38" t="str">
        <f>IFERROR(TRIM(N13&amp;" "&amp;C13),"--")</f>
        <v>Lead Expert Investor Relations</v>
      </c>
      <c r="P13" s="22" t="str">
        <f>_xlfn.XLOOKUP(E13,'[1]SIG Job Families &amp; Descriptions'!A:A,'[1]SIG Job Families &amp; Descriptions'!G:G)</f>
        <v xml:space="preserve">Maintains and improves relations and communications between the organization and the investing public, shareholders and financial professionals to enhance the standing of the organization's stock and debt. Develops, maintains and enhances working relationships with institutions in the financial community that hold, or may hold, the organization's stock or debt. Monitors changes and trends in investment markets and determines appropriate strategy.
</v>
      </c>
      <c r="Q13" s="39" t="str">
        <f>_xlfn.XLOOKUP(E13,'[1]2022 GI Position Descriptions'!E:E,'[1]2022 GI Position Descriptions'!G:G)</f>
        <v>Maintains and improves relations and communications between the organization and the investing public, shareholders and financial professionals to enhance the standing of the organization's stock and debt | Develops, maintains and enhances working relationships with institutions in the financial community that hold, or may hold, the organization's stock or debt | Monitors changes and trends in investment markets and determines appropriate strategy</v>
      </c>
      <c r="R13" s="22" t="str">
        <f>IF(LEFT(J13,1)="E","EX",LEFT(J13,1))</f>
        <v>P</v>
      </c>
      <c r="S13" s="22" t="str">
        <f>_xlfn.XLOOKUP($R13,'[1]Career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3" s="22" t="str">
        <f>J13</f>
        <v>P6</v>
      </c>
      <c r="U13" s="40" t="str">
        <f t="shared" si="1"/>
        <v>P6</v>
      </c>
      <c r="V13" s="22" t="str">
        <f>_xlfn.XLOOKUP(T13,'[1]Career Bands &amp; Levels'!A:A,'[1]Career Bands &amp; Levels'!C:C)</f>
        <v xml:space="preserve">●	Is recognized as an external thought leader within strategic function or discipline		
●	Has broad and comprehensive expertise in leading-edge theories, techniques and/or technologies within own function or discipline		
●	Proactively identifies and solves the most complex problems that impact the management and direction of the business		
●	Participates in the development of the product or business strategy		
●	Leads multidisciplinary projects or initiatives		
●	Progression to this level is typically restricted on the basis of individual capabilities and business requirements		</v>
      </c>
      <c r="W13" s="41" t="str">
        <f>J13&amp;"-"&amp;G13</f>
        <v>P6-16</v>
      </c>
      <c r="X13" s="42" t="str">
        <f>G13</f>
        <v>16</v>
      </c>
      <c r="Y13" s="22" t="str">
        <f>_xlfn.XLOOKUP(W13,'[1]Career Bands &amp; Levels'!A:A,'[1]Career Bands &amp; Levels'!C:C,"No Grade Differentiator")</f>
        <v xml:space="preserve">●	Typically found in Global Grade 18 or higher organizations		
●	Contributes thought leadership and innovation that influences change and advancement of the industry and/or profession		
●	Leads large projects/initiatives that impact the business on a domestic or international scale		</v>
      </c>
      <c r="Z13" s="43" t="str">
        <f>IFERROR(O13&amp;" - "&amp;G13,"--")</f>
        <v>Lead Expert Investor Relations - 16</v>
      </c>
      <c r="AA13" s="44" t="str">
        <f>_xlfn.XLOOKUP($H13,'[1]SIG Qualifications Input'!$D:$D,'[1]SIG Qualifications Input'!$H:$H)</f>
        <v>University degree or equivalent and 10+ years of work experience or equivalent, 
Very experienced in functionally leading cross-functional projects</v>
      </c>
    </row>
    <row r="14" spans="1:139" ht="197" thickBot="1" x14ac:dyDescent="0.2">
      <c r="A14" s="34" t="str">
        <f>_xlfn.XLOOKUP(C14,'[1]SIG Job Families &amp; Descriptions'!F:F,'[1]SIG Job Families &amp; Descriptions'!B:B)</f>
        <v>Corporate Affairs/Communications</v>
      </c>
      <c r="B14" s="34" t="str">
        <f>_xlfn.XLOOKUP(C14,'[1]SIG Job Families &amp; Descriptions'!F:F,'[1]SIG Job Families &amp; Descriptions'!D:D)</f>
        <v>Investor Relations</v>
      </c>
      <c r="C14" s="34" t="s">
        <v>39</v>
      </c>
      <c r="D14" s="30" t="str">
        <f t="shared" si="0"/>
        <v>ACA</v>
      </c>
      <c r="E14" s="31" t="str">
        <f>_xlfn.XLOOKUP(C14,'[1]SIG Job Families &amp; Descriptions'!F:F,'[1]SIG Job Families &amp; Descriptions'!A:A)</f>
        <v>ACA090</v>
      </c>
      <c r="F14" s="32" t="s">
        <v>32</v>
      </c>
      <c r="G14" s="33" t="s">
        <v>30</v>
      </c>
      <c r="H14" s="34" t="str">
        <f>F14&amp;"-"&amp;G14</f>
        <v>Professional-15</v>
      </c>
      <c r="I14" s="35" t="str">
        <f>IF(ISERROR(_xlfn.XLOOKUP(H14,'[1]SIG Level Structure'!D:D,'[1]SIG Level Structure'!D:D)),"0","1")</f>
        <v>1</v>
      </c>
      <c r="J14" s="36" t="str">
        <f>_xlfn.XLOOKUP($H14,'[1]SIG Level Structure'!$D:$D,'[1]SIG Level Structure'!F:F)</f>
        <v>P5</v>
      </c>
      <c r="K14" s="37" t="str">
        <f>E14&amp;"-"&amp;J14&amp;"-"&amp;G14</f>
        <v>ACA090-P5-15</v>
      </c>
      <c r="L14" s="37" t="str">
        <f>IFERROR(D14&amp;"-"&amp;LEFT(J14,1),"--")</f>
        <v>ACA-P</v>
      </c>
      <c r="M14" s="37" t="str">
        <f>VLOOKUP(L14,'[1]Compatible JC'!$A:$A,1,FALSE)</f>
        <v>ACA-P</v>
      </c>
      <c r="N14" s="37" t="str">
        <f>IFERROR(_xlfn.XLOOKUP(H14,'[1]SIG Level Structure'!D:D,'[1]SIG Level Structure'!C:C),"--")</f>
        <v>Lead Expert</v>
      </c>
      <c r="O14" s="38" t="str">
        <f>IFERROR(TRIM(N14&amp;" "&amp;C14),"--")</f>
        <v>Lead Expert Investor Relations</v>
      </c>
      <c r="P14" s="22" t="str">
        <f>_xlfn.XLOOKUP(E14,'[1]SIG Job Families &amp; Descriptions'!A:A,'[1]SIG Job Families &amp; Descriptions'!G:G)</f>
        <v xml:space="preserve">Maintains and improves relations and communications between the organization and the investing public, shareholders and financial professionals to enhance the standing of the organization's stock and debt. Develops, maintains and enhances working relationships with institutions in the financial community that hold, or may hold, the organization's stock or debt. Monitors changes and trends in investment markets and determines appropriate strategy.
</v>
      </c>
      <c r="Q14" s="39" t="str">
        <f>_xlfn.XLOOKUP(E14,'[1]2022 GI Position Descriptions'!E:E,'[1]2022 GI Position Descriptions'!G:G)</f>
        <v>Maintains and improves relations and communications between the organization and the investing public, shareholders and financial professionals to enhance the standing of the organization's stock and debt | Develops, maintains and enhances working relationships with institutions in the financial community that hold, or may hold, the organization's stock or debt | Monitors changes and trends in investment markets and determines appropriate strategy</v>
      </c>
      <c r="R14" s="22" t="str">
        <f>IF(LEFT(J14,1)="E","EX",LEFT(J14,1))</f>
        <v>P</v>
      </c>
      <c r="S14" s="22" t="str">
        <f>_xlfn.XLOOKUP($R14,'[1]Career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4" s="22" t="str">
        <f>J14</f>
        <v>P5</v>
      </c>
      <c r="U14" s="40" t="str">
        <f t="shared" si="1"/>
        <v>P5</v>
      </c>
      <c r="V14" s="22" t="str">
        <f>_xlfn.XLOOKUP(T14,'[1]Career Bands &amp; Levels'!A:A,'[1]Career Bands &amp; Levels'!C:C)</f>
        <v xml:space="preserve">●	Is recognized as an expert and advisor within the organization and has in-depth and/or breadth of expertise in own discipline and broad knowledge of other disciplines within the function		
●	Anticipates internal and/or external business challenges and/or regulatory issues; recommends process, product or service improvements		
●	Solves unique and complex problems that have a broad impact on the business		
●	Contributes to the development of functional strategy		
●	Leads teams or projects with broad visibility to achieve milestones and objectives		
●	Progression to this level is typically restricted on the basis of business requirements		
●	Typically operates with broad latitude in a complex environment		</v>
      </c>
      <c r="W14" s="41" t="str">
        <f>J14&amp;"-"&amp;G14</f>
        <v>P5-15</v>
      </c>
      <c r="X14" s="42" t="str">
        <f>G14</f>
        <v>15</v>
      </c>
      <c r="Y14" s="22" t="str">
        <f>_xlfn.XLOOKUP(W14,'[1]Career Bands &amp; Levels'!A:A,'[1]Career Bands &amp; Levels'!C:C,"No Grade Differentiator")</f>
        <v>No Grade Differentiator</v>
      </c>
      <c r="Z14" s="43" t="str">
        <f>IFERROR(O14&amp;" - "&amp;G14,"--")</f>
        <v>Lead Expert Investor Relations - 15</v>
      </c>
      <c r="AA14" s="44" t="str">
        <f>_xlfn.XLOOKUP($H14,'[1]SIG Qualifications Input'!$D:$D,'[1]SIG Qualifications Input'!$H:$H)</f>
        <v>University degree or equivalent and 10+ years of work experience or equivalent, 
Very experienced in functionally leading cross-functional projects</v>
      </c>
    </row>
    <row r="15" spans="1:139" ht="169" thickBot="1" x14ac:dyDescent="0.2">
      <c r="A15" s="34" t="str">
        <f>_xlfn.XLOOKUP(C15,'[1]SIG Job Families &amp; Descriptions'!F:F,'[1]SIG Job Families &amp; Descriptions'!B:B)</f>
        <v>Corporate Affairs/Communications</v>
      </c>
      <c r="B15" s="34" t="str">
        <f>_xlfn.XLOOKUP(C15,'[1]SIG Job Families &amp; Descriptions'!F:F,'[1]SIG Job Families &amp; Descriptions'!D:D)</f>
        <v>Investor Relations</v>
      </c>
      <c r="C15" s="34" t="s">
        <v>39</v>
      </c>
      <c r="D15" s="30" t="str">
        <f t="shared" si="0"/>
        <v>ACA</v>
      </c>
      <c r="E15" s="31" t="str">
        <f>_xlfn.XLOOKUP(C15,'[1]SIG Job Families &amp; Descriptions'!F:F,'[1]SIG Job Families &amp; Descriptions'!A:A)</f>
        <v>ACA090</v>
      </c>
      <c r="F15" s="32" t="s">
        <v>32</v>
      </c>
      <c r="G15" s="33" t="s">
        <v>34</v>
      </c>
      <c r="H15" s="34" t="str">
        <f>F15&amp;"-"&amp;G15</f>
        <v>Professional-12</v>
      </c>
      <c r="I15" s="35" t="str">
        <f>IF(ISERROR(_xlfn.XLOOKUP(H15,'[1]SIG Level Structure'!D:D,'[1]SIG Level Structure'!D:D)),"0","1")</f>
        <v>1</v>
      </c>
      <c r="J15" s="36" t="str">
        <f>_xlfn.XLOOKUP($H15,'[1]SIG Level Structure'!$D:$D,'[1]SIG Level Structure'!F:F)</f>
        <v>P3</v>
      </c>
      <c r="K15" s="37" t="str">
        <f>E15&amp;"-"&amp;J15&amp;"-"&amp;G15</f>
        <v>ACA090-P3-12</v>
      </c>
      <c r="L15" s="37" t="str">
        <f>IFERROR(D15&amp;"-"&amp;LEFT(J15,1),"--")</f>
        <v>ACA-P</v>
      </c>
      <c r="M15" s="37" t="str">
        <f>VLOOKUP(L15,'[1]Compatible JC'!$A:$A,1,FALSE)</f>
        <v>ACA-P</v>
      </c>
      <c r="N15" s="37" t="str">
        <f>IFERROR(_xlfn.XLOOKUP(H15,'[1]SIG Level Structure'!D:D,'[1]SIG Level Structure'!C:C),"--")</f>
        <v>Expert</v>
      </c>
      <c r="O15" s="38" t="str">
        <f>IFERROR(TRIM(N15&amp;" "&amp;C15),"--")</f>
        <v>Expert Investor Relations</v>
      </c>
      <c r="P15" s="22" t="str">
        <f>_xlfn.XLOOKUP(E15,'[1]SIG Job Families &amp; Descriptions'!A:A,'[1]SIG Job Families &amp; Descriptions'!G:G)</f>
        <v xml:space="preserve">Maintains and improves relations and communications between the organization and the investing public, shareholders and financial professionals to enhance the standing of the organization's stock and debt. Develops, maintains and enhances working relationships with institutions in the financial community that hold, or may hold, the organization's stock or debt. Monitors changes and trends in investment markets and determines appropriate strategy.
</v>
      </c>
      <c r="Q15" s="39" t="str">
        <f>_xlfn.XLOOKUP(E15,'[1]2022 GI Position Descriptions'!E:E,'[1]2022 GI Position Descriptions'!G:G)</f>
        <v>Maintains and improves relations and communications between the organization and the investing public, shareholders and financial professionals to enhance the standing of the organization's stock and debt | Develops, maintains and enhances working relationships with institutions in the financial community that hold, or may hold, the organization's stock or debt | Monitors changes and trends in investment markets and determines appropriate strategy</v>
      </c>
      <c r="R15" s="22" t="str">
        <f>IF(LEFT(J15,1)="E","EX",LEFT(J15,1))</f>
        <v>P</v>
      </c>
      <c r="S15" s="22" t="str">
        <f>_xlfn.XLOOKUP($R15,'[1]Career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5" s="22" t="str">
        <f>J15</f>
        <v>P3</v>
      </c>
      <c r="U15" s="40" t="str">
        <f t="shared" si="1"/>
        <v>P3</v>
      </c>
      <c r="V15" s="22" t="str">
        <f>_xlfn.XLOOKUP(T15,'[1]Career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15" s="41" t="str">
        <f>J15&amp;"-"&amp;G15</f>
        <v>P3-12</v>
      </c>
      <c r="X15" s="42" t="str">
        <f>G15</f>
        <v>12</v>
      </c>
      <c r="Y15" s="22" t="str">
        <f>_xlfn.XLOOKUP(W15,'[1]Career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15" s="43" t="str">
        <f>IFERROR(O15&amp;" - "&amp;G15,"--")</f>
        <v>Expert Investor Relations - 12</v>
      </c>
      <c r="AA15" s="44" t="str">
        <f>_xlfn.XLOOKUP($H15,'[1]SIG Qualifications Input'!$D:$D,'[1]SIG Qualifications Input'!$H:$H)</f>
        <v>University degree or equivalent and 4-8 years of work experience or equivalent, 
Initial experience in functionally leading (sub-) projects</v>
      </c>
    </row>
    <row r="16" spans="1:139" ht="169" thickBot="1" x14ac:dyDescent="0.2">
      <c r="A16" s="34" t="str">
        <f>_xlfn.XLOOKUP(C16,'[1]SIG Job Families &amp; Descriptions'!F:F,'[1]SIG Job Families &amp; Descriptions'!B:B)</f>
        <v>Corporate Affairs/Communications</v>
      </c>
      <c r="B16" s="34" t="str">
        <f>_xlfn.XLOOKUP(C16,'[1]SIG Job Families &amp; Descriptions'!F:F,'[1]SIG Job Families &amp; Descriptions'!D:D)</f>
        <v>Investor Relations</v>
      </c>
      <c r="C16" s="34" t="s">
        <v>39</v>
      </c>
      <c r="D16" s="30" t="str">
        <f t="shared" si="0"/>
        <v>ACA</v>
      </c>
      <c r="E16" s="31" t="str">
        <f>_xlfn.XLOOKUP(C16,'[1]SIG Job Families &amp; Descriptions'!F:F,'[1]SIG Job Families &amp; Descriptions'!A:A)</f>
        <v>ACA090</v>
      </c>
      <c r="F16" s="32" t="s">
        <v>32</v>
      </c>
      <c r="G16" s="33" t="s">
        <v>35</v>
      </c>
      <c r="H16" s="34" t="str">
        <f>F16&amp;"-"&amp;G16</f>
        <v>Professional-11</v>
      </c>
      <c r="I16" s="35" t="str">
        <f>IF(ISERROR(_xlfn.XLOOKUP(H16,'[1]SIG Level Structure'!D:D,'[1]SIG Level Structure'!D:D)),"0","1")</f>
        <v>1</v>
      </c>
      <c r="J16" s="36" t="str">
        <f>_xlfn.XLOOKUP($H16,'[1]SIG Level Structure'!$D:$D,'[1]SIG Level Structure'!F:F)</f>
        <v>P3</v>
      </c>
      <c r="K16" s="37" t="str">
        <f>E16&amp;"-"&amp;J16&amp;"-"&amp;G16</f>
        <v>ACA090-P3-11</v>
      </c>
      <c r="L16" s="37" t="str">
        <f>IFERROR(D16&amp;"-"&amp;LEFT(J16,1),"--")</f>
        <v>ACA-P</v>
      </c>
      <c r="M16" s="37" t="str">
        <f>VLOOKUP(L16,'[1]Compatible JC'!$A:$A,1,FALSE)</f>
        <v>ACA-P</v>
      </c>
      <c r="N16" s="37" t="str">
        <f>IFERROR(_xlfn.XLOOKUP(H16,'[1]SIG Level Structure'!D:D,'[1]SIG Level Structure'!C:C),"--")</f>
        <v>Expert</v>
      </c>
      <c r="O16" s="38" t="str">
        <f>IFERROR(TRIM(N16&amp;" "&amp;C16),"--")</f>
        <v>Expert Investor Relations</v>
      </c>
      <c r="P16" s="22" t="str">
        <f>_xlfn.XLOOKUP(E16,'[1]SIG Job Families &amp; Descriptions'!A:A,'[1]SIG Job Families &amp; Descriptions'!G:G)</f>
        <v xml:space="preserve">Maintains and improves relations and communications between the organization and the investing public, shareholders and financial professionals to enhance the standing of the organization's stock and debt. Develops, maintains and enhances working relationships with institutions in the financial community that hold, or may hold, the organization's stock or debt. Monitors changes and trends in investment markets and determines appropriate strategy.
</v>
      </c>
      <c r="Q16" s="39" t="str">
        <f>_xlfn.XLOOKUP(E16,'[1]2022 GI Position Descriptions'!E:E,'[1]2022 GI Position Descriptions'!G:G)</f>
        <v>Maintains and improves relations and communications between the organization and the investing public, shareholders and financial professionals to enhance the standing of the organization's stock and debt | Develops, maintains and enhances working relationships with institutions in the financial community that hold, or may hold, the organization's stock or debt | Monitors changes and trends in investment markets and determines appropriate strategy</v>
      </c>
      <c r="R16" s="22" t="str">
        <f>IF(LEFT(J16,1)="E","EX",LEFT(J16,1))</f>
        <v>P</v>
      </c>
      <c r="S16" s="22" t="str">
        <f>_xlfn.XLOOKUP($R16,'[1]Career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6" s="22" t="str">
        <f>J16</f>
        <v>P3</v>
      </c>
      <c r="U16" s="40" t="str">
        <f t="shared" si="1"/>
        <v>P3</v>
      </c>
      <c r="V16" s="22" t="str">
        <f>_xlfn.XLOOKUP(T16,'[1]Career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16" s="41" t="str">
        <f>J16&amp;"-"&amp;G16</f>
        <v>P3-11</v>
      </c>
      <c r="X16" s="42" t="str">
        <f>G16</f>
        <v>11</v>
      </c>
      <c r="Y16" s="22" t="str">
        <f>_xlfn.XLOOKUP(W16,'[1]Career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16" s="43" t="str">
        <f>IFERROR(O16&amp;" - "&amp;G16,"--")</f>
        <v>Expert Investor Relations - 11</v>
      </c>
      <c r="AA16" s="44" t="str">
        <f>_xlfn.XLOOKUP($H16,'[1]SIG Qualifications Input'!$D:$D,'[1]SIG Qualifications Input'!$H:$H)</f>
        <v>University degree or equivalent and 4-8 years of work experience or equivalent, 
Initial experience in functionally leading (sub-) projects</v>
      </c>
    </row>
    <row r="17" spans="1:27" ht="253" thickBot="1" x14ac:dyDescent="0.2">
      <c r="A17" s="34" t="str">
        <f>_xlfn.XLOOKUP(C17,'[1]SIG Job Families &amp; Descriptions'!F:F,'[1]SIG Job Families &amp; Descriptions'!B:B)</f>
        <v>Corporate Affairs/Communications</v>
      </c>
      <c r="B17" s="34" t="str">
        <f>_xlfn.XLOOKUP(C17,'[1]SIG Job Families &amp; Descriptions'!F:F,'[1]SIG Job Families &amp; Descriptions'!D:D)</f>
        <v>Government Relations</v>
      </c>
      <c r="C17" s="34" t="s">
        <v>41</v>
      </c>
      <c r="D17" s="30" t="str">
        <f t="shared" si="0"/>
        <v>ACA</v>
      </c>
      <c r="E17" s="31" t="str">
        <f>_xlfn.XLOOKUP(C17,'[1]SIG Job Families &amp; Descriptions'!F:F,'[1]SIG Job Families &amp; Descriptions'!A:A)</f>
        <v>ACA070</v>
      </c>
      <c r="F17" s="32" t="s">
        <v>32</v>
      </c>
      <c r="G17" s="33" t="s">
        <v>31</v>
      </c>
      <c r="H17" s="34" t="str">
        <f>F17&amp;"-"&amp;G17</f>
        <v>Professional-14</v>
      </c>
      <c r="I17" s="35" t="str">
        <f>IF(ISERROR(_xlfn.XLOOKUP(H17,'[1]SIG Level Structure'!D:D,'[1]SIG Level Structure'!D:D)),"0","1")</f>
        <v>1</v>
      </c>
      <c r="J17" s="36" t="str">
        <f>_xlfn.XLOOKUP($H17,'[1]SIG Level Structure'!$D:$D,'[1]SIG Level Structure'!F:F)</f>
        <v>P4</v>
      </c>
      <c r="K17" s="37" t="str">
        <f>E17&amp;"-"&amp;J17&amp;"-"&amp;G17</f>
        <v>ACA070-P4-14</v>
      </c>
      <c r="L17" s="37" t="str">
        <f>IFERROR(D17&amp;"-"&amp;LEFT(J17,1),"--")</f>
        <v>ACA-P</v>
      </c>
      <c r="M17" s="37" t="str">
        <f>VLOOKUP(L17,'[1]Compatible JC'!$A:$A,1,FALSE)</f>
        <v>ACA-P</v>
      </c>
      <c r="N17" s="37" t="str">
        <f>IFERROR(_xlfn.XLOOKUP(H17,'[1]SIG Level Structure'!D:D,'[1]SIG Level Structure'!C:C),"--")</f>
        <v>Senior Expert</v>
      </c>
      <c r="O17" s="38" t="str">
        <f>IFERROR(TRIM(N17&amp;" "&amp;C17),"--")</f>
        <v>Senior Expert Government Relations</v>
      </c>
      <c r="P17" s="22" t="str">
        <f>_xlfn.XLOOKUP(E17,'[1]SIG Job Families &amp; Descriptions'!A:A,'[1]SIG Job Families &amp; Descriptions'!G:G)</f>
        <v xml:space="preserve">Develops and maintains policies and programs to ensure organizational awareness of government legislation and/or regulatory issues that affect the organization and respond to same. Ensures that the organization's interests are represented and protected in legislative proceedings and in the development of market rules and procedures. Prepares and organizes forums and gatherings with government officials to exchange ideas and information on business activities and potential legislation that may affect the organization. Acts as a resource on regulatory matters with regard to product changes. Also positions with focus on public relations, coordinating media relations and preparing external communication, and regulatory affairs which maintain relationships with regulatory authorities and external parties, are covered here. 
</v>
      </c>
      <c r="Q17" s="39" t="str">
        <f>_xlfn.XLOOKUP(E17,'[1]2022 GI Position Descriptions'!E:E,'[1]2022 GI Position Descriptions'!G:G)</f>
        <v>Develops and maintains policies and programs to ensure organizational awareness of government legislation and/or regulatory issues that affect the organization and respond to same | Ensures that the organization's interests are represented and protected in legislative proceedings and in the development of market rules and procedures | Prepares and organizes forums and gatherings with government officials to exchange ideas and information on business activities and potential legislation that may affect the organization | Acts as a resource on regulatory matters with regard to product changes</v>
      </c>
      <c r="R17" s="22" t="str">
        <f>IF(LEFT(J17,1)="E","EX",LEFT(J17,1))</f>
        <v>P</v>
      </c>
      <c r="S17" s="22" t="str">
        <f>_xlfn.XLOOKUP($R17,'[1]Career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7" s="22" t="str">
        <f>J17</f>
        <v>P4</v>
      </c>
      <c r="U17" s="40" t="str">
        <f t="shared" si="1"/>
        <v>P4</v>
      </c>
      <c r="V17" s="22" t="str">
        <f>_xlfn.XLOOKUP(T17,'[1]Career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17" s="41" t="str">
        <f>J17&amp;"-"&amp;G17</f>
        <v>P4-14</v>
      </c>
      <c r="X17" s="42" t="str">
        <f>G17</f>
        <v>14</v>
      </c>
      <c r="Y17" s="22" t="str">
        <f>_xlfn.XLOOKUP(W17,'[1]Career Bands &amp; Levels'!A:A,'[1]Career Bands &amp; Levels'!C:C,"No Grade Differentiator")</f>
        <v xml:space="preserve">●	Guides others in resolving complex issues in own specialized area and solves complex problems with implications on cross-functional business processes and outcomes		
●	Serves as an advisor and applies knowledge of strategies that can be deployed within own function and discipline		
●	Applies working knowledge of the theories and concepts in other disciplines		
●	May lead teams or projects with broad visibility		</v>
      </c>
      <c r="Z17" s="43" t="str">
        <f>IFERROR(O17&amp;" - "&amp;G17,"--")</f>
        <v>Senior Expert Government Relations - 14</v>
      </c>
      <c r="AA17" s="44" t="str">
        <f>_xlfn.XLOOKUP($H17,'[1]SIG Qualifications Input'!$D:$D,'[1]SIG Qualifications Input'!$H:$H)</f>
        <v>University degree or equivalent and 8-10 years of work experience or equivalent, 
Experience in functionally leading (sub-)projects / teams</v>
      </c>
    </row>
    <row r="18" spans="1:27" ht="219.75" customHeight="1" thickBot="1" x14ac:dyDescent="0.2">
      <c r="A18" s="34" t="str">
        <f>_xlfn.XLOOKUP(C18,'[1]SIG Job Families &amp; Descriptions'!F:F,'[1]SIG Job Families &amp; Descriptions'!B:B)</f>
        <v>Corporate Affairs/Communications</v>
      </c>
      <c r="B18" s="34" t="str">
        <f>_xlfn.XLOOKUP(C18,'[1]SIG Job Families &amp; Descriptions'!F:F,'[1]SIG Job Families &amp; Descriptions'!D:D)</f>
        <v>Government Relations</v>
      </c>
      <c r="C18" s="34" t="s">
        <v>41</v>
      </c>
      <c r="D18" s="30" t="str">
        <f t="shared" si="0"/>
        <v>ACA</v>
      </c>
      <c r="E18" s="31" t="str">
        <f>_xlfn.XLOOKUP(C18,'[1]SIG Job Families &amp; Descriptions'!F:F,'[1]SIG Job Families &amp; Descriptions'!A:A)</f>
        <v>ACA070</v>
      </c>
      <c r="F18" s="32" t="s">
        <v>32</v>
      </c>
      <c r="G18" s="33" t="s">
        <v>33</v>
      </c>
      <c r="H18" s="34" t="str">
        <f>F18&amp;"-"&amp;G18</f>
        <v>Professional-13</v>
      </c>
      <c r="I18" s="35" t="str">
        <f>IF(ISERROR(_xlfn.XLOOKUP(H18,'[1]SIG Level Structure'!D:D,'[1]SIG Level Structure'!D:D)),"0","1")</f>
        <v>1</v>
      </c>
      <c r="J18" s="36" t="str">
        <f>_xlfn.XLOOKUP($H18,'[1]SIG Level Structure'!$D:$D,'[1]SIG Level Structure'!F:F)</f>
        <v>P4</v>
      </c>
      <c r="K18" s="37" t="str">
        <f>E18&amp;"-"&amp;J18&amp;"-"&amp;G18</f>
        <v>ACA070-P4-13</v>
      </c>
      <c r="L18" s="37" t="str">
        <f>IFERROR(D18&amp;"-"&amp;LEFT(J18,1),"--")</f>
        <v>ACA-P</v>
      </c>
      <c r="M18" s="37" t="str">
        <f>VLOOKUP(L18,'[1]Compatible JC'!$A:$A,1,FALSE)</f>
        <v>ACA-P</v>
      </c>
      <c r="N18" s="37" t="str">
        <f>IFERROR(_xlfn.XLOOKUP(H18,'[1]SIG Level Structure'!D:D,'[1]SIG Level Structure'!C:C),"--")</f>
        <v>Senior Expert</v>
      </c>
      <c r="O18" s="38" t="str">
        <f>IFERROR(TRIM(N18&amp;" "&amp;C18),"--")</f>
        <v>Senior Expert Government Relations</v>
      </c>
      <c r="P18" s="22" t="str">
        <f>_xlfn.XLOOKUP(E18,'[1]SIG Job Families &amp; Descriptions'!A:A,'[1]SIG Job Families &amp; Descriptions'!G:G)</f>
        <v xml:space="preserve">Develops and maintains policies and programs to ensure organizational awareness of government legislation and/or regulatory issues that affect the organization and respond to same. Ensures that the organization's interests are represented and protected in legislative proceedings and in the development of market rules and procedures. Prepares and organizes forums and gatherings with government officials to exchange ideas and information on business activities and potential legislation that may affect the organization. Acts as a resource on regulatory matters with regard to product changes. Also positions with focus on public relations, coordinating media relations and preparing external communication, and regulatory affairs which maintain relationships with regulatory authorities and external parties, are covered here. 
</v>
      </c>
      <c r="Q18" s="39" t="str">
        <f>_xlfn.XLOOKUP(E18,'[1]2022 GI Position Descriptions'!E:E,'[1]2022 GI Position Descriptions'!G:G)</f>
        <v>Develops and maintains policies and programs to ensure organizational awareness of government legislation and/or regulatory issues that affect the organization and respond to same | Ensures that the organization's interests are represented and protected in legislative proceedings and in the development of market rules and procedures | Prepares and organizes forums and gatherings with government officials to exchange ideas and information on business activities and potential legislation that may affect the organization | Acts as a resource on regulatory matters with regard to product changes</v>
      </c>
      <c r="R18" s="22" t="str">
        <f>IF(LEFT(J18,1)="E","EX",LEFT(J18,1))</f>
        <v>P</v>
      </c>
      <c r="S18" s="22" t="str">
        <f>_xlfn.XLOOKUP($R18,'[1]Career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8" s="22" t="str">
        <f>J18</f>
        <v>P4</v>
      </c>
      <c r="U18" s="40" t="str">
        <f t="shared" si="1"/>
        <v>P4</v>
      </c>
      <c r="V18" s="22" t="str">
        <f>_xlfn.XLOOKUP(T18,'[1]Career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18" s="41" t="str">
        <f>J18&amp;"-"&amp;G18</f>
        <v>P4-13</v>
      </c>
      <c r="X18" s="42" t="str">
        <f>G18</f>
        <v>13</v>
      </c>
      <c r="Y18" s="22" t="str">
        <f>_xlfn.XLOOKUP(W18,'[1]Career Bands &amp; Levels'!A:A,'[1]Career Bands &amp; Levels'!C:C,"No Grade Differentiator")</f>
        <v xml:space="preserve">●	Guides others in resolving complex issues in specialized area based on existing solutions and procedures		
●	Serves as an expert within own discipline		
●	May lead function teams or projects and serves as a best practices/quality resource		
●	Trains/mentors junior staff		</v>
      </c>
      <c r="Z18" s="43" t="str">
        <f>IFERROR(O18&amp;" - "&amp;G18,"--")</f>
        <v>Senior Expert Government Relations - 13</v>
      </c>
      <c r="AA18" s="44" t="str">
        <f>_xlfn.XLOOKUP($H18,'[1]SIG Qualifications Input'!$D:$D,'[1]SIG Qualifications Input'!$H:$H)</f>
        <v>University degree or equivalent and 8-10 years of work experience or equivalent, 
Experience in functionally leading (sub-)projects / teams</v>
      </c>
    </row>
    <row r="19" spans="1:27" ht="219.75" customHeight="1" thickBot="1" x14ac:dyDescent="0.2">
      <c r="A19" s="34" t="str">
        <f>_xlfn.XLOOKUP(C19,'[1]SIG Job Families &amp; Descriptions'!F:F,'[1]SIG Job Families &amp; Descriptions'!B:B)</f>
        <v>Corporate Affairs/Communications</v>
      </c>
      <c r="B19" s="34" t="str">
        <f>_xlfn.XLOOKUP(C19,'[1]SIG Job Families &amp; Descriptions'!F:F,'[1]SIG Job Families &amp; Descriptions'!D:D)</f>
        <v>Government Relations</v>
      </c>
      <c r="C19" s="34" t="s">
        <v>42</v>
      </c>
      <c r="D19" s="30" t="str">
        <f t="shared" si="0"/>
        <v>ACA</v>
      </c>
      <c r="E19" s="31" t="str">
        <f>_xlfn.XLOOKUP(C19,'[1]SIG Job Families &amp; Descriptions'!F:F,'[1]SIG Job Families &amp; Descriptions'!A:A)</f>
        <v>ACA010</v>
      </c>
      <c r="F19" s="32" t="s">
        <v>32</v>
      </c>
      <c r="G19" s="33" t="s">
        <v>31</v>
      </c>
      <c r="H19" s="34" t="str">
        <f>F19&amp;"-"&amp;G19</f>
        <v>Professional-14</v>
      </c>
      <c r="I19" s="35" t="str">
        <f>IF(ISERROR(_xlfn.XLOOKUP(H19,'[1]SIG Level Structure'!D:D,'[1]SIG Level Structure'!D:D)),"0","1")</f>
        <v>1</v>
      </c>
      <c r="J19" s="36" t="str">
        <f>_xlfn.XLOOKUP($H19,'[1]SIG Level Structure'!$D:$D,'[1]SIG Level Structure'!F:F)</f>
        <v>P4</v>
      </c>
      <c r="K19" s="37" t="str">
        <f>E19&amp;"-"&amp;J19&amp;"-"&amp;G19</f>
        <v>ACA010-P4-14</v>
      </c>
      <c r="L19" s="37" t="str">
        <f>IFERROR(D19&amp;"-"&amp;LEFT(J19,1),"--")</f>
        <v>ACA-P</v>
      </c>
      <c r="M19" s="37" t="str">
        <f>VLOOKUP(L19,'[1]Compatible JC'!$A:$A,1,FALSE)</f>
        <v>ACA-P</v>
      </c>
      <c r="N19" s="37" t="str">
        <f>IFERROR(_xlfn.XLOOKUP(H19,'[1]SIG Level Structure'!D:D,'[1]SIG Level Structure'!C:C),"--")</f>
        <v>Senior Expert</v>
      </c>
      <c r="O19" s="38" t="str">
        <f>IFERROR(TRIM(N19&amp;" "&amp;C19),"--")</f>
        <v>Senior Expert Public Relations</v>
      </c>
      <c r="P19" s="22" t="str">
        <f>_xlfn.XLOOKUP(E19,'[1]SIG Job Families &amp; Descriptions'!A:A,'[1]SIG Job Families &amp; Descriptions'!G:G)</f>
        <v xml:space="preserve">Develops and maintains policies and programs to ensure organizational awareness of government legislation and/or regulatory issues that affect the organization and respond to same. Ensures that the organization's interests are represented and protected in legislative proceedings and in the development of market rules and procedures. Prepares and organizes forums and gatherings with government officials to exchange ideas and information on business activities and potential legislation that may affect the organization. Acts as a resource on regulatory matters with regard to product changes. Also positions with focus on public relations, coordinating media relations and preparing external communication, and regulatory affairs which maintain relationships with regulatory authorities and external parties, are covered here. </v>
      </c>
      <c r="Q19" s="39" t="str">
        <f>_xlfn.XLOOKUP(E19,'[1]2022 GI Position Descriptions'!E:E,'[1]2022 GI Position Descriptions'!G:G)</f>
        <v>Coordinates media relations and prepares external communications | Plans, prepares and relays information concerning the organization to the press and the wider community to gain understanding and acceptance for the organization | Develops and maintains lines of communication with media contacts and other external audience groups</v>
      </c>
      <c r="R19" s="22" t="str">
        <f>IF(LEFT(J19,1)="E","EX",LEFT(J19,1))</f>
        <v>P</v>
      </c>
      <c r="S19" s="22" t="str">
        <f>_xlfn.XLOOKUP($R19,'[1]Career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9" s="22" t="str">
        <f>J19</f>
        <v>P4</v>
      </c>
      <c r="U19" s="40" t="str">
        <f t="shared" si="1"/>
        <v>P4</v>
      </c>
      <c r="V19" s="22" t="str">
        <f>_xlfn.XLOOKUP(T19,'[1]Career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19" s="41" t="str">
        <f>J19&amp;"-"&amp;G19</f>
        <v>P4-14</v>
      </c>
      <c r="X19" s="42" t="str">
        <f>G19</f>
        <v>14</v>
      </c>
      <c r="Y19" s="22" t="str">
        <f>_xlfn.XLOOKUP(W19,'[1]Career Bands &amp; Levels'!A:A,'[1]Career Bands &amp; Levels'!C:C,"No Grade Differentiator")</f>
        <v xml:space="preserve">●	Guides others in resolving complex issues in own specialized area and solves complex problems with implications on cross-functional business processes and outcomes		
●	Serves as an advisor and applies knowledge of strategies that can be deployed within own function and discipline		
●	Applies working knowledge of the theories and concepts in other disciplines		
●	May lead teams or projects with broad visibility		</v>
      </c>
      <c r="Z19" s="43" t="str">
        <f>IFERROR(O19&amp;" - "&amp;G19,"--")</f>
        <v>Senior Expert Public Relations - 14</v>
      </c>
      <c r="AA19" s="44" t="str">
        <f>_xlfn.XLOOKUP($H19,'[1]SIG Qualifications Input'!$D:$D,'[1]SIG Qualifications Input'!$H:$H)</f>
        <v>University degree or equivalent and 8-10 years of work experience or equivalent, 
Experience in functionally leading (sub-)projects / teams</v>
      </c>
    </row>
    <row r="20" spans="1:27" ht="239" thickBot="1" x14ac:dyDescent="0.2">
      <c r="A20" s="34" t="str">
        <f>_xlfn.XLOOKUP(C20,'[1]SIG Job Families &amp; Descriptions'!F:F,'[1]SIG Job Families &amp; Descriptions'!B:B)</f>
        <v>Corporate Affairs/Communications</v>
      </c>
      <c r="B20" s="34" t="str">
        <f>_xlfn.XLOOKUP(C20,'[1]SIG Job Families &amp; Descriptions'!F:F,'[1]SIG Job Families &amp; Descriptions'!D:D)</f>
        <v>Government Relations</v>
      </c>
      <c r="C20" s="34" t="s">
        <v>42</v>
      </c>
      <c r="D20" s="30" t="str">
        <f t="shared" si="0"/>
        <v>ACA</v>
      </c>
      <c r="E20" s="31" t="str">
        <f>_xlfn.XLOOKUP(C20,'[1]SIG Job Families &amp; Descriptions'!F:F,'[1]SIG Job Families &amp; Descriptions'!A:A)</f>
        <v>ACA010</v>
      </c>
      <c r="F20" s="32" t="s">
        <v>32</v>
      </c>
      <c r="G20" s="33" t="s">
        <v>33</v>
      </c>
      <c r="H20" s="34" t="str">
        <f>F20&amp;"-"&amp;G20</f>
        <v>Professional-13</v>
      </c>
      <c r="I20" s="35" t="str">
        <f>IF(ISERROR(_xlfn.XLOOKUP(H20,'[1]SIG Level Structure'!D:D,'[1]SIG Level Structure'!D:D)),"0","1")</f>
        <v>1</v>
      </c>
      <c r="J20" s="36" t="str">
        <f>_xlfn.XLOOKUP($H20,'[1]SIG Level Structure'!$D:$D,'[1]SIG Level Structure'!F:F)</f>
        <v>P4</v>
      </c>
      <c r="K20" s="37" t="str">
        <f>E20&amp;"-"&amp;J20&amp;"-"&amp;G20</f>
        <v>ACA010-P4-13</v>
      </c>
      <c r="L20" s="37" t="str">
        <f>IFERROR(D20&amp;"-"&amp;LEFT(J20,1),"--")</f>
        <v>ACA-P</v>
      </c>
      <c r="M20" s="37" t="str">
        <f>VLOOKUP(L20,'[1]Compatible JC'!$A:$A,1,FALSE)</f>
        <v>ACA-P</v>
      </c>
      <c r="N20" s="37" t="str">
        <f>IFERROR(_xlfn.XLOOKUP(H20,'[1]SIG Level Structure'!D:D,'[1]SIG Level Structure'!C:C),"--")</f>
        <v>Senior Expert</v>
      </c>
      <c r="O20" s="38" t="str">
        <f>IFERROR(TRIM(N20&amp;" "&amp;C20),"--")</f>
        <v>Senior Expert Public Relations</v>
      </c>
      <c r="P20" s="22" t="str">
        <f>_xlfn.XLOOKUP(E20,'[1]SIG Job Families &amp; Descriptions'!A:A,'[1]SIG Job Families &amp; Descriptions'!G:G)</f>
        <v xml:space="preserve">Develops and maintains policies and programs to ensure organizational awareness of government legislation and/or regulatory issues that affect the organization and respond to same. Ensures that the organization's interests are represented and protected in legislative proceedings and in the development of market rules and procedures. Prepares and organizes forums and gatherings with government officials to exchange ideas and information on business activities and potential legislation that may affect the organization. Acts as a resource on regulatory matters with regard to product changes. Also positions with focus on public relations, coordinating media relations and preparing external communication, and regulatory affairs which maintain relationships with regulatory authorities and external parties, are covered here. </v>
      </c>
      <c r="Q20" s="39" t="str">
        <f>_xlfn.XLOOKUP(E20,'[1]2022 GI Position Descriptions'!E:E,'[1]2022 GI Position Descriptions'!G:G)</f>
        <v>Coordinates media relations and prepares external communications | Plans, prepares and relays information concerning the organization to the press and the wider community to gain understanding and acceptance for the organization | Develops and maintains lines of communication with media contacts and other external audience groups</v>
      </c>
      <c r="R20" s="22" t="str">
        <f>IF(LEFT(J20,1)="E","EX",LEFT(J20,1))</f>
        <v>P</v>
      </c>
      <c r="S20" s="22" t="str">
        <f>_xlfn.XLOOKUP($R20,'[1]Career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0" s="22" t="str">
        <f>J20</f>
        <v>P4</v>
      </c>
      <c r="U20" s="40" t="str">
        <f t="shared" si="1"/>
        <v>P4</v>
      </c>
      <c r="V20" s="22" t="str">
        <f>_xlfn.XLOOKUP(T20,'[1]Career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20" s="41" t="str">
        <f>J20&amp;"-"&amp;G20</f>
        <v>P4-13</v>
      </c>
      <c r="X20" s="42" t="str">
        <f>G20</f>
        <v>13</v>
      </c>
      <c r="Y20" s="22" t="str">
        <f>_xlfn.XLOOKUP(W20,'[1]Career Bands &amp; Levels'!A:A,'[1]Career Bands &amp; Levels'!C:C,"No Grade Differentiator")</f>
        <v xml:space="preserve">●	Guides others in resolving complex issues in specialized area based on existing solutions and procedures		
●	Serves as an expert within own discipline		
●	May lead function teams or projects and serves as a best practices/quality resource		
●	Trains/mentors junior staff		</v>
      </c>
      <c r="Z20" s="43" t="str">
        <f>IFERROR(O20&amp;" - "&amp;G20,"--")</f>
        <v>Senior Expert Public Relations - 13</v>
      </c>
      <c r="AA20" s="44" t="str">
        <f>_xlfn.XLOOKUP($H20,'[1]SIG Qualifications Input'!$D:$D,'[1]SIG Qualifications Input'!$H:$H)</f>
        <v>University degree or equivalent and 8-10 years of work experience or equivalent, 
Experience in functionally leading (sub-)projects / teams</v>
      </c>
    </row>
    <row r="21" spans="1:27" ht="239" thickBot="1" x14ac:dyDescent="0.2">
      <c r="A21" s="34" t="str">
        <f>_xlfn.XLOOKUP(C21,'[1]SIG Job Families &amp; Descriptions'!F:F,'[1]SIG Job Families &amp; Descriptions'!B:B)</f>
        <v>Corporate Affairs/Communications</v>
      </c>
      <c r="B21" s="34" t="str">
        <f>_xlfn.XLOOKUP(C21,'[1]SIG Job Families &amp; Descriptions'!F:F,'[1]SIG Job Families &amp; Descriptions'!D:D)</f>
        <v>Government Relations</v>
      </c>
      <c r="C21" s="34" t="s">
        <v>42</v>
      </c>
      <c r="D21" s="30" t="str">
        <f t="shared" si="0"/>
        <v>ACA</v>
      </c>
      <c r="E21" s="31" t="str">
        <f>_xlfn.XLOOKUP(C21,'[1]SIG Job Families &amp; Descriptions'!F:F,'[1]SIG Job Families &amp; Descriptions'!A:A)</f>
        <v>ACA010</v>
      </c>
      <c r="F21" s="32" t="s">
        <v>32</v>
      </c>
      <c r="G21" s="33" t="s">
        <v>43</v>
      </c>
      <c r="H21" s="34" t="str">
        <f>F21&amp;"-"&amp;G21</f>
        <v>Professional-08</v>
      </c>
      <c r="I21" s="35" t="str">
        <f>IF(ISERROR(_xlfn.XLOOKUP(H21,'[1]SIG Level Structure'!D:D,'[1]SIG Level Structure'!D:D)),"0","1")</f>
        <v>1</v>
      </c>
      <c r="J21" s="36" t="str">
        <f>_xlfn.XLOOKUP($H21,'[1]SIG Level Structure'!$D:$D,'[1]SIG Level Structure'!F:F)</f>
        <v>P1</v>
      </c>
      <c r="K21" s="37" t="str">
        <f>E21&amp;"-"&amp;J21&amp;"-"&amp;G21</f>
        <v>ACA010-P1-08</v>
      </c>
      <c r="L21" s="37" t="str">
        <f>IFERROR(D21&amp;"-"&amp;LEFT(J21,1),"--")</f>
        <v>ACA-P</v>
      </c>
      <c r="M21" s="37" t="str">
        <f>VLOOKUP(L21,'[1]Compatible JC'!$A:$A,1,FALSE)</f>
        <v>ACA-P</v>
      </c>
      <c r="N21" s="37" t="str">
        <f>IFERROR(_xlfn.XLOOKUP(H21,'[1]SIG Level Structure'!D:D,'[1]SIG Level Structure'!C:C),"--")</f>
        <v>Specialist</v>
      </c>
      <c r="O21" s="38" t="str">
        <f>IFERROR(TRIM(N21&amp;" "&amp;C21),"--")</f>
        <v>Specialist Public Relations</v>
      </c>
      <c r="P21" s="22" t="str">
        <f>_xlfn.XLOOKUP(E21,'[1]SIG Job Families &amp; Descriptions'!A:A,'[1]SIG Job Families &amp; Descriptions'!G:G)</f>
        <v xml:space="preserve">Develops and maintains policies and programs to ensure organizational awareness of government legislation and/or regulatory issues that affect the organization and respond to same. Ensures that the organization's interests are represented and protected in legislative proceedings and in the development of market rules and procedures. Prepares and organizes forums and gatherings with government officials to exchange ideas and information on business activities and potential legislation that may affect the organization. Acts as a resource on regulatory matters with regard to product changes. Also positions with focus on public relations, coordinating media relations and preparing external communication, and regulatory affairs which maintain relationships with regulatory authorities and external parties, are covered here. </v>
      </c>
      <c r="Q21" s="39" t="str">
        <f>_xlfn.XLOOKUP(E21,'[1]2022 GI Position Descriptions'!E:E,'[1]2022 GI Position Descriptions'!G:G)</f>
        <v>Coordinates media relations and prepares external communications | Plans, prepares and relays information concerning the organization to the press and the wider community to gain understanding and acceptance for the organization | Develops and maintains lines of communication with media contacts and other external audience groups</v>
      </c>
      <c r="R21" s="22" t="str">
        <f>IF(LEFT(J21,1)="E","EX",LEFT(J21,1))</f>
        <v>P</v>
      </c>
      <c r="S21" s="22" t="str">
        <f>_xlfn.XLOOKUP($R21,'[1]Career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1" s="22" t="str">
        <f>J21</f>
        <v>P1</v>
      </c>
      <c r="U21" s="40" t="str">
        <f t="shared" si="1"/>
        <v>P1</v>
      </c>
      <c r="V21" s="22" t="str">
        <f>_xlfn.XLOOKUP(T21,'[1]Career Bands &amp; Levels'!A:A,'[1]Career Bands &amp; Levels'!C:C)</f>
        <v xml:space="preserve">●	Performs routine assignments in the entry level of the Professional Career Band		
●	Typically requires a college or university degree or the equivalent work experience and has conceptual knowledge of fundamental theories, principles and practices 		
●	Has no discretion to vary from established procedures by performing structured work assignments		
●	Uses existing procedures to solve routine or standard problems		
●	Receives instruction, guidance and direction from more senior level roles		</v>
      </c>
      <c r="W21" s="41" t="str">
        <f>J21&amp;"-"&amp;G21</f>
        <v>P1-08</v>
      </c>
      <c r="X21" s="42" t="str">
        <f>G21</f>
        <v>08</v>
      </c>
      <c r="Y21" s="22" t="str">
        <f>_xlfn.XLOOKUP(W21,'[1]Career Bands &amp; Levels'!A:A,'[1]Career Bands &amp; Levels'!C:C,"No Grade Differentiator")</f>
        <v>No Grade Differentiator</v>
      </c>
      <c r="Z21" s="43" t="str">
        <f>IFERROR(O21&amp;" - "&amp;G21,"--")</f>
        <v>Specialist Public Relations - 08</v>
      </c>
      <c r="AA21" s="44" t="str">
        <f>_xlfn.XLOOKUP($H21,'[1]SIG Qualifications Input'!$D:$D,'[1]SIG Qualifications Input'!$H:$H)</f>
        <v>University degree or equivalent and 0-1 year of work experience or equivalent</v>
      </c>
    </row>
    <row r="22" spans="1:27" ht="183" thickBot="1" x14ac:dyDescent="0.2">
      <c r="A22" s="34" t="str">
        <f>_xlfn.XLOOKUP(C22,'[1]SIG Job Families &amp; Descriptions'!F:F,'[1]SIG Job Families &amp; Descriptions'!B:B)</f>
        <v>Corporate Affairs/Communications</v>
      </c>
      <c r="B22" s="34" t="str">
        <f>_xlfn.XLOOKUP(C22,'[1]SIG Job Families &amp; Descriptions'!F:F,'[1]SIG Job Families &amp; Descriptions'!D:D)</f>
        <v xml:space="preserve">Sustainability/Environmental Affairs </v>
      </c>
      <c r="C22" s="34" t="s">
        <v>44</v>
      </c>
      <c r="D22" s="30" t="str">
        <f t="shared" si="0"/>
        <v>ACA</v>
      </c>
      <c r="E22" s="31" t="str">
        <f>_xlfn.XLOOKUP(C22,'[1]SIG Job Families &amp; Descriptions'!F:F,'[1]SIG Job Families &amp; Descriptions'!A:A)</f>
        <v>ACA060</v>
      </c>
      <c r="F22" s="32" t="s">
        <v>32</v>
      </c>
      <c r="G22" s="33" t="s">
        <v>31</v>
      </c>
      <c r="H22" s="34" t="str">
        <f>F22&amp;"-"&amp;G22</f>
        <v>Professional-14</v>
      </c>
      <c r="I22" s="35" t="str">
        <f>IF(ISERROR(_xlfn.XLOOKUP(H22,'[1]SIG Level Structure'!D:D,'[1]SIG Level Structure'!D:D)),"0","1")</f>
        <v>1</v>
      </c>
      <c r="J22" s="36" t="str">
        <f>_xlfn.XLOOKUP($H22,'[1]SIG Level Structure'!$D:$D,'[1]SIG Level Structure'!F:F)</f>
        <v>P4</v>
      </c>
      <c r="K22" s="37" t="str">
        <f>E22&amp;"-"&amp;J22&amp;"-"&amp;G22</f>
        <v>ACA060-P4-14</v>
      </c>
      <c r="L22" s="37" t="str">
        <f>IFERROR(D22&amp;"-"&amp;LEFT(J22,1),"--")</f>
        <v>ACA-P</v>
      </c>
      <c r="M22" s="37" t="str">
        <f>VLOOKUP(L22,'[1]Compatible JC'!$A:$A,1,FALSE)</f>
        <v>ACA-P</v>
      </c>
      <c r="N22" s="37" t="str">
        <f>IFERROR(_xlfn.XLOOKUP(H22,'[1]SIG Level Structure'!D:D,'[1]SIG Level Structure'!C:C),"--")</f>
        <v>Senior Expert</v>
      </c>
      <c r="O22" s="38" t="str">
        <f>IFERROR(TRIM(N22&amp;" "&amp;C22),"--")</f>
        <v>Senior Expert Sustainability/Environmental Affairs</v>
      </c>
      <c r="P22" s="22" t="str">
        <f>_xlfn.XLOOKUP(E22,'[1]SIG Job Families &amp; Descriptions'!A:A,'[1]SIG Job Families &amp; Descriptions'!G:G)</f>
        <v>Plans, implements and maintains the organization's sustainability programs to reduce the use of nonrenewable resources and minimize the environmental impact of operations. Communicates the organization's sustainability vision and program information. Monitors and facilitates progress of sustainability programs consistent with strategies, goals, measurements and reporting standards.</v>
      </c>
      <c r="Q22" s="39" t="str">
        <f>_xlfn.XLOOKUP(E22,'[1]2022 GI Position Descriptions'!E:E,'[1]2022 GI Position Descriptions'!G:G)</f>
        <v>Develops and implements the organization's positions on environmental policy issues regarding the impact of the organization's operations on water, air and land quality | Designs and implements programs to ensure healthful and safe working conditions and compliance with all environmental regulations, including clean air and hazardous waste disposal, on the organization's premises | Serves as a liaison with external government environmental agencies | Monitors programs and maintains up-to-date records required by environmental permits to ensure government compliance</v>
      </c>
      <c r="R22" s="22" t="str">
        <f>IF(LEFT(J22,1)="E","EX",LEFT(J22,1))</f>
        <v>P</v>
      </c>
      <c r="S22" s="22" t="str">
        <f>_xlfn.XLOOKUP($R22,'[1]Career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2" s="22" t="str">
        <f>J22</f>
        <v>P4</v>
      </c>
      <c r="U22" s="40" t="str">
        <f t="shared" si="1"/>
        <v>P4</v>
      </c>
      <c r="V22" s="22" t="str">
        <f>_xlfn.XLOOKUP(T22,'[1]Career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22" s="41" t="str">
        <f>J22&amp;"-"&amp;G22</f>
        <v>P4-14</v>
      </c>
      <c r="X22" s="42" t="str">
        <f>G22</f>
        <v>14</v>
      </c>
      <c r="Y22" s="22" t="str">
        <f>_xlfn.XLOOKUP(W22,'[1]Career Bands &amp; Levels'!A:A,'[1]Career Bands &amp; Levels'!C:C,"No Grade Differentiator")</f>
        <v xml:space="preserve">●	Guides others in resolving complex issues in own specialized area and solves complex problems with implications on cross-functional business processes and outcomes		
●	Serves as an advisor and applies knowledge of strategies that can be deployed within own function and discipline		
●	Applies working knowledge of the theories and concepts in other disciplines		
●	May lead teams or projects with broad visibility		</v>
      </c>
      <c r="Z22" s="43" t="str">
        <f>IFERROR(O22&amp;" - "&amp;G22,"--")</f>
        <v>Senior Expert Sustainability/Environmental Affairs - 14</v>
      </c>
      <c r="AA22" s="44" t="str">
        <f>_xlfn.XLOOKUP($H22,'[1]SIG Qualifications Input'!$D:$D,'[1]SIG Qualifications Input'!$H:$H)</f>
        <v>University degree or equivalent and 8-10 years of work experience or equivalent, 
Experience in functionally leading (sub-)projects / teams</v>
      </c>
    </row>
    <row r="23" spans="1:27" ht="183" thickBot="1" x14ac:dyDescent="0.2">
      <c r="A23" s="34" t="str">
        <f>_xlfn.XLOOKUP(C23,'[1]SIG Job Families &amp; Descriptions'!F:F,'[1]SIG Job Families &amp; Descriptions'!B:B)</f>
        <v>Corporate Affairs/Communications</v>
      </c>
      <c r="B23" s="34" t="str">
        <f>_xlfn.XLOOKUP(C23,'[1]SIG Job Families &amp; Descriptions'!F:F,'[1]SIG Job Families &amp; Descriptions'!D:D)</f>
        <v xml:space="preserve">Sustainability/Environmental Affairs </v>
      </c>
      <c r="C23" s="34" t="s">
        <v>44</v>
      </c>
      <c r="D23" s="30" t="str">
        <f t="shared" si="0"/>
        <v>ACA</v>
      </c>
      <c r="E23" s="31" t="str">
        <f>_xlfn.XLOOKUP(C23,'[1]SIG Job Families &amp; Descriptions'!F:F,'[1]SIG Job Families &amp; Descriptions'!A:A)</f>
        <v>ACA060</v>
      </c>
      <c r="F23" s="32" t="s">
        <v>32</v>
      </c>
      <c r="G23" s="33" t="s">
        <v>33</v>
      </c>
      <c r="H23" s="34" t="str">
        <f>F23&amp;"-"&amp;G23</f>
        <v>Professional-13</v>
      </c>
      <c r="I23" s="35" t="str">
        <f>IF(ISERROR(_xlfn.XLOOKUP(H23,'[1]SIG Level Structure'!D:D,'[1]SIG Level Structure'!D:D)),"0","1")</f>
        <v>1</v>
      </c>
      <c r="J23" s="36" t="str">
        <f>_xlfn.XLOOKUP($H23,'[1]SIG Level Structure'!$D:$D,'[1]SIG Level Structure'!F:F)</f>
        <v>P4</v>
      </c>
      <c r="K23" s="37" t="str">
        <f>E23&amp;"-"&amp;J23&amp;"-"&amp;G23</f>
        <v>ACA060-P4-13</v>
      </c>
      <c r="L23" s="37" t="str">
        <f>IFERROR(D23&amp;"-"&amp;LEFT(J23,1),"--")</f>
        <v>ACA-P</v>
      </c>
      <c r="M23" s="37" t="str">
        <f>VLOOKUP(L23,'[1]Compatible JC'!$A:$A,1,FALSE)</f>
        <v>ACA-P</v>
      </c>
      <c r="N23" s="37" t="str">
        <f>IFERROR(_xlfn.XLOOKUP(H23,'[1]SIG Level Structure'!D:D,'[1]SIG Level Structure'!C:C),"--")</f>
        <v>Senior Expert</v>
      </c>
      <c r="O23" s="38" t="str">
        <f>IFERROR(TRIM(N23&amp;" "&amp;C23),"--")</f>
        <v>Senior Expert Sustainability/Environmental Affairs</v>
      </c>
      <c r="P23" s="22" t="str">
        <f>_xlfn.XLOOKUP(E23,'[1]SIG Job Families &amp; Descriptions'!A:A,'[1]SIG Job Families &amp; Descriptions'!G:G)</f>
        <v>Plans, implements and maintains the organization's sustainability programs to reduce the use of nonrenewable resources and minimize the environmental impact of operations. Communicates the organization's sustainability vision and program information. Monitors and facilitates progress of sustainability programs consistent with strategies, goals, measurements and reporting standards.</v>
      </c>
      <c r="Q23" s="39" t="str">
        <f>_xlfn.XLOOKUP(E23,'[1]2022 GI Position Descriptions'!E:E,'[1]2022 GI Position Descriptions'!G:G)</f>
        <v>Develops and implements the organization's positions on environmental policy issues regarding the impact of the organization's operations on water, air and land quality | Designs and implements programs to ensure healthful and safe working conditions and compliance with all environmental regulations, including clean air and hazardous waste disposal, on the organization's premises | Serves as a liaison with external government environmental agencies | Monitors programs and maintains up-to-date records required by environmental permits to ensure government compliance</v>
      </c>
      <c r="R23" s="22" t="str">
        <f>IF(LEFT(J23,1)="E","EX",LEFT(J23,1))</f>
        <v>P</v>
      </c>
      <c r="S23" s="22" t="str">
        <f>_xlfn.XLOOKUP($R23,'[1]Career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3" s="22" t="str">
        <f>J23</f>
        <v>P4</v>
      </c>
      <c r="U23" s="40" t="str">
        <f t="shared" si="1"/>
        <v>P4</v>
      </c>
      <c r="V23" s="22" t="str">
        <f>_xlfn.XLOOKUP(T23,'[1]Career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23" s="41" t="str">
        <f>J23&amp;"-"&amp;G23</f>
        <v>P4-13</v>
      </c>
      <c r="X23" s="42" t="str">
        <f>G23</f>
        <v>13</v>
      </c>
      <c r="Y23" s="22" t="str">
        <f>_xlfn.XLOOKUP(W23,'[1]Career Bands &amp; Levels'!A:A,'[1]Career Bands &amp; Levels'!C:C,"No Grade Differentiator")</f>
        <v xml:space="preserve">●	Guides others in resolving complex issues in specialized area based on existing solutions and procedures		
●	Serves as an expert within own discipline		
●	May lead function teams or projects and serves as a best practices/quality resource		
●	Trains/mentors junior staff		</v>
      </c>
      <c r="Z23" s="43" t="str">
        <f>IFERROR(O23&amp;" - "&amp;G23,"--")</f>
        <v>Senior Expert Sustainability/Environmental Affairs - 13</v>
      </c>
      <c r="AA23" s="44" t="str">
        <f>_xlfn.XLOOKUP($H23,'[1]SIG Qualifications Input'!$D:$D,'[1]SIG Qualifications Input'!$H:$H)</f>
        <v>University degree or equivalent and 8-10 years of work experience or equivalent, 
Experience in functionally leading (sub-)projects / teams</v>
      </c>
    </row>
    <row r="24" spans="1:27" ht="183" thickBot="1" x14ac:dyDescent="0.2">
      <c r="A24" s="34" t="str">
        <f>_xlfn.XLOOKUP(C24,'[1]SIG Job Families &amp; Descriptions'!F:F,'[1]SIG Job Families &amp; Descriptions'!B:B)</f>
        <v>Corporate Affairs/Communications</v>
      </c>
      <c r="B24" s="34" t="str">
        <f>_xlfn.XLOOKUP(C24,'[1]SIG Job Families &amp; Descriptions'!F:F,'[1]SIG Job Families &amp; Descriptions'!D:D)</f>
        <v xml:space="preserve">Sustainability/Environmental Affairs </v>
      </c>
      <c r="C24" s="34" t="s">
        <v>44</v>
      </c>
      <c r="D24" s="30" t="str">
        <f t="shared" si="0"/>
        <v>ACA</v>
      </c>
      <c r="E24" s="31" t="str">
        <f>_xlfn.XLOOKUP(C24,'[1]SIG Job Families &amp; Descriptions'!F:F,'[1]SIG Job Families &amp; Descriptions'!A:A)</f>
        <v>ACA060</v>
      </c>
      <c r="F24" s="32" t="s">
        <v>32</v>
      </c>
      <c r="G24" s="33" t="s">
        <v>35</v>
      </c>
      <c r="H24" s="34" t="str">
        <f>F24&amp;"-"&amp;G24</f>
        <v>Professional-11</v>
      </c>
      <c r="I24" s="35" t="str">
        <f>IF(ISERROR(_xlfn.XLOOKUP(H24,'[1]SIG Level Structure'!D:D,'[1]SIG Level Structure'!D:D)),"0","1")</f>
        <v>1</v>
      </c>
      <c r="J24" s="36" t="str">
        <f>_xlfn.XLOOKUP($H24,'[1]SIG Level Structure'!$D:$D,'[1]SIG Level Structure'!F:F)</f>
        <v>P3</v>
      </c>
      <c r="K24" s="37" t="str">
        <f>E24&amp;"-"&amp;J24&amp;"-"&amp;G24</f>
        <v>ACA060-P3-11</v>
      </c>
      <c r="L24" s="37" t="str">
        <f>IFERROR(D24&amp;"-"&amp;LEFT(J24,1),"--")</f>
        <v>ACA-P</v>
      </c>
      <c r="M24" s="37" t="str">
        <f>VLOOKUP(L24,'[1]Compatible JC'!$A:$A,1,FALSE)</f>
        <v>ACA-P</v>
      </c>
      <c r="N24" s="37" t="str">
        <f>IFERROR(_xlfn.XLOOKUP(H24,'[1]SIG Level Structure'!D:D,'[1]SIG Level Structure'!C:C),"--")</f>
        <v>Expert</v>
      </c>
      <c r="O24" s="38" t="str">
        <f>IFERROR(TRIM(N24&amp;" "&amp;C24),"--")</f>
        <v>Expert Sustainability/Environmental Affairs</v>
      </c>
      <c r="P24" s="22" t="str">
        <f>_xlfn.XLOOKUP(E24,'[1]SIG Job Families &amp; Descriptions'!A:A,'[1]SIG Job Families &amp; Descriptions'!G:G)</f>
        <v>Plans, implements and maintains the organization's sustainability programs to reduce the use of nonrenewable resources and minimize the environmental impact of operations. Communicates the organization's sustainability vision and program information. Monitors and facilitates progress of sustainability programs consistent with strategies, goals, measurements and reporting standards.</v>
      </c>
      <c r="Q24" s="39" t="str">
        <f>_xlfn.XLOOKUP(E24,'[1]2022 GI Position Descriptions'!E:E,'[1]2022 GI Position Descriptions'!G:G)</f>
        <v>Develops and implements the organization's positions on environmental policy issues regarding the impact of the organization's operations on water, air and land quality | Designs and implements programs to ensure healthful and safe working conditions and compliance with all environmental regulations, including clean air and hazardous waste disposal, on the organization's premises | Serves as a liaison with external government environmental agencies | Monitors programs and maintains up-to-date records required by environmental permits to ensure government compliance</v>
      </c>
      <c r="R24" s="22" t="str">
        <f>IF(LEFT(J24,1)="E","EX",LEFT(J24,1))</f>
        <v>P</v>
      </c>
      <c r="S24" s="22" t="str">
        <f>_xlfn.XLOOKUP($R24,'[1]Career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4" s="22" t="str">
        <f>J24</f>
        <v>P3</v>
      </c>
      <c r="U24" s="40" t="str">
        <f t="shared" si="1"/>
        <v>P3</v>
      </c>
      <c r="V24" s="22" t="str">
        <f>_xlfn.XLOOKUP(T24,'[1]Career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24" s="41" t="str">
        <f>J24&amp;"-"&amp;G24</f>
        <v>P3-11</v>
      </c>
      <c r="X24" s="42" t="str">
        <f>G24</f>
        <v>11</v>
      </c>
      <c r="Y24" s="22" t="str">
        <f>_xlfn.XLOOKUP(W24,'[1]Career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24" s="43" t="str">
        <f>IFERROR(O24&amp;" - "&amp;G24,"--")</f>
        <v>Expert Sustainability/Environmental Affairs - 11</v>
      </c>
      <c r="AA24" s="44" t="str">
        <f>_xlfn.XLOOKUP($H24,'[1]SIG Qualifications Input'!$D:$D,'[1]SIG Qualifications Input'!$H:$H)</f>
        <v>University degree or equivalent and 4-8 years of work experience or equivalent, 
Initial experience in functionally leading (sub-) projects</v>
      </c>
    </row>
    <row r="25" spans="1:27" ht="183" thickBot="1" x14ac:dyDescent="0.2">
      <c r="A25" s="34" t="str">
        <f>_xlfn.XLOOKUP(C25,'[1]SIG Job Families &amp; Descriptions'!F:F,'[1]SIG Job Families &amp; Descriptions'!B:B)</f>
        <v>Corporate Affairs/Communications</v>
      </c>
      <c r="B25" s="34" t="str">
        <f>_xlfn.XLOOKUP(C25,'[1]SIG Job Families &amp; Descriptions'!F:F,'[1]SIG Job Families &amp; Descriptions'!D:D)</f>
        <v xml:space="preserve">Sustainability/Environmental Affairs </v>
      </c>
      <c r="C25" s="34" t="s">
        <v>44</v>
      </c>
      <c r="D25" s="30" t="str">
        <f t="shared" si="0"/>
        <v>ACA</v>
      </c>
      <c r="E25" s="31" t="str">
        <f>_xlfn.XLOOKUP(C25,'[1]SIG Job Families &amp; Descriptions'!F:F,'[1]SIG Job Families &amp; Descriptions'!A:A)</f>
        <v>ACA060</v>
      </c>
      <c r="F25" s="32" t="s">
        <v>32</v>
      </c>
      <c r="G25" s="33" t="s">
        <v>34</v>
      </c>
      <c r="H25" s="34" t="str">
        <f>F25&amp;"-"&amp;G25</f>
        <v>Professional-12</v>
      </c>
      <c r="I25" s="35" t="str">
        <f>IF(ISERROR(_xlfn.XLOOKUP(H25,'[1]SIG Level Structure'!D:D,'[1]SIG Level Structure'!D:D)),"0","1")</f>
        <v>1</v>
      </c>
      <c r="J25" s="36" t="str">
        <f>_xlfn.XLOOKUP($H25,'[1]SIG Level Structure'!$D:$D,'[1]SIG Level Structure'!F:F)</f>
        <v>P3</v>
      </c>
      <c r="K25" s="37" t="str">
        <f>E25&amp;"-"&amp;J25&amp;"-"&amp;G25</f>
        <v>ACA060-P3-12</v>
      </c>
      <c r="L25" s="37" t="str">
        <f>IFERROR(D25&amp;"-"&amp;LEFT(J25,1),"--")</f>
        <v>ACA-P</v>
      </c>
      <c r="M25" s="37" t="str">
        <f>VLOOKUP(L25,'[1]Compatible JC'!$A:$A,1,FALSE)</f>
        <v>ACA-P</v>
      </c>
      <c r="N25" s="37" t="str">
        <f>IFERROR(_xlfn.XLOOKUP(H25,'[1]SIG Level Structure'!D:D,'[1]SIG Level Structure'!C:C),"--")</f>
        <v>Expert</v>
      </c>
      <c r="O25" s="38" t="str">
        <f>IFERROR(TRIM(N25&amp;" "&amp;C25),"--")</f>
        <v>Expert Sustainability/Environmental Affairs</v>
      </c>
      <c r="P25" s="22" t="str">
        <f>_xlfn.XLOOKUP(E25,'[1]SIG Job Families &amp; Descriptions'!A:A,'[1]SIG Job Families &amp; Descriptions'!G:G)</f>
        <v>Plans, implements and maintains the organization's sustainability programs to reduce the use of nonrenewable resources and minimize the environmental impact of operations. Communicates the organization's sustainability vision and program information. Monitors and facilitates progress of sustainability programs consistent with strategies, goals, measurements and reporting standards.</v>
      </c>
      <c r="Q25" s="39" t="str">
        <f>_xlfn.XLOOKUP(E25,'[1]2022 GI Position Descriptions'!E:E,'[1]2022 GI Position Descriptions'!G:G)</f>
        <v>Develops and implements the organization's positions on environmental policy issues regarding the impact of the organization's operations on water, air and land quality | Designs and implements programs to ensure healthful and safe working conditions and compliance with all environmental regulations, including clean air and hazardous waste disposal, on the organization's premises | Serves as a liaison with external government environmental agencies | Monitors programs and maintains up-to-date records required by environmental permits to ensure government compliance</v>
      </c>
      <c r="R25" s="22" t="str">
        <f>IF(LEFT(J25,1)="E","EX",LEFT(J25,1))</f>
        <v>P</v>
      </c>
      <c r="S25" s="22" t="str">
        <f>_xlfn.XLOOKUP($R25,'[1]Career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5" s="22" t="str">
        <f>J25</f>
        <v>P3</v>
      </c>
      <c r="U25" s="40" t="str">
        <f t="shared" si="1"/>
        <v>P3</v>
      </c>
      <c r="V25" s="22" t="str">
        <f>_xlfn.XLOOKUP(T25,'[1]Career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25" s="41" t="str">
        <f>J25&amp;"-"&amp;G25</f>
        <v>P3-12</v>
      </c>
      <c r="X25" s="42" t="str">
        <f>G25</f>
        <v>12</v>
      </c>
      <c r="Y25" s="22" t="str">
        <f>_xlfn.XLOOKUP(W25,'[1]Career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25" s="43" t="str">
        <f>IFERROR(O25&amp;" - "&amp;G25,"--")</f>
        <v>Expert Sustainability/Environmental Affairs - 12</v>
      </c>
      <c r="AA25" s="44" t="str">
        <f>_xlfn.XLOOKUP($H25,'[1]SIG Qualifications Input'!$D:$D,'[1]SIG Qualifications Input'!$H:$H)</f>
        <v>University degree or equivalent and 4-8 years of work experience or equivalent, 
Initial experience in functionally leading (sub-) projects</v>
      </c>
    </row>
    <row r="26" spans="1:27" ht="183" thickBot="1" x14ac:dyDescent="0.2">
      <c r="A26" s="34" t="str">
        <f>_xlfn.XLOOKUP(C26,'[1]SIG Job Families &amp; Descriptions'!F:F,'[1]SIG Job Families &amp; Descriptions'!B:B)</f>
        <v>Corporate Affairs/Communications</v>
      </c>
      <c r="B26" s="34" t="str">
        <f>_xlfn.XLOOKUP(C26,'[1]SIG Job Families &amp; Descriptions'!F:F,'[1]SIG Job Families &amp; Descriptions'!D:D)</f>
        <v xml:space="preserve">Sustainability/Environmental Affairs </v>
      </c>
      <c r="C26" s="34" t="s">
        <v>44</v>
      </c>
      <c r="D26" s="30" t="str">
        <f t="shared" si="0"/>
        <v>ACA</v>
      </c>
      <c r="E26" s="31" t="str">
        <f>_xlfn.XLOOKUP(C26,'[1]SIG Job Families &amp; Descriptions'!F:F,'[1]SIG Job Families &amp; Descriptions'!A:A)</f>
        <v>ACA060</v>
      </c>
      <c r="F26" s="32" t="s">
        <v>29</v>
      </c>
      <c r="G26" s="33" t="s">
        <v>40</v>
      </c>
      <c r="H26" s="34" t="str">
        <f>F26&amp;"-"&amp;G26</f>
        <v>Management-16</v>
      </c>
      <c r="I26" s="35" t="str">
        <f>IF(ISERROR(_xlfn.XLOOKUP(H26,'[1]SIG Level Structure'!D:D,'[1]SIG Level Structure'!D:D)),"0","1")</f>
        <v>1</v>
      </c>
      <c r="J26" s="36" t="str">
        <f>_xlfn.XLOOKUP($H26,'[1]SIG Level Structure'!$D:$D,'[1]SIG Level Structure'!F:F)</f>
        <v>M4</v>
      </c>
      <c r="K26" s="37" t="str">
        <f>E26&amp;"-"&amp;J26&amp;"-"&amp;G26</f>
        <v>ACA060-M4-16</v>
      </c>
      <c r="L26" s="37" t="str">
        <f>IFERROR(D26&amp;"-"&amp;LEFT(J26,1),"--")</f>
        <v>ACA-M</v>
      </c>
      <c r="M26" s="37" t="str">
        <f>VLOOKUP(L26,'[1]Compatible JC'!$A:$A,1,FALSE)</f>
        <v>ACA-M</v>
      </c>
      <c r="N26" s="37" t="str">
        <f>IFERROR(_xlfn.XLOOKUP(H26,'[1]SIG Level Structure'!D:D,'[1]SIG Level Structure'!C:C),"--")</f>
        <v>Group Manager</v>
      </c>
      <c r="O26" s="38" t="str">
        <f>IFERROR(TRIM(N26&amp;" "&amp;C26),"--")</f>
        <v>Group Manager Sustainability/Environmental Affairs</v>
      </c>
      <c r="P26" s="22" t="str">
        <f>_xlfn.XLOOKUP(E26,'[1]SIG Job Families &amp; Descriptions'!A:A,'[1]SIG Job Families &amp; Descriptions'!G:G)</f>
        <v>Plans, implements and maintains the organization's sustainability programs to reduce the use of nonrenewable resources and minimize the environmental impact of operations. Communicates the organization's sustainability vision and program information. Monitors and facilitates progress of sustainability programs consistent with strategies, goals, measurements and reporting standards.</v>
      </c>
      <c r="Q26" s="39" t="str">
        <f>_xlfn.XLOOKUP(E26,'[1]2022 GI Position Descriptions'!E:E,'[1]2022 GI Position Descriptions'!G:G)</f>
        <v>Develops and implements the organization's positions on environmental policy issues regarding the impact of the organization's operations on water, air and land quality | Designs and implements programs to ensure healthful and safe working conditions and compliance with all environmental regulations, including clean air and hazardous waste disposal, on the organization's premises | Serves as a liaison with external government environmental agencies | Monitors programs and maintains up-to-date records required by environmental permits to ensure government compliance</v>
      </c>
      <c r="R26" s="22" t="str">
        <f>IF(LEFT(J26,1)="E","EX",LEFT(J26,1))</f>
        <v>M</v>
      </c>
      <c r="S26" s="22" t="str">
        <f>_xlfn.XLOOKUP($R26,'[1]Career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26" s="22" t="str">
        <f>J26</f>
        <v>M4</v>
      </c>
      <c r="U26" s="40" t="str">
        <f t="shared" si="1"/>
        <v>M4</v>
      </c>
      <c r="V26" s="22" t="str">
        <f>_xlfn.XLOOKUP(T26,'[1]Career Bands &amp; Levels'!A:A,'[1]Career Bands &amp; Levels'!C:C)</f>
        <v xml:space="preserve">●	Provides leadership and direction through Senior Managers and Managers		
●	Has accountability for the performance and results of:		
	●	A large, strategically important discipline in an extremely large market; and/or	
	●	Related disciplines or a medium-sized function in a large market or medium-sized division; and/or	
	●	A medium-sized discipline or department in a major region	
●	Adapts and executes functional or departmental business plans and contributes to the development of functional or departmental strategies		
●	Decisions are guided by functional or major operational segment strategies and priorities		</v>
      </c>
      <c r="W26" s="41" t="str">
        <f>J26&amp;"-"&amp;G26</f>
        <v>M4-16</v>
      </c>
      <c r="X26" s="42" t="str">
        <f>G26</f>
        <v>16</v>
      </c>
      <c r="Y26" s="22" t="str">
        <f>_xlfn.XLOOKUP(W26,'[1]Career Bands &amp; Levels'!A:A,'[1]Career Bands &amp; Levels'!C:C,"No Grade Differentiator")</f>
        <v>No Grade Differentiator</v>
      </c>
      <c r="Z26" s="43" t="str">
        <f>IFERROR(O26&amp;" - "&amp;G26,"--")</f>
        <v>Group Manager Sustainability/Environmental Affairs - 16</v>
      </c>
      <c r="AA26" s="44" t="str">
        <f>_xlfn.XLOOKUP($H26,'[1]SIG Qualifications Input'!$D:$D,'[1]SIG Qualifications Input'!$H:$H)</f>
        <v>University degree or equivalent and 10-15 years of work experience or equivalent
Profound experience in management of a global function or major region including setting the respective strategy</v>
      </c>
    </row>
    <row r="27" spans="1:27" ht="183" thickBot="1" x14ac:dyDescent="0.2">
      <c r="A27" s="34" t="str">
        <f>_xlfn.XLOOKUP(C27,'[1]SIG Job Families &amp; Descriptions'!F:F,'[1]SIG Job Families &amp; Descriptions'!B:B)</f>
        <v>Corporate Affairs/Communications</v>
      </c>
      <c r="B27" s="34" t="str">
        <f>_xlfn.XLOOKUP(C27,'[1]SIG Job Families &amp; Descriptions'!F:F,'[1]SIG Job Families &amp; Descriptions'!D:D)</f>
        <v xml:space="preserve">Sustainability/Environmental Affairs </v>
      </c>
      <c r="C27" s="34" t="s">
        <v>44</v>
      </c>
      <c r="D27" s="30" t="str">
        <f t="shared" si="0"/>
        <v>ACA</v>
      </c>
      <c r="E27" s="31" t="str">
        <f>_xlfn.XLOOKUP(C27,'[1]SIG Job Families &amp; Descriptions'!F:F,'[1]SIG Job Families &amp; Descriptions'!A:A)</f>
        <v>ACA060</v>
      </c>
      <c r="F27" s="32" t="s">
        <v>29</v>
      </c>
      <c r="G27" s="33" t="s">
        <v>45</v>
      </c>
      <c r="H27" s="34" t="str">
        <f>F27&amp;"-"&amp;G27</f>
        <v>Management-17</v>
      </c>
      <c r="I27" s="35" t="str">
        <f>IF(ISERROR(_xlfn.XLOOKUP(H27,'[1]SIG Level Structure'!D:D,'[1]SIG Level Structure'!D:D)),"0","1")</f>
        <v>1</v>
      </c>
      <c r="J27" s="36" t="str">
        <f>_xlfn.XLOOKUP($H27,'[1]SIG Level Structure'!$D:$D,'[1]SIG Level Structure'!F:F)</f>
        <v>EX</v>
      </c>
      <c r="K27" s="37" t="str">
        <f>E27&amp;"-"&amp;J27&amp;"-"&amp;G27</f>
        <v>ACA060-EX-17</v>
      </c>
      <c r="L27" s="37" t="str">
        <f>IFERROR(D27&amp;"-"&amp;LEFT(J27,1),"--")</f>
        <v>ACA-E</v>
      </c>
      <c r="M27" s="37" t="str">
        <f>VLOOKUP(L27,'[1]Compatible JC'!$A:$A,1,FALSE)</f>
        <v>ACA-E</v>
      </c>
      <c r="N27" s="37" t="str">
        <f>IFERROR(_xlfn.XLOOKUP(H27,'[1]SIG Level Structure'!D:D,'[1]SIG Level Structure'!C:C),"--")</f>
        <v>Group Manager</v>
      </c>
      <c r="O27" s="38" t="str">
        <f>IFERROR(TRIM(N27&amp;" "&amp;C27),"--")</f>
        <v>Group Manager Sustainability/Environmental Affairs</v>
      </c>
      <c r="P27" s="22" t="str">
        <f>_xlfn.XLOOKUP(E27,'[1]SIG Job Families &amp; Descriptions'!A:A,'[1]SIG Job Families &amp; Descriptions'!G:G)</f>
        <v>Plans, implements and maintains the organization's sustainability programs to reduce the use of nonrenewable resources and minimize the environmental impact of operations. Communicates the organization's sustainability vision and program information. Monitors and facilitates progress of sustainability programs consistent with strategies, goals, measurements and reporting standards.</v>
      </c>
      <c r="Q27" s="39" t="str">
        <f>_xlfn.XLOOKUP(E27,'[1]2022 GI Position Descriptions'!E:E,'[1]2022 GI Position Descriptions'!G:G)</f>
        <v>Develops and implements the organization's positions on environmental policy issues regarding the impact of the organization's operations on water, air and land quality | Designs and implements programs to ensure healthful and safe working conditions and compliance with all environmental regulations, including clean air and hazardous waste disposal, on the organization's premises | Serves as a liaison with external government environmental agencies | Monitors programs and maintains up-to-date records required by environmental permits to ensure government compliance</v>
      </c>
      <c r="R27" s="22" t="str">
        <f>IF(LEFT(J27,1)="E","EX",LEFT(J27,1))</f>
        <v>EX</v>
      </c>
      <c r="S27" s="22" t="str">
        <f>_xlfn.XLOOKUP($R27,'[1]Career Bands &amp; Levels'!A:A,'[1]Career Bands &amp; Levels'!C:C)</f>
        <v>● Holds management accountability for a business, division, major geography, corporate function or major corporate sub-function
● Develops, establishes and approves long-term vision and strategy for the area managed
● May be a board or executive committee member or have a comparable level of influence</v>
      </c>
      <c r="T27" s="22" t="str">
        <f>J27</f>
        <v>EX</v>
      </c>
      <c r="U27" s="40" t="str">
        <f t="shared" si="1"/>
        <v>EX</v>
      </c>
      <c r="V27" s="22" t="str">
        <f>_xlfn.XLOOKUP(T27,'[1]Career Bands &amp; Levels'!A:A,'[1]Career Bands &amp; Levels'!C:C)</f>
        <v>● Holds management accountability for a business, division, major geography, corporate function or major corporate sub-function
● Develops, establishes and approves long-term vision and strategy for the area managed
● May be a board or executive committee member or have a comparable level of influence</v>
      </c>
      <c r="W27" s="41" t="str">
        <f>J27&amp;"-"&amp;G27</f>
        <v>EX-17</v>
      </c>
      <c r="X27" s="42" t="str">
        <f>G27</f>
        <v>17</v>
      </c>
      <c r="Y27" s="22" t="str">
        <f>_xlfn.XLOOKUP(W27,'[1]Career Bands &amp; Levels'!A:A,'[1]Career Bands &amp; Levels'!C:C,"No Grade Differentiator")</f>
        <v>● Typically reports to the head of a subregion, country, division or function
● In large organizations (Global Grade 20 to 22), heads an infrastructure function with indirect impact on business performance</v>
      </c>
      <c r="Z27" s="43" t="str">
        <f>IFERROR(O27&amp;" - "&amp;G27,"--")</f>
        <v>Group Manager Sustainability/Environmental Affairs - 17</v>
      </c>
      <c r="AA27" s="44" t="str">
        <f>_xlfn.XLOOKUP($H27,'[1]SIG Qualifications Input'!$D:$D,'[1]SIG Qualifications Input'!$H:$H)</f>
        <v>University degree or equivalent and 10-15 years of work experience or equivalent
Profound experience in management of a global function or major region including setting the respective strategy</v>
      </c>
    </row>
    <row r="28" spans="1:27" ht="99" thickBot="1" x14ac:dyDescent="0.2">
      <c r="A28" s="34" t="str">
        <f>_xlfn.XLOOKUP(C28,'[1]SIG Job Families &amp; Descriptions'!F:F,'[1]SIG Job Families &amp; Descriptions'!B:B)</f>
        <v>Engineering</v>
      </c>
      <c r="B28" s="34" t="str">
        <f>_xlfn.XLOOKUP(C28,'[1]SIG Job Families &amp; Descriptions'!F:F,'[1]SIG Job Families &amp; Descriptions'!D:D)</f>
        <v>General Engineering</v>
      </c>
      <c r="C28" s="34" t="s">
        <v>46</v>
      </c>
      <c r="D28" s="30" t="str">
        <f t="shared" si="0"/>
        <v>AZE</v>
      </c>
      <c r="E28" s="31" t="str">
        <f>_xlfn.XLOOKUP(C28,'[1]SIG Job Families &amp; Descriptions'!F:F,'[1]SIG Job Families &amp; Descriptions'!A:A)</f>
        <v>AZE000</v>
      </c>
      <c r="F28" s="32" t="s">
        <v>29</v>
      </c>
      <c r="G28" s="33" t="s">
        <v>45</v>
      </c>
      <c r="H28" s="34" t="str">
        <f>F28&amp;"-"&amp;G28</f>
        <v>Management-17</v>
      </c>
      <c r="I28" s="35" t="str">
        <f>IF(ISERROR(_xlfn.XLOOKUP(H28,'[1]SIG Level Structure'!D:D,'[1]SIG Level Structure'!D:D)),"0","1")</f>
        <v>1</v>
      </c>
      <c r="J28" s="36" t="str">
        <f>_xlfn.XLOOKUP($H28,'[1]SIG Level Structure'!$D:$D,'[1]SIG Level Structure'!F:F)</f>
        <v>EX</v>
      </c>
      <c r="K28" s="37" t="str">
        <f>E28&amp;"-"&amp;J28&amp;"-"&amp;G28</f>
        <v>AZE000-EX-17</v>
      </c>
      <c r="L28" s="37" t="str">
        <f>IFERROR(D28&amp;"-"&amp;LEFT(J28,1),"--")</f>
        <v>AZE-E</v>
      </c>
      <c r="M28" s="37" t="str">
        <f>VLOOKUP(L28,'[1]Compatible JC'!$A:$A,1,FALSE)</f>
        <v>AZE-E</v>
      </c>
      <c r="N28" s="37" t="str">
        <f>IFERROR(_xlfn.XLOOKUP(H28,'[1]SIG Level Structure'!D:D,'[1]SIG Level Structure'!C:C),"--")</f>
        <v>Group Manager</v>
      </c>
      <c r="O28" s="38" t="str">
        <f>IFERROR(TRIM(N28&amp;" "&amp;C28),"--")</f>
        <v>Group Manager General Engineering</v>
      </c>
      <c r="P28" s="22" t="str">
        <f>_xlfn.XLOOKUP(E28,'[1]SIG Job Families &amp; Descriptions'!A:A,'[1]SIG Job Families &amp; Descriptions'!G:G)</f>
        <v xml:space="preserve">Performs generally engineering work in operations, production, construction or maintenance environments. Responsibilities are trypically within the engineering function as a generalist or in a combination of disciplines. </v>
      </c>
      <c r="Q28" s="39" t="str">
        <f>_xlfn.XLOOKUP(E28,'[1]2022 GI Position Descriptions'!E:E,'[1]2022 GI Position Descriptions'!G:G)</f>
        <v>Performs engineering work in operations, production, construction or maintenance environments | Responsibilities are within the Engineering Function as a generalist or in a combination of Disciplines</v>
      </c>
      <c r="R28" s="22" t="str">
        <f>IF(LEFT(J28,1)="E","EX",LEFT(J28,1))</f>
        <v>EX</v>
      </c>
      <c r="S28" s="22" t="str">
        <f>_xlfn.XLOOKUP($R28,'[1]Career Bands &amp; Levels'!A:A,'[1]Career Bands &amp; Levels'!C:C)</f>
        <v>● Holds management accountability for a business, division, major geography, corporate function or major corporate sub-function
● Develops, establishes and approves long-term vision and strategy for the area managed
● May be a board or executive committee member or have a comparable level of influence</v>
      </c>
      <c r="T28" s="22" t="str">
        <f>J28</f>
        <v>EX</v>
      </c>
      <c r="U28" s="40" t="str">
        <f t="shared" si="1"/>
        <v>EX</v>
      </c>
      <c r="V28" s="22" t="str">
        <f>_xlfn.XLOOKUP(T28,'[1]Career Bands &amp; Levels'!A:A,'[1]Career Bands &amp; Levels'!C:C)</f>
        <v>● Holds management accountability for a business, division, major geography, corporate function or major corporate sub-function
● Develops, establishes and approves long-term vision and strategy for the area managed
● May be a board or executive committee member or have a comparable level of influence</v>
      </c>
      <c r="W28" s="41" t="str">
        <f>J28&amp;"-"&amp;G28</f>
        <v>EX-17</v>
      </c>
      <c r="X28" s="42" t="str">
        <f>G28</f>
        <v>17</v>
      </c>
      <c r="Y28" s="22" t="str">
        <f>_xlfn.XLOOKUP(W28,'[1]Career Bands &amp; Levels'!A:A,'[1]Career Bands &amp; Levels'!C:C,"No Grade Differentiator")</f>
        <v>● Typically reports to the head of a subregion, country, division or function
● In large organizations (Global Grade 20 to 22), heads an infrastructure function with indirect impact on business performance</v>
      </c>
      <c r="Z28" s="43" t="str">
        <f>IFERROR(O28&amp;" - "&amp;G28,"--")</f>
        <v>Group Manager General Engineering - 17</v>
      </c>
      <c r="AA28" s="44" t="str">
        <f>_xlfn.XLOOKUP($H28,'[1]SIG Qualifications Input'!$D:$D,'[1]SIG Qualifications Input'!$H:$H)</f>
        <v>University degree or equivalent and 10-15 years of work experience or equivalent
Profound experience in management of a global function or major region including setting the respective strategy</v>
      </c>
    </row>
    <row r="29" spans="1:27" ht="183" thickBot="1" x14ac:dyDescent="0.2">
      <c r="A29" s="34" t="str">
        <f>_xlfn.XLOOKUP(C29,'[1]SIG Job Families &amp; Descriptions'!F:F,'[1]SIG Job Families &amp; Descriptions'!B:B)</f>
        <v>Engineering</v>
      </c>
      <c r="B29" s="34" t="str">
        <f>_xlfn.XLOOKUP(C29,'[1]SIG Job Families &amp; Descriptions'!F:F,'[1]SIG Job Families &amp; Descriptions'!D:D)</f>
        <v>General Engineering</v>
      </c>
      <c r="C29" s="34" t="s">
        <v>46</v>
      </c>
      <c r="D29" s="30" t="str">
        <f t="shared" si="0"/>
        <v>AZE</v>
      </c>
      <c r="E29" s="31" t="str">
        <f>_xlfn.XLOOKUP(C29,'[1]SIG Job Families &amp; Descriptions'!F:F,'[1]SIG Job Families &amp; Descriptions'!A:A)</f>
        <v>AZE000</v>
      </c>
      <c r="F29" s="32" t="s">
        <v>29</v>
      </c>
      <c r="G29" s="33" t="s">
        <v>40</v>
      </c>
      <c r="H29" s="34" t="str">
        <f>F29&amp;"-"&amp;G29</f>
        <v>Management-16</v>
      </c>
      <c r="I29" s="35" t="str">
        <f>IF(ISERROR(_xlfn.XLOOKUP(H29,'[1]SIG Level Structure'!D:D,'[1]SIG Level Structure'!D:D)),"0","1")</f>
        <v>1</v>
      </c>
      <c r="J29" s="36" t="str">
        <f>_xlfn.XLOOKUP($H29,'[1]SIG Level Structure'!$D:$D,'[1]SIG Level Structure'!F:F)</f>
        <v>M4</v>
      </c>
      <c r="K29" s="37" t="str">
        <f>E29&amp;"-"&amp;J29&amp;"-"&amp;G29</f>
        <v>AZE000-M4-16</v>
      </c>
      <c r="L29" s="37" t="str">
        <f>IFERROR(D29&amp;"-"&amp;LEFT(J29,1),"--")</f>
        <v>AZE-M</v>
      </c>
      <c r="M29" s="37" t="str">
        <f>VLOOKUP(L29,'[1]Compatible JC'!$A:$A,1,FALSE)</f>
        <v>AZE-M</v>
      </c>
      <c r="N29" s="37" t="str">
        <f>IFERROR(_xlfn.XLOOKUP(H29,'[1]SIG Level Structure'!D:D,'[1]SIG Level Structure'!C:C),"--")</f>
        <v>Group Manager</v>
      </c>
      <c r="O29" s="38" t="str">
        <f>IFERROR(TRIM(N29&amp;" "&amp;C29),"--")</f>
        <v>Group Manager General Engineering</v>
      </c>
      <c r="P29" s="22" t="str">
        <f>_xlfn.XLOOKUP(E29,'[1]SIG Job Families &amp; Descriptions'!A:A,'[1]SIG Job Families &amp; Descriptions'!G:G)</f>
        <v xml:space="preserve">Performs generally engineering work in operations, production, construction or maintenance environments. Responsibilities are trypically within the engineering function as a generalist or in a combination of disciplines. </v>
      </c>
      <c r="Q29" s="39" t="str">
        <f>_xlfn.XLOOKUP(E29,'[1]2022 GI Position Descriptions'!E:E,'[1]2022 GI Position Descriptions'!G:G)</f>
        <v>Performs engineering work in operations, production, construction or maintenance environments | Responsibilities are within the Engineering Function as a generalist or in a combination of Disciplines</v>
      </c>
      <c r="R29" s="22" t="str">
        <f>IF(LEFT(J29,1)="E","EX",LEFT(J29,1))</f>
        <v>M</v>
      </c>
      <c r="S29" s="22" t="str">
        <f>_xlfn.XLOOKUP($R29,'[1]Career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29" s="22" t="str">
        <f>J29</f>
        <v>M4</v>
      </c>
      <c r="U29" s="40" t="str">
        <f t="shared" si="1"/>
        <v>M4</v>
      </c>
      <c r="V29" s="22" t="str">
        <f>_xlfn.XLOOKUP(T29,'[1]Career Bands &amp; Levels'!A:A,'[1]Career Bands &amp; Levels'!C:C)</f>
        <v xml:space="preserve">●	Provides leadership and direction through Senior Managers and Managers		
●	Has accountability for the performance and results of:		
	●	A large, strategically important discipline in an extremely large market; and/or	
	●	Related disciplines or a medium-sized function in a large market or medium-sized division; and/or	
	●	A medium-sized discipline or department in a major region	
●	Adapts and executes functional or departmental business plans and contributes to the development of functional or departmental strategies		
●	Decisions are guided by functional or major operational segment strategies and priorities		</v>
      </c>
      <c r="W29" s="41" t="str">
        <f>J29&amp;"-"&amp;G29</f>
        <v>M4-16</v>
      </c>
      <c r="X29" s="42" t="str">
        <f>G29</f>
        <v>16</v>
      </c>
      <c r="Y29" s="22" t="str">
        <f>_xlfn.XLOOKUP(W29,'[1]Career Bands &amp; Levels'!A:A,'[1]Career Bands &amp; Levels'!C:C,"No Grade Differentiator")</f>
        <v>No Grade Differentiator</v>
      </c>
      <c r="Z29" s="43" t="str">
        <f>IFERROR(O29&amp;" - "&amp;G29,"--")</f>
        <v>Group Manager General Engineering - 16</v>
      </c>
      <c r="AA29" s="44" t="str">
        <f>_xlfn.XLOOKUP($H29,'[1]SIG Qualifications Input'!$D:$D,'[1]SIG Qualifications Input'!$H:$H)</f>
        <v>University degree or equivalent and 10-15 years of work experience or equivalent
Profound experience in management of a global function or major region including setting the respective strategy</v>
      </c>
    </row>
    <row r="30" spans="1:27" ht="183" thickBot="1" x14ac:dyDescent="0.2">
      <c r="A30" s="34" t="str">
        <f>_xlfn.XLOOKUP(C30,'[1]SIG Job Families &amp; Descriptions'!F:F,'[1]SIG Job Families &amp; Descriptions'!B:B)</f>
        <v>Engineering</v>
      </c>
      <c r="B30" s="34" t="str">
        <f>_xlfn.XLOOKUP(C30,'[1]SIG Job Families &amp; Descriptions'!F:F,'[1]SIG Job Families &amp; Descriptions'!D:D)</f>
        <v>General Engineering</v>
      </c>
      <c r="C30" s="34" t="s">
        <v>46</v>
      </c>
      <c r="D30" s="30" t="str">
        <f t="shared" si="0"/>
        <v>AZE</v>
      </c>
      <c r="E30" s="31" t="str">
        <f>_xlfn.XLOOKUP(C30,'[1]SIG Job Families &amp; Descriptions'!F:F,'[1]SIG Job Families &amp; Descriptions'!A:A)</f>
        <v>AZE000</v>
      </c>
      <c r="F30" s="32" t="s">
        <v>29</v>
      </c>
      <c r="G30" s="33" t="s">
        <v>30</v>
      </c>
      <c r="H30" s="34" t="str">
        <f>F30&amp;"-"&amp;G30</f>
        <v>Management-15</v>
      </c>
      <c r="I30" s="35" t="str">
        <f>IF(ISERROR(_xlfn.XLOOKUP(H30,'[1]SIG Level Structure'!D:D,'[1]SIG Level Structure'!D:D)),"0","1")</f>
        <v>1</v>
      </c>
      <c r="J30" s="36" t="str">
        <f>_xlfn.XLOOKUP($H30,'[1]SIG Level Structure'!$D:$D,'[1]SIG Level Structure'!F:F)</f>
        <v>M3</v>
      </c>
      <c r="K30" s="37" t="str">
        <f>E30&amp;"-"&amp;J30&amp;"-"&amp;G30</f>
        <v>AZE000-M3-15</v>
      </c>
      <c r="L30" s="37" t="str">
        <f>IFERROR(D30&amp;"-"&amp;LEFT(J30,1),"--")</f>
        <v>AZE-M</v>
      </c>
      <c r="M30" s="37" t="str">
        <f>VLOOKUP(L30,'[1]Compatible JC'!$A:$A,1,FALSE)</f>
        <v>AZE-M</v>
      </c>
      <c r="N30" s="37" t="str">
        <f>IFERROR(_xlfn.XLOOKUP(H30,'[1]SIG Level Structure'!D:D,'[1]SIG Level Structure'!C:C),"--")</f>
        <v>Senior Manager</v>
      </c>
      <c r="O30" s="38" t="str">
        <f>IFERROR(TRIM(N30&amp;" "&amp;C30),"--")</f>
        <v>Senior Manager General Engineering</v>
      </c>
      <c r="P30" s="22" t="str">
        <f>_xlfn.XLOOKUP(E30,'[1]SIG Job Families &amp; Descriptions'!A:A,'[1]SIG Job Families &amp; Descriptions'!G:G)</f>
        <v xml:space="preserve">Performs generally engineering work in operations, production, construction or maintenance environments. Responsibilities are trypically within the engineering function as a generalist or in a combination of disciplines. </v>
      </c>
      <c r="Q30" s="39" t="str">
        <f>_xlfn.XLOOKUP(E30,'[1]2022 GI Position Descriptions'!E:E,'[1]2022 GI Position Descriptions'!G:G)</f>
        <v>Performs engineering work in operations, production, construction or maintenance environments | Responsibilities are within the Engineering Function as a generalist or in a combination of Disciplines</v>
      </c>
      <c r="R30" s="22" t="str">
        <f>IF(LEFT(J30,1)="E","EX",LEFT(J30,1))</f>
        <v>M</v>
      </c>
      <c r="S30" s="22" t="str">
        <f>_xlfn.XLOOKUP($R30,'[1]Career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30" s="22" t="str">
        <f>J30</f>
        <v>M3</v>
      </c>
      <c r="U30" s="40" t="str">
        <f t="shared" si="1"/>
        <v>M3</v>
      </c>
      <c r="V30" s="22" t="str">
        <f>_xlfn.XLOOKUP(T30,'[1]Career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30" s="41" t="str">
        <f>J30&amp;"-"&amp;G30</f>
        <v>M3-15</v>
      </c>
      <c r="X30" s="42" t="str">
        <f>G30</f>
        <v>15</v>
      </c>
      <c r="Y30" s="22" t="str">
        <f>_xlfn.XLOOKUP(W30,'[1]Career Bands &amp; Levels'!A:A,'[1]Career Bands &amp; Levels'!C:C,"No Grade Differentiator")</f>
        <v xml:space="preserve">●	Looks beyond existing methodologies and own discipline to define and resolve complex problems
●	Develops plans and delivers results in fast-changing businesses and/or regulatory environments
●	Provides input to functional or departmental strategy		
●	Manages large, potentially diverse teams of managers and/or senior professionals		
		</v>
      </c>
      <c r="Z30" s="43" t="str">
        <f>IFERROR(O30&amp;" - "&amp;G30,"--")</f>
        <v>Senior Manager General Engineering - 15</v>
      </c>
      <c r="AA30" s="44" t="str">
        <f>_xlfn.XLOOKUP($H30,'[1]SIG Qualifications Input'!$D:$D,'[1]SIG Qualifications Input'!$H:$H)</f>
        <v xml:space="preserve">University degree or equivalent and 10+ years of work experience or equivalent
Profound experience in managing performance and results of diverse activities / multiple teams </v>
      </c>
    </row>
    <row r="31" spans="1:27" ht="183" thickBot="1" x14ac:dyDescent="0.2">
      <c r="A31" s="34" t="str">
        <f>_xlfn.XLOOKUP(C31,'[1]SIG Job Families &amp; Descriptions'!F:F,'[1]SIG Job Families &amp; Descriptions'!B:B)</f>
        <v>Engineering</v>
      </c>
      <c r="B31" s="34" t="str">
        <f>_xlfn.XLOOKUP(C31,'[1]SIG Job Families &amp; Descriptions'!F:F,'[1]SIG Job Families &amp; Descriptions'!D:D)</f>
        <v>General Engineering</v>
      </c>
      <c r="C31" s="34" t="s">
        <v>46</v>
      </c>
      <c r="D31" s="30" t="str">
        <f t="shared" si="0"/>
        <v>AZE</v>
      </c>
      <c r="E31" s="31" t="str">
        <f>_xlfn.XLOOKUP(C31,'[1]SIG Job Families &amp; Descriptions'!F:F,'[1]SIG Job Families &amp; Descriptions'!A:A)</f>
        <v>AZE000</v>
      </c>
      <c r="F31" s="32" t="s">
        <v>29</v>
      </c>
      <c r="G31" s="33" t="s">
        <v>31</v>
      </c>
      <c r="H31" s="34" t="str">
        <f>F31&amp;"-"&amp;G31</f>
        <v>Management-14</v>
      </c>
      <c r="I31" s="35" t="str">
        <f>IF(ISERROR(_xlfn.XLOOKUP(H31,'[1]SIG Level Structure'!D:D,'[1]SIG Level Structure'!D:D)),"0","1")</f>
        <v>1</v>
      </c>
      <c r="J31" s="36" t="str">
        <f>_xlfn.XLOOKUP($H31,'[1]SIG Level Structure'!$D:$D,'[1]SIG Level Structure'!F:F)</f>
        <v>M3</v>
      </c>
      <c r="K31" s="37" t="str">
        <f>E31&amp;"-"&amp;J31&amp;"-"&amp;G31</f>
        <v>AZE000-M3-14</v>
      </c>
      <c r="L31" s="37" t="str">
        <f>IFERROR(D31&amp;"-"&amp;LEFT(J31,1),"--")</f>
        <v>AZE-M</v>
      </c>
      <c r="M31" s="37" t="str">
        <f>VLOOKUP(L31,'[1]Compatible JC'!$A:$A,1,FALSE)</f>
        <v>AZE-M</v>
      </c>
      <c r="N31" s="37" t="str">
        <f>IFERROR(_xlfn.XLOOKUP(H31,'[1]SIG Level Structure'!D:D,'[1]SIG Level Structure'!C:C),"--")</f>
        <v>Senior Manager</v>
      </c>
      <c r="O31" s="38" t="str">
        <f>IFERROR(TRIM(N31&amp;" "&amp;C31),"--")</f>
        <v>Senior Manager General Engineering</v>
      </c>
      <c r="P31" s="22" t="str">
        <f>_xlfn.XLOOKUP(E31,'[1]SIG Job Families &amp; Descriptions'!A:A,'[1]SIG Job Families &amp; Descriptions'!G:G)</f>
        <v xml:space="preserve">Performs generally engineering work in operations, production, construction or maintenance environments. Responsibilities are trypically within the engineering function as a generalist or in a combination of disciplines. </v>
      </c>
      <c r="Q31" s="39" t="str">
        <f>_xlfn.XLOOKUP(E31,'[1]2022 GI Position Descriptions'!E:E,'[1]2022 GI Position Descriptions'!G:G)</f>
        <v>Performs engineering work in operations, production, construction or maintenance environments | Responsibilities are within the Engineering Function as a generalist or in a combination of Disciplines</v>
      </c>
      <c r="R31" s="22" t="str">
        <f>IF(LEFT(J31,1)="E","EX",LEFT(J31,1))</f>
        <v>M</v>
      </c>
      <c r="S31" s="22" t="str">
        <f>_xlfn.XLOOKUP($R31,'[1]Career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31" s="22" t="str">
        <f>J31</f>
        <v>M3</v>
      </c>
      <c r="U31" s="40" t="str">
        <f t="shared" si="1"/>
        <v>M3</v>
      </c>
      <c r="V31" s="22" t="str">
        <f>_xlfn.XLOOKUP(T31,'[1]Career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31" s="41" t="str">
        <f>J31&amp;"-"&amp;G31</f>
        <v>M3-14</v>
      </c>
      <c r="X31" s="42" t="str">
        <f>G31</f>
        <v>14</v>
      </c>
      <c r="Y31" s="22" t="str">
        <f>_xlfn.XLOOKUP(W31,'[1]Career Bands &amp; Levels'!A:A,'[1]Career Bands &amp; Levels'!C:C,"No Grade Differentiator")</f>
        <v xml:space="preserve">●	Identifies applications of functional knowledge and existing methodologies to complex problems	
●	Manages large teams of professionals and/or junior managers		
		</v>
      </c>
      <c r="Z31" s="43" t="str">
        <f>IFERROR(O31&amp;" - "&amp;G31,"--")</f>
        <v>Senior Manager General Engineering - 14</v>
      </c>
      <c r="AA31" s="44" t="str">
        <f>_xlfn.XLOOKUP($H31,'[1]SIG Qualifications Input'!$D:$D,'[1]SIG Qualifications Input'!$H:$H)</f>
        <v xml:space="preserve">University degree or equivalent and 10+ years of work experience or equivalent
Profound experience in managing performance and results of diverse activities / multiple teams </v>
      </c>
    </row>
    <row r="32" spans="1:27" ht="183" thickBot="1" x14ac:dyDescent="0.2">
      <c r="A32" s="34" t="str">
        <f>_xlfn.XLOOKUP(C32,'[1]SIG Job Families &amp; Descriptions'!F:F,'[1]SIG Job Families &amp; Descriptions'!B:B)</f>
        <v>Engineering</v>
      </c>
      <c r="B32" s="34" t="str">
        <f>_xlfn.XLOOKUP(C32,'[1]SIG Job Families &amp; Descriptions'!F:F,'[1]SIG Job Families &amp; Descriptions'!D:D)</f>
        <v>General Engineering</v>
      </c>
      <c r="C32" s="34" t="s">
        <v>46</v>
      </c>
      <c r="D32" s="30" t="str">
        <f t="shared" si="0"/>
        <v>AZE</v>
      </c>
      <c r="E32" s="31" t="str">
        <f>_xlfn.XLOOKUP(C32,'[1]SIG Job Families &amp; Descriptions'!F:F,'[1]SIG Job Families &amp; Descriptions'!A:A)</f>
        <v>AZE000</v>
      </c>
      <c r="F32" s="32" t="s">
        <v>29</v>
      </c>
      <c r="G32" s="33" t="s">
        <v>33</v>
      </c>
      <c r="H32" s="34" t="str">
        <f>F32&amp;"-"&amp;G32</f>
        <v>Management-13</v>
      </c>
      <c r="I32" s="35" t="str">
        <f>IF(ISERROR(_xlfn.XLOOKUP(H32,'[1]SIG Level Structure'!D:D,'[1]SIG Level Structure'!D:D)),"0","1")</f>
        <v>1</v>
      </c>
      <c r="J32" s="36" t="str">
        <f>_xlfn.XLOOKUP($H32,'[1]SIG Level Structure'!$D:$D,'[1]SIG Level Structure'!F:F)</f>
        <v>M2</v>
      </c>
      <c r="K32" s="37" t="str">
        <f>E32&amp;"-"&amp;J32&amp;"-"&amp;G32</f>
        <v>AZE000-M2-13</v>
      </c>
      <c r="L32" s="37" t="str">
        <f>IFERROR(D32&amp;"-"&amp;LEFT(J32,1),"--")</f>
        <v>AZE-M</v>
      </c>
      <c r="M32" s="37" t="str">
        <f>VLOOKUP(L32,'[1]Compatible JC'!$A:$A,1,FALSE)</f>
        <v>AZE-M</v>
      </c>
      <c r="N32" s="37" t="str">
        <f>IFERROR(_xlfn.XLOOKUP(H32,'[1]SIG Level Structure'!D:D,'[1]SIG Level Structure'!C:C),"--")</f>
        <v>Manager</v>
      </c>
      <c r="O32" s="38" t="str">
        <f>IFERROR(TRIM(N32&amp;" "&amp;C32),"--")</f>
        <v>Manager General Engineering</v>
      </c>
      <c r="P32" s="22" t="str">
        <f>_xlfn.XLOOKUP(E32,'[1]SIG Job Families &amp; Descriptions'!A:A,'[1]SIG Job Families &amp; Descriptions'!G:G)</f>
        <v xml:space="preserve">Performs generally engineering work in operations, production, construction or maintenance environments. Responsibilities are trypically within the engineering function as a generalist or in a combination of disciplines. </v>
      </c>
      <c r="Q32" s="39" t="str">
        <f>_xlfn.XLOOKUP(E32,'[1]2022 GI Position Descriptions'!E:E,'[1]2022 GI Position Descriptions'!G:G)</f>
        <v>Performs engineering work in operations, production, construction or maintenance environments | Responsibilities are within the Engineering Function as a generalist or in a combination of Disciplines</v>
      </c>
      <c r="R32" s="22" t="str">
        <f>IF(LEFT(J32,1)="E","EX",LEFT(J32,1))</f>
        <v>M</v>
      </c>
      <c r="S32" s="22" t="str">
        <f>_xlfn.XLOOKUP($R32,'[1]Career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32" s="22" t="str">
        <f>J32</f>
        <v>M2</v>
      </c>
      <c r="U32" s="40" t="str">
        <f t="shared" si="1"/>
        <v>M2</v>
      </c>
      <c r="V32" s="22" t="str">
        <f>_xlfn.XLOOKUP(T32,'[1]Career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32" s="41" t="str">
        <f>J32&amp;"-"&amp;G32</f>
        <v>M2-13</v>
      </c>
      <c r="X32" s="42" t="str">
        <f>G32</f>
        <v>13</v>
      </c>
      <c r="Y32" s="22" t="str">
        <f>_xlfn.XLOOKUP(W32,'[1]Career Bands &amp; Levels'!A:A,'[1]Career Bands &amp; Levels'!C:C,"No Grade Differentiator")</f>
        <v>●	Accountable for the budget, performance and results of a medium-sized team or multiple small teams of employees		
●	Exercises full management authority, including performance reviews, pay decisions, recruitment, discipline, termination and other personnel actions		
●	Addresses issues with impact beyond own team based on knowledge of related disciplines</v>
      </c>
      <c r="Z32" s="43" t="str">
        <f>IFERROR(O32&amp;" - "&amp;G32,"--")</f>
        <v>Manager General Engineering - 13</v>
      </c>
      <c r="AA32" s="44" t="str">
        <f>_xlfn.XLOOKUP($H32,'[1]SIG Qualifications Input'!$D:$D,'[1]SIG Qualifications Input'!$H:$H)</f>
        <v>University degree or equivalent and 7-10 years of work experience or equivalent
Experience in managing mixed-level team(s) of professionals and subordinate managers</v>
      </c>
    </row>
    <row r="33" spans="1:27" ht="183" thickBot="1" x14ac:dyDescent="0.2">
      <c r="A33" s="34" t="str">
        <f>_xlfn.XLOOKUP(C33,'[1]SIG Job Families &amp; Descriptions'!F:F,'[1]SIG Job Families &amp; Descriptions'!B:B)</f>
        <v>Engineering</v>
      </c>
      <c r="B33" s="34" t="str">
        <f>_xlfn.XLOOKUP(C33,'[1]SIG Job Families &amp; Descriptions'!F:F,'[1]SIG Job Families &amp; Descriptions'!D:D)</f>
        <v>General Engineering</v>
      </c>
      <c r="C33" s="34" t="s">
        <v>46</v>
      </c>
      <c r="D33" s="30" t="str">
        <f t="shared" si="0"/>
        <v>AZE</v>
      </c>
      <c r="E33" s="31" t="str">
        <f>_xlfn.XLOOKUP(C33,'[1]SIG Job Families &amp; Descriptions'!F:F,'[1]SIG Job Families &amp; Descriptions'!A:A)</f>
        <v>AZE000</v>
      </c>
      <c r="F33" s="32" t="s">
        <v>29</v>
      </c>
      <c r="G33" s="33" t="s">
        <v>34</v>
      </c>
      <c r="H33" s="34" t="str">
        <f>F33&amp;"-"&amp;G33</f>
        <v>Management-12</v>
      </c>
      <c r="I33" s="35" t="str">
        <f>IF(ISERROR(_xlfn.XLOOKUP(H33,'[1]SIG Level Structure'!D:D,'[1]SIG Level Structure'!D:D)),"0","1")</f>
        <v>1</v>
      </c>
      <c r="J33" s="36" t="str">
        <f>_xlfn.XLOOKUP($H33,'[1]SIG Level Structure'!$D:$D,'[1]SIG Level Structure'!F:F)</f>
        <v>M2</v>
      </c>
      <c r="K33" s="37" t="str">
        <f>E33&amp;"-"&amp;J33&amp;"-"&amp;G33</f>
        <v>AZE000-M2-12</v>
      </c>
      <c r="L33" s="37" t="str">
        <f>IFERROR(D33&amp;"-"&amp;LEFT(J33,1),"--")</f>
        <v>AZE-M</v>
      </c>
      <c r="M33" s="37" t="str">
        <f>VLOOKUP(L33,'[1]Compatible JC'!$A:$A,1,FALSE)</f>
        <v>AZE-M</v>
      </c>
      <c r="N33" s="37" t="str">
        <f>IFERROR(_xlfn.XLOOKUP(H33,'[1]SIG Level Structure'!D:D,'[1]SIG Level Structure'!C:C),"--")</f>
        <v>Manager</v>
      </c>
      <c r="O33" s="38" t="str">
        <f>IFERROR(TRIM(N33&amp;" "&amp;C33),"--")</f>
        <v>Manager General Engineering</v>
      </c>
      <c r="P33" s="22" t="str">
        <f>_xlfn.XLOOKUP(E33,'[1]SIG Job Families &amp; Descriptions'!A:A,'[1]SIG Job Families &amp; Descriptions'!G:G)</f>
        <v xml:space="preserve">Performs generally engineering work in operations, production, construction or maintenance environments. Responsibilities are trypically within the engineering function as a generalist or in a combination of disciplines. </v>
      </c>
      <c r="Q33" s="39" t="str">
        <f>_xlfn.XLOOKUP(E33,'[1]2022 GI Position Descriptions'!E:E,'[1]2022 GI Position Descriptions'!G:G)</f>
        <v>Performs engineering work in operations, production, construction or maintenance environments | Responsibilities are within the Engineering Function as a generalist or in a combination of Disciplines</v>
      </c>
      <c r="R33" s="22" t="str">
        <f>IF(LEFT(J33,1)="E","EX",LEFT(J33,1))</f>
        <v>M</v>
      </c>
      <c r="S33" s="22" t="str">
        <f>_xlfn.XLOOKUP($R33,'[1]Career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33" s="22" t="str">
        <f>J33</f>
        <v>M2</v>
      </c>
      <c r="U33" s="40" t="str">
        <f t="shared" si="1"/>
        <v>M2</v>
      </c>
      <c r="V33" s="22" t="str">
        <f>_xlfn.XLOOKUP(T33,'[1]Career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33" s="41" t="str">
        <f>J33&amp;"-"&amp;G33</f>
        <v>M2-12</v>
      </c>
      <c r="X33" s="42" t="str">
        <f>G33</f>
        <v>12</v>
      </c>
      <c r="Y33" s="22" t="str">
        <f>_xlfn.XLOOKUP(W33,'[1]Career Bands &amp; Levels'!A:A,'[1]Career Bands &amp; Levels'!C:C,"No Grade Differentiator")</f>
        <v xml:space="preserve">●	Accountable for results of a small team of employees		
●	Exercises limited management authority; sets employee performance objectives, conducts performance reviews and recommends pay actions		
●	Defines team operating standards and ensures essential procedures are followed based on knowledge of own discipline		</v>
      </c>
      <c r="Z33" s="43" t="str">
        <f>IFERROR(O33&amp;" - "&amp;G33,"--")</f>
        <v>Manager General Engineering - 12</v>
      </c>
      <c r="AA33" s="44" t="str">
        <f>_xlfn.XLOOKUP($H33,'[1]SIG Qualifications Input'!$D:$D,'[1]SIG Qualifications Input'!$H:$H)</f>
        <v>University degree or equivalent and 7-10 years of work experience or equivalent
Experience in managing mixed-level team(s) of professionals and subordinate managers</v>
      </c>
    </row>
    <row r="34" spans="1:27" ht="183" thickBot="1" x14ac:dyDescent="0.2">
      <c r="A34" s="34" t="str">
        <f>_xlfn.XLOOKUP(C34,'[1]SIG Job Families &amp; Descriptions'!F:F,'[1]SIG Job Families &amp; Descriptions'!B:B)</f>
        <v>Engineering</v>
      </c>
      <c r="B34" s="34" t="str">
        <f>_xlfn.XLOOKUP(C34,'[1]SIG Job Families &amp; Descriptions'!F:F,'[1]SIG Job Families &amp; Descriptions'!D:D)</f>
        <v>General Engineering</v>
      </c>
      <c r="C34" s="34" t="s">
        <v>46</v>
      </c>
      <c r="D34" s="30" t="str">
        <f t="shared" si="0"/>
        <v>AZE</v>
      </c>
      <c r="E34" s="31" t="str">
        <f>_xlfn.XLOOKUP(C34,'[1]SIG Job Families &amp; Descriptions'!F:F,'[1]SIG Job Families &amp; Descriptions'!A:A)</f>
        <v>AZE000</v>
      </c>
      <c r="F34" s="32" t="s">
        <v>29</v>
      </c>
      <c r="G34" s="33" t="s">
        <v>35</v>
      </c>
      <c r="H34" s="34" t="str">
        <f>F34&amp;"-"&amp;G34</f>
        <v>Management-11</v>
      </c>
      <c r="I34" s="35" t="str">
        <f>IF(ISERROR(_xlfn.XLOOKUP(H34,'[1]SIG Level Structure'!D:D,'[1]SIG Level Structure'!D:D)),"0","1")</f>
        <v>1</v>
      </c>
      <c r="J34" s="36" t="str">
        <f>_xlfn.XLOOKUP($H34,'[1]SIG Level Structure'!$D:$D,'[1]SIG Level Structure'!F:F)</f>
        <v>M1</v>
      </c>
      <c r="K34" s="37" t="str">
        <f>E34&amp;"-"&amp;J34&amp;"-"&amp;G34</f>
        <v>AZE000-M1-11</v>
      </c>
      <c r="L34" s="37" t="str">
        <f>IFERROR(D34&amp;"-"&amp;LEFT(J34,1),"--")</f>
        <v>AZE-M</v>
      </c>
      <c r="M34" s="37" t="str">
        <f>VLOOKUP(L34,'[1]Compatible JC'!$A:$A,1,FALSE)</f>
        <v>AZE-M</v>
      </c>
      <c r="N34" s="37" t="str">
        <f>IFERROR(_xlfn.XLOOKUP(H34,'[1]SIG Level Structure'!D:D,'[1]SIG Level Structure'!C:C),"--")</f>
        <v>Supervisor</v>
      </c>
      <c r="O34" s="38" t="str">
        <f>IFERROR(TRIM(N34&amp;" "&amp;C34),"--")</f>
        <v>Supervisor General Engineering</v>
      </c>
      <c r="P34" s="22" t="str">
        <f>_xlfn.XLOOKUP(E34,'[1]SIG Job Families &amp; Descriptions'!A:A,'[1]SIG Job Families &amp; Descriptions'!G:G)</f>
        <v xml:space="preserve">Performs generally engineering work in operations, production, construction or maintenance environments. Responsibilities are trypically within the engineering function as a generalist or in a combination of disciplines. </v>
      </c>
      <c r="Q34" s="39" t="str">
        <f>_xlfn.XLOOKUP(E34,'[1]2022 GI Position Descriptions'!E:E,'[1]2022 GI Position Descriptions'!G:G)</f>
        <v>Performs engineering work in operations, production, construction or maintenance environments | Responsibilities are within the Engineering Function as a generalist or in a combination of Disciplines</v>
      </c>
      <c r="R34" s="22" t="str">
        <f>IF(LEFT(J34,1)="E","EX",LEFT(J34,1))</f>
        <v>M</v>
      </c>
      <c r="S34" s="22" t="str">
        <f>_xlfn.XLOOKUP($R34,'[1]Career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34" s="22" t="str">
        <f>J34</f>
        <v>M1</v>
      </c>
      <c r="U34" s="40" t="str">
        <f t="shared" si="1"/>
        <v>M1</v>
      </c>
      <c r="V34" s="22" t="str">
        <f>_xlfn.XLOOKUP(T34,'[1]Career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34" s="41" t="str">
        <f>J34&amp;"-"&amp;G34</f>
        <v>M1-11</v>
      </c>
      <c r="X34" s="42" t="str">
        <f>G34</f>
        <v>11</v>
      </c>
      <c r="Y34" s="22" t="str">
        <f>_xlfn.XLOOKUP(W34,'[1]Career Bands &amp; Levels'!A:A,'[1]Career Bands &amp; Levels'!C:C,"No Grade Differentiator")</f>
        <v xml:space="preserve">●	Accountable for the results of a large and/or moderately complex support or production operations team including subordinate work leaders		
●	Applies acquired expertise to analyze and solve problems without clear precedent		
●	Provides input on resource planning and policy development		
●	Coaches team members on performance, completes employee performance evaluations and recommends pay actions		</v>
      </c>
      <c r="Z34" s="43" t="str">
        <f>IFERROR(O34&amp;" - "&amp;G34,"--")</f>
        <v>Supervisor General Engineering - 11</v>
      </c>
      <c r="AA34" s="44" t="str">
        <f>_xlfn.XLOOKUP($H34,'[1]SIG Qualifications Input'!$D:$D,'[1]SIG Qualifications Input'!$H:$H)</f>
        <v>University degree or equivalent and 5-7 years of work experience or equivalent
Experienced in application of management techniques
Experience in operationally managing a mixed-level team</v>
      </c>
    </row>
    <row r="35" spans="1:27" ht="183" thickBot="1" x14ac:dyDescent="0.2">
      <c r="A35" s="34" t="str">
        <f>_xlfn.XLOOKUP(C35,'[1]SIG Job Families &amp; Descriptions'!F:F,'[1]SIG Job Families &amp; Descriptions'!B:B)</f>
        <v>Engineering</v>
      </c>
      <c r="B35" s="34" t="str">
        <f>_xlfn.XLOOKUP(C35,'[1]SIG Job Families &amp; Descriptions'!F:F,'[1]SIG Job Families &amp; Descriptions'!D:D)</f>
        <v>General Engineering</v>
      </c>
      <c r="C35" s="34" t="s">
        <v>46</v>
      </c>
      <c r="D35" s="30" t="str">
        <f t="shared" si="0"/>
        <v>AZE</v>
      </c>
      <c r="E35" s="31" t="str">
        <f>_xlfn.XLOOKUP(C35,'[1]SIG Job Families &amp; Descriptions'!F:F,'[1]SIG Job Families &amp; Descriptions'!A:A)</f>
        <v>AZE000</v>
      </c>
      <c r="F35" s="32" t="s">
        <v>29</v>
      </c>
      <c r="G35" s="33" t="s">
        <v>36</v>
      </c>
      <c r="H35" s="34" t="str">
        <f>F35&amp;"-"&amp;G35</f>
        <v>Management-10</v>
      </c>
      <c r="I35" s="35" t="str">
        <f>IF(ISERROR(_xlfn.XLOOKUP(H35,'[1]SIG Level Structure'!D:D,'[1]SIG Level Structure'!D:D)),"0","1")</f>
        <v>1</v>
      </c>
      <c r="J35" s="36" t="str">
        <f>_xlfn.XLOOKUP($H35,'[1]SIG Level Structure'!$D:$D,'[1]SIG Level Structure'!F:F)</f>
        <v>M1</v>
      </c>
      <c r="K35" s="37" t="str">
        <f>E35&amp;"-"&amp;J35&amp;"-"&amp;G35</f>
        <v>AZE000-M1-10</v>
      </c>
      <c r="L35" s="37" t="str">
        <f>IFERROR(D35&amp;"-"&amp;LEFT(J35,1),"--")</f>
        <v>AZE-M</v>
      </c>
      <c r="M35" s="37" t="str">
        <f>VLOOKUP(L35,'[1]Compatible JC'!$A:$A,1,FALSE)</f>
        <v>AZE-M</v>
      </c>
      <c r="N35" s="37" t="str">
        <f>IFERROR(_xlfn.XLOOKUP(H35,'[1]SIG Level Structure'!D:D,'[1]SIG Level Structure'!C:C),"--")</f>
        <v>Supervisor</v>
      </c>
      <c r="O35" s="38" t="str">
        <f>IFERROR(TRIM(N35&amp;" "&amp;C35),"--")</f>
        <v>Supervisor General Engineering</v>
      </c>
      <c r="P35" s="22" t="str">
        <f>_xlfn.XLOOKUP(E35,'[1]SIG Job Families &amp; Descriptions'!A:A,'[1]SIG Job Families &amp; Descriptions'!G:G)</f>
        <v xml:space="preserve">Performs generally engineering work in operations, production, construction or maintenance environments. Responsibilities are trypically within the engineering function as a generalist or in a combination of disciplines. </v>
      </c>
      <c r="Q35" s="39" t="str">
        <f>_xlfn.XLOOKUP(E35,'[1]2022 GI Position Descriptions'!E:E,'[1]2022 GI Position Descriptions'!G:G)</f>
        <v>Performs engineering work in operations, production, construction or maintenance environments | Responsibilities are within the Engineering Function as a generalist or in a combination of Disciplines</v>
      </c>
      <c r="R35" s="22" t="str">
        <f>IF(LEFT(J35,1)="E","EX",LEFT(J35,1))</f>
        <v>M</v>
      </c>
      <c r="S35" s="22" t="str">
        <f>_xlfn.XLOOKUP($R35,'[1]Career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35" s="22" t="str">
        <f>J35</f>
        <v>M1</v>
      </c>
      <c r="U35" s="40" t="str">
        <f t="shared" si="1"/>
        <v>M1</v>
      </c>
      <c r="V35" s="22" t="str">
        <f>_xlfn.XLOOKUP(T35,'[1]Career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35" s="41" t="str">
        <f>J35&amp;"-"&amp;G35</f>
        <v>M1-10</v>
      </c>
      <c r="X35" s="42" t="str">
        <f>G35</f>
        <v>10</v>
      </c>
      <c r="Y35" s="22" t="str">
        <f>_xlfn.XLOOKUP(W35,'[1]Career Bands &amp; Levels'!A:A,'[1]Career Bands &amp; Levels'!C:C,"No Grade Differentiator")</f>
        <v xml:space="preserve">●	Accountable for the results of medium-sized routine support or production operations teams		
●	Solves problems based on practice and precedent		
●	Trains team members and provides input to employee performance evaluations		</v>
      </c>
      <c r="Z35" s="43" t="str">
        <f>IFERROR(O35&amp;" - "&amp;G35,"--")</f>
        <v>Supervisor General Engineering - 10</v>
      </c>
      <c r="AA35" s="44" t="str">
        <f>_xlfn.XLOOKUP($H35,'[1]SIG Qualifications Input'!$D:$D,'[1]SIG Qualifications Input'!$H:$H)</f>
        <v>University degree or equivalent and 5-7 years of work experience or equivalent
Experienced in application of management techniques
Experience in operationally managing a mixed-level team</v>
      </c>
    </row>
    <row r="36" spans="1:27" ht="169" thickBot="1" x14ac:dyDescent="0.2">
      <c r="A36" s="34" t="str">
        <f>_xlfn.XLOOKUP(C36,'[1]SIG Job Families &amp; Descriptions'!F:F,'[1]SIG Job Families &amp; Descriptions'!B:B)</f>
        <v>Engineering</v>
      </c>
      <c r="B36" s="34" t="str">
        <f>_xlfn.XLOOKUP(C36,'[1]SIG Job Families &amp; Descriptions'!F:F,'[1]SIG Job Families &amp; Descriptions'!D:D)</f>
        <v>General Engineering</v>
      </c>
      <c r="C36" s="34" t="s">
        <v>46</v>
      </c>
      <c r="D36" s="30" t="str">
        <f t="shared" si="0"/>
        <v>AZE</v>
      </c>
      <c r="E36" s="31" t="str">
        <f>_xlfn.XLOOKUP(C36,'[1]SIG Job Families &amp; Descriptions'!F:F,'[1]SIG Job Families &amp; Descriptions'!A:A)</f>
        <v>AZE000</v>
      </c>
      <c r="F36" s="32" t="s">
        <v>32</v>
      </c>
      <c r="G36" s="33" t="s">
        <v>36</v>
      </c>
      <c r="H36" s="34" t="str">
        <f>F36&amp;"-"&amp;G36</f>
        <v>Professional-10</v>
      </c>
      <c r="I36" s="35" t="str">
        <f>IF(ISERROR(_xlfn.XLOOKUP(H36,'[1]SIG Level Structure'!D:D,'[1]SIG Level Structure'!D:D)),"0","1")</f>
        <v>1</v>
      </c>
      <c r="J36" s="36" t="str">
        <f>_xlfn.XLOOKUP($H36,'[1]SIG Level Structure'!$D:$D,'[1]SIG Level Structure'!F:F)</f>
        <v>P2</v>
      </c>
      <c r="K36" s="37" t="str">
        <f>E36&amp;"-"&amp;J36&amp;"-"&amp;G36</f>
        <v>AZE000-P2-10</v>
      </c>
      <c r="L36" s="37" t="str">
        <f>IFERROR(D36&amp;"-"&amp;LEFT(J36,1),"--")</f>
        <v>AZE-P</v>
      </c>
      <c r="M36" s="37" t="str">
        <f>VLOOKUP(L36,'[1]Compatible JC'!$A:$A,1,FALSE)</f>
        <v>AZE-P</v>
      </c>
      <c r="N36" s="37" t="str">
        <f>IFERROR(_xlfn.XLOOKUP(H36,'[1]SIG Level Structure'!D:D,'[1]SIG Level Structure'!C:C),"--")</f>
        <v>Senior Specialist</v>
      </c>
      <c r="O36" s="38" t="str">
        <f>IFERROR(TRIM(N36&amp;" "&amp;C36),"--")</f>
        <v>Senior Specialist General Engineering</v>
      </c>
      <c r="P36" s="22" t="str">
        <f>_xlfn.XLOOKUP(E36,'[1]SIG Job Families &amp; Descriptions'!A:A,'[1]SIG Job Families &amp; Descriptions'!G:G)</f>
        <v xml:space="preserve">Performs generally engineering work in operations, production, construction or maintenance environments. Responsibilities are trypically within the engineering function as a generalist or in a combination of disciplines. </v>
      </c>
      <c r="Q36" s="39" t="str">
        <f>_xlfn.XLOOKUP(E36,'[1]2022 GI Position Descriptions'!E:E,'[1]2022 GI Position Descriptions'!G:G)</f>
        <v>Performs engineering work in operations, production, construction or maintenance environments | Responsibilities are within the Engineering Function as a generalist or in a combination of Disciplines</v>
      </c>
      <c r="R36" s="22" t="str">
        <f>IF(LEFT(J36,1)="E","EX",LEFT(J36,1))</f>
        <v>P</v>
      </c>
      <c r="S36" s="22" t="str">
        <f>_xlfn.XLOOKUP($R36,'[1]Career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6" s="22" t="str">
        <f>J36</f>
        <v>P2</v>
      </c>
      <c r="U36" s="40" t="str">
        <f t="shared" si="1"/>
        <v>P2</v>
      </c>
      <c r="V36" s="22" t="str">
        <f>_xlfn.XLOOKUP(T36,'[1]Career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36" s="41" t="str">
        <f>J36&amp;"-"&amp;G36</f>
        <v>P2-10</v>
      </c>
      <c r="X36" s="42" t="str">
        <f>G36</f>
        <v>10</v>
      </c>
      <c r="Y36" s="22" t="str">
        <f>_xlfn.XLOOKUP(W36,'[1]Career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36" s="43" t="str">
        <f>IFERROR(O36&amp;" - "&amp;G36,"--")</f>
        <v>Senior Specialist General Engineering - 10</v>
      </c>
      <c r="AA36" s="44" t="str">
        <f>_xlfn.XLOOKUP($H36,'[1]SIG Qualifications Input'!$D:$D,'[1]SIG Qualifications Input'!$H:$H)</f>
        <v>University degree or equivalent and 2-4 years of work experience or equivalent</v>
      </c>
    </row>
    <row r="37" spans="1:27" ht="169" thickBot="1" x14ac:dyDescent="0.2">
      <c r="A37" s="34" t="str">
        <f>_xlfn.XLOOKUP(C37,'[1]SIG Job Families &amp; Descriptions'!F:F,'[1]SIG Job Families &amp; Descriptions'!B:B)</f>
        <v>Engineering</v>
      </c>
      <c r="B37" s="34" t="str">
        <f>_xlfn.XLOOKUP(C37,'[1]SIG Job Families &amp; Descriptions'!F:F,'[1]SIG Job Families &amp; Descriptions'!D:D)</f>
        <v>General Engineering</v>
      </c>
      <c r="C37" s="34" t="s">
        <v>46</v>
      </c>
      <c r="D37" s="30" t="str">
        <f t="shared" si="0"/>
        <v>AZE</v>
      </c>
      <c r="E37" s="31" t="str">
        <f>_xlfn.XLOOKUP(C37,'[1]SIG Job Families &amp; Descriptions'!F:F,'[1]SIG Job Families &amp; Descriptions'!A:A)</f>
        <v>AZE000</v>
      </c>
      <c r="F37" s="32" t="s">
        <v>32</v>
      </c>
      <c r="G37" s="33" t="s">
        <v>37</v>
      </c>
      <c r="H37" s="34" t="str">
        <f>F37&amp;"-"&amp;G37</f>
        <v>Professional-09</v>
      </c>
      <c r="I37" s="35" t="str">
        <f>IF(ISERROR(_xlfn.XLOOKUP(H37,'[1]SIG Level Structure'!D:D,'[1]SIG Level Structure'!D:D)),"0","1")</f>
        <v>1</v>
      </c>
      <c r="J37" s="36" t="str">
        <f>_xlfn.XLOOKUP($H37,'[1]SIG Level Structure'!$D:$D,'[1]SIG Level Structure'!F:F)</f>
        <v>P2</v>
      </c>
      <c r="K37" s="37" t="str">
        <f>E37&amp;"-"&amp;J37&amp;"-"&amp;G37</f>
        <v>AZE000-P2-09</v>
      </c>
      <c r="L37" s="37" t="str">
        <f>IFERROR(D37&amp;"-"&amp;LEFT(J37,1),"--")</f>
        <v>AZE-P</v>
      </c>
      <c r="M37" s="37" t="str">
        <f>VLOOKUP(L37,'[1]Compatible JC'!$A:$A,1,FALSE)</f>
        <v>AZE-P</v>
      </c>
      <c r="N37" s="37" t="str">
        <f>IFERROR(_xlfn.XLOOKUP(H37,'[1]SIG Level Structure'!D:D,'[1]SIG Level Structure'!C:C),"--")</f>
        <v>Senior Specialist</v>
      </c>
      <c r="O37" s="38" t="str">
        <f>IFERROR(TRIM(N37&amp;" "&amp;C37),"--")</f>
        <v>Senior Specialist General Engineering</v>
      </c>
      <c r="P37" s="22" t="str">
        <f>_xlfn.XLOOKUP(E37,'[1]SIG Job Families &amp; Descriptions'!A:A,'[1]SIG Job Families &amp; Descriptions'!G:G)</f>
        <v xml:space="preserve">Performs generally engineering work in operations, production, construction or maintenance environments. Responsibilities are trypically within the engineering function as a generalist or in a combination of disciplines. </v>
      </c>
      <c r="Q37" s="39" t="str">
        <f>_xlfn.XLOOKUP(E37,'[1]2022 GI Position Descriptions'!E:E,'[1]2022 GI Position Descriptions'!G:G)</f>
        <v>Performs engineering work in operations, production, construction or maintenance environments | Responsibilities are within the Engineering Function as a generalist or in a combination of Disciplines</v>
      </c>
      <c r="R37" s="22" t="str">
        <f>IF(LEFT(J37,1)="E","EX",LEFT(J37,1))</f>
        <v>P</v>
      </c>
      <c r="S37" s="22" t="str">
        <f>_xlfn.XLOOKUP($R37,'[1]Career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7" s="22" t="str">
        <f>J37</f>
        <v>P2</v>
      </c>
      <c r="U37" s="40" t="str">
        <f t="shared" si="1"/>
        <v>P2</v>
      </c>
      <c r="V37" s="22" t="str">
        <f>_xlfn.XLOOKUP(T37,'[1]Career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37" s="41" t="str">
        <f>J37&amp;"-"&amp;G37</f>
        <v>P2-09</v>
      </c>
      <c r="X37" s="42" t="str">
        <f>G37</f>
        <v>09</v>
      </c>
      <c r="Y37" s="22" t="str">
        <f>_xlfn.XLOOKUP(W37,'[1]Career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37" s="43" t="str">
        <f>IFERROR(O37&amp;" - "&amp;G37,"--")</f>
        <v>Senior Specialist General Engineering - 09</v>
      </c>
      <c r="AA37" s="44" t="str">
        <f>_xlfn.XLOOKUP($H37,'[1]SIG Qualifications Input'!$D:$D,'[1]SIG Qualifications Input'!$H:$H)</f>
        <v>University degree or equivalent and 2-4 years of work experience or equivalent</v>
      </c>
    </row>
    <row r="38" spans="1:27" ht="169" thickBot="1" x14ac:dyDescent="0.2">
      <c r="A38" s="34" t="str">
        <f>_xlfn.XLOOKUP(C38,'[1]SIG Job Families &amp; Descriptions'!F:F,'[1]SIG Job Families &amp; Descriptions'!B:B)</f>
        <v>Engineering</v>
      </c>
      <c r="B38" s="34" t="str">
        <f>_xlfn.XLOOKUP(C38,'[1]SIG Job Families &amp; Descriptions'!F:F,'[1]SIG Job Families &amp; Descriptions'!D:D)</f>
        <v>General Engineering</v>
      </c>
      <c r="C38" s="34" t="s">
        <v>46</v>
      </c>
      <c r="D38" s="30" t="str">
        <f t="shared" si="0"/>
        <v>AZE</v>
      </c>
      <c r="E38" s="31" t="str">
        <f>_xlfn.XLOOKUP(C38,'[1]SIG Job Families &amp; Descriptions'!F:F,'[1]SIG Job Families &amp; Descriptions'!A:A)</f>
        <v>AZE000</v>
      </c>
      <c r="F38" s="32" t="s">
        <v>32</v>
      </c>
      <c r="G38" s="33" t="s">
        <v>43</v>
      </c>
      <c r="H38" s="34" t="str">
        <f>F38&amp;"-"&amp;G38</f>
        <v>Professional-08</v>
      </c>
      <c r="I38" s="35" t="str">
        <f>IF(ISERROR(_xlfn.XLOOKUP(H38,'[1]SIG Level Structure'!D:D,'[1]SIG Level Structure'!D:D)),"0","1")</f>
        <v>1</v>
      </c>
      <c r="J38" s="36" t="str">
        <f>_xlfn.XLOOKUP($H38,'[1]SIG Level Structure'!$D:$D,'[1]SIG Level Structure'!F:F)</f>
        <v>P1</v>
      </c>
      <c r="K38" s="37" t="str">
        <f>E38&amp;"-"&amp;J38&amp;"-"&amp;G38</f>
        <v>AZE000-P1-08</v>
      </c>
      <c r="L38" s="37" t="str">
        <f>IFERROR(D38&amp;"-"&amp;LEFT(J38,1),"--")</f>
        <v>AZE-P</v>
      </c>
      <c r="M38" s="37" t="str">
        <f>VLOOKUP(L38,'[1]Compatible JC'!$A:$A,1,FALSE)</f>
        <v>AZE-P</v>
      </c>
      <c r="N38" s="37" t="str">
        <f>IFERROR(_xlfn.XLOOKUP(H38,'[1]SIG Level Structure'!D:D,'[1]SIG Level Structure'!C:C),"--")</f>
        <v>Specialist</v>
      </c>
      <c r="O38" s="38" t="str">
        <f>IFERROR(TRIM(N38&amp;" "&amp;C38),"--")</f>
        <v>Specialist General Engineering</v>
      </c>
      <c r="P38" s="22" t="str">
        <f>_xlfn.XLOOKUP(E38,'[1]SIG Job Families &amp; Descriptions'!A:A,'[1]SIG Job Families &amp; Descriptions'!G:G)</f>
        <v xml:space="preserve">Performs generally engineering work in operations, production, construction or maintenance environments. Responsibilities are trypically within the engineering function as a generalist or in a combination of disciplines. </v>
      </c>
      <c r="Q38" s="39" t="str">
        <f>_xlfn.XLOOKUP(E38,'[1]2022 GI Position Descriptions'!E:E,'[1]2022 GI Position Descriptions'!G:G)</f>
        <v>Performs engineering work in operations, production, construction or maintenance environments | Responsibilities are within the Engineering Function as a generalist or in a combination of Disciplines</v>
      </c>
      <c r="R38" s="22" t="str">
        <f>IF(LEFT(J38,1)="E","EX",LEFT(J38,1))</f>
        <v>P</v>
      </c>
      <c r="S38" s="22" t="str">
        <f>_xlfn.XLOOKUP($R38,'[1]Career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8" s="22" t="str">
        <f>J38</f>
        <v>P1</v>
      </c>
      <c r="U38" s="40" t="str">
        <f t="shared" si="1"/>
        <v>P1</v>
      </c>
      <c r="V38" s="22" t="str">
        <f>_xlfn.XLOOKUP(T38,'[1]Career Bands &amp; Levels'!A:A,'[1]Career Bands &amp; Levels'!C:C)</f>
        <v xml:space="preserve">●	Performs routine assignments in the entry level of the Professional Career Band		
●	Typically requires a college or university degree or the equivalent work experience and has conceptual knowledge of fundamental theories, principles and practices 		
●	Has no discretion to vary from established procedures by performing structured work assignments		
●	Uses existing procedures to solve routine or standard problems		
●	Receives instruction, guidance and direction from more senior level roles		</v>
      </c>
      <c r="W38" s="41" t="str">
        <f>J38&amp;"-"&amp;G38</f>
        <v>P1-08</v>
      </c>
      <c r="X38" s="42" t="str">
        <f>G38</f>
        <v>08</v>
      </c>
      <c r="Y38" s="22" t="str">
        <f>_xlfn.XLOOKUP(W38,'[1]Career Bands &amp; Levels'!A:A,'[1]Career Bands &amp; Levels'!C:C,"No Grade Differentiator")</f>
        <v>No Grade Differentiator</v>
      </c>
      <c r="Z38" s="43" t="str">
        <f>IFERROR(O38&amp;" - "&amp;G38,"--")</f>
        <v>Specialist General Engineering - 08</v>
      </c>
      <c r="AA38" s="44" t="str">
        <f>_xlfn.XLOOKUP($H38,'[1]SIG Qualifications Input'!$D:$D,'[1]SIG Qualifications Input'!$H:$H)</f>
        <v>University degree or equivalent and 0-1 year of work experience or equivalent</v>
      </c>
    </row>
    <row r="39" spans="1:27" ht="211" thickBot="1" x14ac:dyDescent="0.2">
      <c r="A39" s="34" t="str">
        <f>_xlfn.XLOOKUP(C39,'[1]SIG Job Families &amp; Descriptions'!F:F,'[1]SIG Job Families &amp; Descriptions'!B:B)</f>
        <v>Engineering</v>
      </c>
      <c r="B39" s="34" t="str">
        <f>_xlfn.XLOOKUP(C39,'[1]SIG Job Families &amp; Descriptions'!F:F,'[1]SIG Job Families &amp; Descriptions'!D:D)</f>
        <v>Manufacturing Engineering</v>
      </c>
      <c r="C39" s="34" t="s">
        <v>47</v>
      </c>
      <c r="D39" s="30" t="str">
        <f t="shared" si="0"/>
        <v>AZE</v>
      </c>
      <c r="E39" s="31" t="str">
        <f>_xlfn.XLOOKUP(C39,'[1]SIG Job Families &amp; Descriptions'!F:F,'[1]SIG Job Families &amp; Descriptions'!A:A)</f>
        <v>AZE130</v>
      </c>
      <c r="F39" s="32" t="s">
        <v>29</v>
      </c>
      <c r="G39" s="33" t="s">
        <v>30</v>
      </c>
      <c r="H39" s="34" t="str">
        <f>F39&amp;"-"&amp;G39</f>
        <v>Management-15</v>
      </c>
      <c r="I39" s="35" t="str">
        <f>IF(ISERROR(_xlfn.XLOOKUP(H39,'[1]SIG Level Structure'!D:D,'[1]SIG Level Structure'!D:D)),"0","1")</f>
        <v>1</v>
      </c>
      <c r="J39" s="36" t="str">
        <f>_xlfn.XLOOKUP($H39,'[1]SIG Level Structure'!$D:$D,'[1]SIG Level Structure'!F:F)</f>
        <v>M3</v>
      </c>
      <c r="K39" s="37" t="str">
        <f>E39&amp;"-"&amp;J39&amp;"-"&amp;G39</f>
        <v>AZE130-M3-15</v>
      </c>
      <c r="L39" s="37" t="str">
        <f>IFERROR(D39&amp;"-"&amp;LEFT(J39,1),"--")</f>
        <v>AZE-M</v>
      </c>
      <c r="M39" s="37" t="str">
        <f>VLOOKUP(L39,'[1]Compatible JC'!$A:$A,1,FALSE)</f>
        <v>AZE-M</v>
      </c>
      <c r="N39" s="37" t="str">
        <f>IFERROR(_xlfn.XLOOKUP(H39,'[1]SIG Level Structure'!D:D,'[1]SIG Level Structure'!C:C),"--")</f>
        <v>Senior Manager</v>
      </c>
      <c r="O39" s="38" t="str">
        <f>IFERROR(TRIM(N39&amp;" "&amp;C39),"--")</f>
        <v>Senior Manager Automation</v>
      </c>
      <c r="P39" s="22" t="str">
        <f>_xlfn.XLOOKUP(E39,'[1]SIG Job Families &amp; Descriptions'!A:A,'[1]SIG Job Families &amp; Descriptions'!G:G)</f>
        <v>Performs generally engineering work in operations, production, construction or maintenance environments. Responsibilities are trypically within the engineering function as a generalist or in a combination of disciplines. Includes roles that apply their skills in manufacturing environment.</v>
      </c>
      <c r="Q39" s="39" t="str">
        <f>_xlfn.XLOOKUP(E39,'[1]2022 GI Position Descriptions'!E:E,'[1]2022 GI Position Descriptions'!G:G)</f>
        <v>Implements, tests, troubleshoots and improves electronic automation and controls systems in manufacturing/production/operations processes to increase production quality, efficiency and volume | Checks control system schematics and specifications and uses software and testing equipment to diagnose and resolve system malfunctions | Develops and defines control system applications for various machinery and equipment using technologies or platforms such as ladder logic programming for programmable logic controllers (PLCs), human machine interfaces (HMIs), data control systems (DCSs), supervisory control and data acquisition (SCADA), computerized numerical control (CNC) systems or motion control technology</v>
      </c>
      <c r="R39" s="22" t="str">
        <f>IF(LEFT(J39,1)="E","EX",LEFT(J39,1))</f>
        <v>M</v>
      </c>
      <c r="S39" s="22" t="str">
        <f>_xlfn.XLOOKUP($R39,'[1]Career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39" s="22" t="str">
        <f>J39</f>
        <v>M3</v>
      </c>
      <c r="U39" s="40" t="str">
        <f t="shared" si="1"/>
        <v>M3</v>
      </c>
      <c r="V39" s="22" t="str">
        <f>_xlfn.XLOOKUP(T39,'[1]Career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39" s="41" t="str">
        <f>J39&amp;"-"&amp;G39</f>
        <v>M3-15</v>
      </c>
      <c r="X39" s="42" t="str">
        <f>G39</f>
        <v>15</v>
      </c>
      <c r="Y39" s="22" t="str">
        <f>_xlfn.XLOOKUP(W39,'[1]Career Bands &amp; Levels'!A:A,'[1]Career Bands &amp; Levels'!C:C,"No Grade Differentiator")</f>
        <v xml:space="preserve">●	Looks beyond existing methodologies and own discipline to define and resolve complex problems
●	Develops plans and delivers results in fast-changing businesses and/or regulatory environments
●	Provides input to functional or departmental strategy		
●	Manages large, potentially diverse teams of managers and/or senior professionals		
		</v>
      </c>
      <c r="Z39" s="43" t="str">
        <f>IFERROR(O39&amp;" - "&amp;G39,"--")</f>
        <v>Senior Manager Automation - 15</v>
      </c>
      <c r="AA39" s="44" t="str">
        <f>_xlfn.XLOOKUP($H39,'[1]SIG Qualifications Input'!$D:$D,'[1]SIG Qualifications Input'!$H:$H)</f>
        <v xml:space="preserve">University degree or equivalent and 10+ years of work experience or equivalent
Profound experience in managing performance and results of diverse activities / multiple teams </v>
      </c>
    </row>
    <row r="40" spans="1:27" ht="211" thickBot="1" x14ac:dyDescent="0.2">
      <c r="A40" s="34" t="str">
        <f>_xlfn.XLOOKUP(C40,'[1]SIG Job Families &amp; Descriptions'!F:F,'[1]SIG Job Families &amp; Descriptions'!B:B)</f>
        <v>Engineering</v>
      </c>
      <c r="B40" s="34" t="str">
        <f>_xlfn.XLOOKUP(C40,'[1]SIG Job Families &amp; Descriptions'!F:F,'[1]SIG Job Families &amp; Descriptions'!D:D)</f>
        <v>Manufacturing Engineering</v>
      </c>
      <c r="C40" s="34" t="s">
        <v>47</v>
      </c>
      <c r="D40" s="30" t="str">
        <f t="shared" si="0"/>
        <v>AZE</v>
      </c>
      <c r="E40" s="31" t="str">
        <f>_xlfn.XLOOKUP(C40,'[1]SIG Job Families &amp; Descriptions'!F:F,'[1]SIG Job Families &amp; Descriptions'!A:A)</f>
        <v>AZE130</v>
      </c>
      <c r="F40" s="32" t="s">
        <v>29</v>
      </c>
      <c r="G40" s="33" t="s">
        <v>31</v>
      </c>
      <c r="H40" s="34" t="str">
        <f>F40&amp;"-"&amp;G40</f>
        <v>Management-14</v>
      </c>
      <c r="I40" s="35" t="str">
        <f>IF(ISERROR(_xlfn.XLOOKUP(H40,'[1]SIG Level Structure'!D:D,'[1]SIG Level Structure'!D:D)),"0","1")</f>
        <v>1</v>
      </c>
      <c r="J40" s="36" t="str">
        <f>_xlfn.XLOOKUP($H40,'[1]SIG Level Structure'!$D:$D,'[1]SIG Level Structure'!F:F)</f>
        <v>M3</v>
      </c>
      <c r="K40" s="37" t="str">
        <f>E40&amp;"-"&amp;J40&amp;"-"&amp;G40</f>
        <v>AZE130-M3-14</v>
      </c>
      <c r="L40" s="37" t="str">
        <f>IFERROR(D40&amp;"-"&amp;LEFT(J40,1),"--")</f>
        <v>AZE-M</v>
      </c>
      <c r="M40" s="37" t="str">
        <f>VLOOKUP(L40,'[1]Compatible JC'!$A:$A,1,FALSE)</f>
        <v>AZE-M</v>
      </c>
      <c r="N40" s="37" t="str">
        <f>IFERROR(_xlfn.XLOOKUP(H40,'[1]SIG Level Structure'!D:D,'[1]SIG Level Structure'!C:C),"--")</f>
        <v>Senior Manager</v>
      </c>
      <c r="O40" s="38" t="str">
        <f>IFERROR(TRIM(N40&amp;" "&amp;C40),"--")</f>
        <v>Senior Manager Automation</v>
      </c>
      <c r="P40" s="22" t="str">
        <f>_xlfn.XLOOKUP(E40,'[1]SIG Job Families &amp; Descriptions'!A:A,'[1]SIG Job Families &amp; Descriptions'!G:G)</f>
        <v>Performs generally engineering work in operations, production, construction or maintenance environments. Responsibilities are trypically within the engineering function as a generalist or in a combination of disciplines. Includes roles that apply their skills in manufacturing environment.</v>
      </c>
      <c r="Q40" s="39" t="str">
        <f>_xlfn.XLOOKUP(E40,'[1]2022 GI Position Descriptions'!E:E,'[1]2022 GI Position Descriptions'!G:G)</f>
        <v>Implements, tests, troubleshoots and improves electronic automation and controls systems in manufacturing/production/operations processes to increase production quality, efficiency and volume | Checks control system schematics and specifications and uses software and testing equipment to diagnose and resolve system malfunctions | Develops and defines control system applications for various machinery and equipment using technologies or platforms such as ladder logic programming for programmable logic controllers (PLCs), human machine interfaces (HMIs), data control systems (DCSs), supervisory control and data acquisition (SCADA), computerized numerical control (CNC) systems or motion control technology</v>
      </c>
      <c r="R40" s="22" t="str">
        <f>IF(LEFT(J40,1)="E","EX",LEFT(J40,1))</f>
        <v>M</v>
      </c>
      <c r="S40" s="22" t="str">
        <f>_xlfn.XLOOKUP($R40,'[1]Career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40" s="22" t="str">
        <f>J40</f>
        <v>M3</v>
      </c>
      <c r="U40" s="40" t="str">
        <f t="shared" si="1"/>
        <v>M3</v>
      </c>
      <c r="V40" s="22" t="str">
        <f>_xlfn.XLOOKUP(T40,'[1]Career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40" s="41" t="str">
        <f>J40&amp;"-"&amp;G40</f>
        <v>M3-14</v>
      </c>
      <c r="X40" s="42" t="str">
        <f>G40</f>
        <v>14</v>
      </c>
      <c r="Y40" s="22" t="str">
        <f>_xlfn.XLOOKUP(W40,'[1]Career Bands &amp; Levels'!A:A,'[1]Career Bands &amp; Levels'!C:C,"No Grade Differentiator")</f>
        <v xml:space="preserve">●	Identifies applications of functional knowledge and existing methodologies to complex problems	
●	Manages large teams of professionals and/or junior managers		
		</v>
      </c>
      <c r="Z40" s="43" t="str">
        <f>IFERROR(O40&amp;" - "&amp;G40,"--")</f>
        <v>Senior Manager Automation - 14</v>
      </c>
      <c r="AA40" s="44" t="str">
        <f>_xlfn.XLOOKUP($H40,'[1]SIG Qualifications Input'!$D:$D,'[1]SIG Qualifications Input'!$H:$H)</f>
        <v xml:space="preserve">University degree or equivalent and 10+ years of work experience or equivalent
Profound experience in managing performance and results of diverse activities / multiple teams </v>
      </c>
    </row>
    <row r="41" spans="1:27" ht="211" thickBot="1" x14ac:dyDescent="0.2">
      <c r="A41" s="34" t="str">
        <f>_xlfn.XLOOKUP(C41,'[1]SIG Job Families &amp; Descriptions'!F:F,'[1]SIG Job Families &amp; Descriptions'!B:B)</f>
        <v>Engineering</v>
      </c>
      <c r="B41" s="34" t="str">
        <f>_xlfn.XLOOKUP(C41,'[1]SIG Job Families &amp; Descriptions'!F:F,'[1]SIG Job Families &amp; Descriptions'!D:D)</f>
        <v>Manufacturing Engineering</v>
      </c>
      <c r="C41" s="34" t="s">
        <v>47</v>
      </c>
      <c r="D41" s="30" t="str">
        <f t="shared" si="0"/>
        <v>AZE</v>
      </c>
      <c r="E41" s="31" t="str">
        <f>_xlfn.XLOOKUP(C41,'[1]SIG Job Families &amp; Descriptions'!F:F,'[1]SIG Job Families &amp; Descriptions'!A:A)</f>
        <v>AZE130</v>
      </c>
      <c r="F41" s="32" t="s">
        <v>32</v>
      </c>
      <c r="G41" s="33" t="s">
        <v>34</v>
      </c>
      <c r="H41" s="34" t="str">
        <f>F41&amp;"-"&amp;G41</f>
        <v>Professional-12</v>
      </c>
      <c r="I41" s="35" t="str">
        <f>IF(ISERROR(_xlfn.XLOOKUP(H41,'[1]SIG Level Structure'!D:D,'[1]SIG Level Structure'!D:D)),"0","1")</f>
        <v>1</v>
      </c>
      <c r="J41" s="36" t="str">
        <f>_xlfn.XLOOKUP($H41,'[1]SIG Level Structure'!$D:$D,'[1]SIG Level Structure'!F:F)</f>
        <v>P3</v>
      </c>
      <c r="K41" s="37" t="str">
        <f>E41&amp;"-"&amp;J41&amp;"-"&amp;G41</f>
        <v>AZE130-P3-12</v>
      </c>
      <c r="L41" s="37" t="str">
        <f>IFERROR(D41&amp;"-"&amp;LEFT(J41,1),"--")</f>
        <v>AZE-P</v>
      </c>
      <c r="M41" s="37" t="str">
        <f>VLOOKUP(L41,'[1]Compatible JC'!$A:$A,1,FALSE)</f>
        <v>AZE-P</v>
      </c>
      <c r="N41" s="37" t="str">
        <f>IFERROR(_xlfn.XLOOKUP(H41,'[1]SIG Level Structure'!D:D,'[1]SIG Level Structure'!C:C),"--")</f>
        <v>Expert</v>
      </c>
      <c r="O41" s="38" t="str">
        <f>IFERROR(TRIM(N41&amp;" "&amp;C41),"--")</f>
        <v>Expert Automation</v>
      </c>
      <c r="P41" s="22" t="str">
        <f>_xlfn.XLOOKUP(E41,'[1]SIG Job Families &amp; Descriptions'!A:A,'[1]SIG Job Families &amp; Descriptions'!G:G)</f>
        <v>Performs generally engineering work in operations, production, construction or maintenance environments. Responsibilities are trypically within the engineering function as a generalist or in a combination of disciplines. Includes roles that apply their skills in manufacturing environment.</v>
      </c>
      <c r="Q41" s="39" t="str">
        <f>_xlfn.XLOOKUP(E41,'[1]2022 GI Position Descriptions'!E:E,'[1]2022 GI Position Descriptions'!G:G)</f>
        <v>Implements, tests, troubleshoots and improves electronic automation and controls systems in manufacturing/production/operations processes to increase production quality, efficiency and volume | Checks control system schematics and specifications and uses software and testing equipment to diagnose and resolve system malfunctions | Develops and defines control system applications for various machinery and equipment using technologies or platforms such as ladder logic programming for programmable logic controllers (PLCs), human machine interfaces (HMIs), data control systems (DCSs), supervisory control and data acquisition (SCADA), computerized numerical control (CNC) systems or motion control technology</v>
      </c>
      <c r="R41" s="22" t="str">
        <f>IF(LEFT(J41,1)="E","EX",LEFT(J41,1))</f>
        <v>P</v>
      </c>
      <c r="S41" s="22" t="str">
        <f>_xlfn.XLOOKUP($R41,'[1]Career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1" s="22" t="str">
        <f>J41</f>
        <v>P3</v>
      </c>
      <c r="U41" s="40" t="str">
        <f t="shared" si="1"/>
        <v>P3</v>
      </c>
      <c r="V41" s="22" t="str">
        <f>_xlfn.XLOOKUP(T41,'[1]Career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41" s="41" t="str">
        <f>J41&amp;"-"&amp;G41</f>
        <v>P3-12</v>
      </c>
      <c r="X41" s="42" t="str">
        <f>G41</f>
        <v>12</v>
      </c>
      <c r="Y41" s="22" t="str">
        <f>_xlfn.XLOOKUP(W41,'[1]Career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41" s="43" t="str">
        <f>IFERROR(O41&amp;" - "&amp;G41,"--")</f>
        <v>Expert Automation - 12</v>
      </c>
      <c r="AA41" s="44" t="str">
        <f>_xlfn.XLOOKUP($H41,'[1]SIG Qualifications Input'!$D:$D,'[1]SIG Qualifications Input'!$H:$H)</f>
        <v>University degree or equivalent and 4-8 years of work experience or equivalent, 
Initial experience in functionally leading (sub-) projects</v>
      </c>
    </row>
    <row r="42" spans="1:27" ht="210" customHeight="1" thickBot="1" x14ac:dyDescent="0.2">
      <c r="A42" s="34" t="str">
        <f>_xlfn.XLOOKUP(C42,'[1]SIG Job Families &amp; Descriptions'!F:F,'[1]SIG Job Families &amp; Descriptions'!B:B)</f>
        <v>Engineering</v>
      </c>
      <c r="B42" s="34" t="str">
        <f>_xlfn.XLOOKUP(C42,'[1]SIG Job Families &amp; Descriptions'!F:F,'[1]SIG Job Families &amp; Descriptions'!D:D)</f>
        <v>Manufacturing Engineering</v>
      </c>
      <c r="C42" s="34" t="s">
        <v>47</v>
      </c>
      <c r="D42" s="30" t="str">
        <f t="shared" si="0"/>
        <v>AZE</v>
      </c>
      <c r="E42" s="31" t="str">
        <f>_xlfn.XLOOKUP(C42,'[1]SIG Job Families &amp; Descriptions'!F:F,'[1]SIG Job Families &amp; Descriptions'!A:A)</f>
        <v>AZE130</v>
      </c>
      <c r="F42" s="32" t="s">
        <v>32</v>
      </c>
      <c r="G42" s="33" t="s">
        <v>35</v>
      </c>
      <c r="H42" s="34" t="str">
        <f>F42&amp;"-"&amp;G42</f>
        <v>Professional-11</v>
      </c>
      <c r="I42" s="35" t="str">
        <f>IF(ISERROR(_xlfn.XLOOKUP(H42,'[1]SIG Level Structure'!D:D,'[1]SIG Level Structure'!D:D)),"0","1")</f>
        <v>1</v>
      </c>
      <c r="J42" s="36" t="str">
        <f>_xlfn.XLOOKUP($H42,'[1]SIG Level Structure'!$D:$D,'[1]SIG Level Structure'!F:F)</f>
        <v>P3</v>
      </c>
      <c r="K42" s="37" t="str">
        <f>E42&amp;"-"&amp;J42&amp;"-"&amp;G42</f>
        <v>AZE130-P3-11</v>
      </c>
      <c r="L42" s="37" t="str">
        <f>IFERROR(D42&amp;"-"&amp;LEFT(J42,1),"--")</f>
        <v>AZE-P</v>
      </c>
      <c r="M42" s="37" t="str">
        <f>VLOOKUP(L42,'[1]Compatible JC'!$A:$A,1,FALSE)</f>
        <v>AZE-P</v>
      </c>
      <c r="N42" s="37" t="str">
        <f>IFERROR(_xlfn.XLOOKUP(H42,'[1]SIG Level Structure'!D:D,'[1]SIG Level Structure'!C:C),"--")</f>
        <v>Expert</v>
      </c>
      <c r="O42" s="38" t="str">
        <f>IFERROR(TRIM(N42&amp;" "&amp;C42),"--")</f>
        <v>Expert Automation</v>
      </c>
      <c r="P42" s="22" t="str">
        <f>_xlfn.XLOOKUP(E42,'[1]SIG Job Families &amp; Descriptions'!A:A,'[1]SIG Job Families &amp; Descriptions'!G:G)</f>
        <v>Performs generally engineering work in operations, production, construction or maintenance environments. Responsibilities are trypically within the engineering function as a generalist or in a combination of disciplines. Includes roles that apply their skills in manufacturing environment.</v>
      </c>
      <c r="Q42" s="39" t="str">
        <f>_xlfn.XLOOKUP(E42,'[1]2022 GI Position Descriptions'!E:E,'[1]2022 GI Position Descriptions'!G:G)</f>
        <v>Implements, tests, troubleshoots and improves electronic automation and controls systems in manufacturing/production/operations processes to increase production quality, efficiency and volume | Checks control system schematics and specifications and uses software and testing equipment to diagnose and resolve system malfunctions | Develops and defines control system applications for various machinery and equipment using technologies or platforms such as ladder logic programming for programmable logic controllers (PLCs), human machine interfaces (HMIs), data control systems (DCSs), supervisory control and data acquisition (SCADA), computerized numerical control (CNC) systems or motion control technology</v>
      </c>
      <c r="R42" s="22" t="str">
        <f>IF(LEFT(J42,1)="E","EX",LEFT(J42,1))</f>
        <v>P</v>
      </c>
      <c r="S42" s="22" t="str">
        <f>_xlfn.XLOOKUP($R42,'[1]Career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2" s="22" t="str">
        <f>J42</f>
        <v>P3</v>
      </c>
      <c r="U42" s="40" t="str">
        <f t="shared" si="1"/>
        <v>P3</v>
      </c>
      <c r="V42" s="22" t="str">
        <f>_xlfn.XLOOKUP(T42,'[1]Career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42" s="41" t="str">
        <f>J42&amp;"-"&amp;G42</f>
        <v>P3-11</v>
      </c>
      <c r="X42" s="42" t="str">
        <f>G42</f>
        <v>11</v>
      </c>
      <c r="Y42" s="22" t="str">
        <f>_xlfn.XLOOKUP(W42,'[1]Career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42" s="43" t="str">
        <f>IFERROR(O42&amp;" - "&amp;G42,"--")</f>
        <v>Expert Automation - 11</v>
      </c>
      <c r="AA42" s="44" t="str">
        <f>_xlfn.XLOOKUP($H42,'[1]SIG Qualifications Input'!$D:$D,'[1]SIG Qualifications Input'!$H:$H)</f>
        <v>University degree or equivalent and 4-8 years of work experience or equivalent, 
Initial experience in functionally leading (sub-) projects</v>
      </c>
    </row>
    <row r="43" spans="1:27" ht="204" customHeight="1" thickBot="1" x14ac:dyDescent="0.2">
      <c r="A43" s="34" t="str">
        <f>_xlfn.XLOOKUP(C43,'[1]SIG Job Families &amp; Descriptions'!F:F,'[1]SIG Job Families &amp; Descriptions'!B:B)</f>
        <v>Engineering</v>
      </c>
      <c r="B43" s="34" t="str">
        <f>_xlfn.XLOOKUP(C43,'[1]SIG Job Families &amp; Descriptions'!F:F,'[1]SIG Job Families &amp; Descriptions'!D:D)</f>
        <v>Manufacturing Engineering</v>
      </c>
      <c r="C43" s="34" t="s">
        <v>47</v>
      </c>
      <c r="D43" s="30" t="str">
        <f t="shared" si="0"/>
        <v>AZE</v>
      </c>
      <c r="E43" s="31" t="str">
        <f>_xlfn.XLOOKUP(C43,'[1]SIG Job Families &amp; Descriptions'!F:F,'[1]SIG Job Families &amp; Descriptions'!A:A)</f>
        <v>AZE130</v>
      </c>
      <c r="F43" s="32" t="s">
        <v>32</v>
      </c>
      <c r="G43" s="33" t="s">
        <v>36</v>
      </c>
      <c r="H43" s="34" t="str">
        <f>F43&amp;"-"&amp;G43</f>
        <v>Professional-10</v>
      </c>
      <c r="I43" s="35" t="str">
        <f>IF(ISERROR(_xlfn.XLOOKUP(H43,'[1]SIG Level Structure'!D:D,'[1]SIG Level Structure'!D:D)),"0","1")</f>
        <v>1</v>
      </c>
      <c r="J43" s="36" t="str">
        <f>_xlfn.XLOOKUP($H43,'[1]SIG Level Structure'!$D:$D,'[1]SIG Level Structure'!F:F)</f>
        <v>P2</v>
      </c>
      <c r="K43" s="37" t="str">
        <f>E43&amp;"-"&amp;J43&amp;"-"&amp;G43</f>
        <v>AZE130-P2-10</v>
      </c>
      <c r="L43" s="37" t="str">
        <f>IFERROR(D43&amp;"-"&amp;LEFT(J43,1),"--")</f>
        <v>AZE-P</v>
      </c>
      <c r="M43" s="37" t="str">
        <f>VLOOKUP(L43,'[1]Compatible JC'!$A:$A,1,FALSE)</f>
        <v>AZE-P</v>
      </c>
      <c r="N43" s="37" t="str">
        <f>IFERROR(_xlfn.XLOOKUP(H43,'[1]SIG Level Structure'!D:D,'[1]SIG Level Structure'!C:C),"--")</f>
        <v>Senior Specialist</v>
      </c>
      <c r="O43" s="38" t="str">
        <f>IFERROR(TRIM(N43&amp;" "&amp;C43),"--")</f>
        <v>Senior Specialist Automation</v>
      </c>
      <c r="P43" s="22" t="str">
        <f>_xlfn.XLOOKUP(E43,'[1]SIG Job Families &amp; Descriptions'!A:A,'[1]SIG Job Families &amp; Descriptions'!G:G)</f>
        <v>Performs generally engineering work in operations, production, construction or maintenance environments. Responsibilities are trypically within the engineering function as a generalist or in a combination of disciplines. Includes roles that apply their skills in manufacturing environment.</v>
      </c>
      <c r="Q43" s="39" t="str">
        <f>_xlfn.XLOOKUP(E43,'[1]2022 GI Position Descriptions'!E:E,'[1]2022 GI Position Descriptions'!G:G)</f>
        <v>Implements, tests, troubleshoots and improves electronic automation and controls systems in manufacturing/production/operations processes to increase production quality, efficiency and volume | Checks control system schematics and specifications and uses software and testing equipment to diagnose and resolve system malfunctions | Develops and defines control system applications for various machinery and equipment using technologies or platforms such as ladder logic programming for programmable logic controllers (PLCs), human machine interfaces (HMIs), data control systems (DCSs), supervisory control and data acquisition (SCADA), computerized numerical control (CNC) systems or motion control technology</v>
      </c>
      <c r="R43" s="22" t="str">
        <f>IF(LEFT(J43,1)="E","EX",LEFT(J43,1))</f>
        <v>P</v>
      </c>
      <c r="S43" s="22" t="str">
        <f>_xlfn.XLOOKUP($R43,'[1]Career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3" s="22" t="str">
        <f>J43</f>
        <v>P2</v>
      </c>
      <c r="U43" s="40" t="str">
        <f t="shared" si="1"/>
        <v>P2</v>
      </c>
      <c r="V43" s="22" t="str">
        <f>_xlfn.XLOOKUP(T43,'[1]Career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43" s="41" t="str">
        <f>J43&amp;"-"&amp;G43</f>
        <v>P2-10</v>
      </c>
      <c r="X43" s="42" t="str">
        <f>G43</f>
        <v>10</v>
      </c>
      <c r="Y43" s="22" t="str">
        <f>_xlfn.XLOOKUP(W43,'[1]Career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43" s="43" t="str">
        <f>IFERROR(O43&amp;" - "&amp;G43,"--")</f>
        <v>Senior Specialist Automation - 10</v>
      </c>
      <c r="AA43" s="44" t="str">
        <f>_xlfn.XLOOKUP($H43,'[1]SIG Qualifications Input'!$D:$D,'[1]SIG Qualifications Input'!$H:$H)</f>
        <v>University degree or equivalent and 2-4 years of work experience or equivalent</v>
      </c>
    </row>
    <row r="44" spans="1:27" ht="211" thickBot="1" x14ac:dyDescent="0.2">
      <c r="A44" s="34" t="str">
        <f>_xlfn.XLOOKUP(C44,'[1]SIG Job Families &amp; Descriptions'!F:F,'[1]SIG Job Families &amp; Descriptions'!B:B)</f>
        <v>Engineering</v>
      </c>
      <c r="B44" s="34" t="str">
        <f>_xlfn.XLOOKUP(C44,'[1]SIG Job Families &amp; Descriptions'!F:F,'[1]SIG Job Families &amp; Descriptions'!D:D)</f>
        <v>Manufacturing Engineering</v>
      </c>
      <c r="C44" s="34" t="s">
        <v>47</v>
      </c>
      <c r="D44" s="30" t="str">
        <f t="shared" si="0"/>
        <v>AZE</v>
      </c>
      <c r="E44" s="31" t="str">
        <f>_xlfn.XLOOKUP(C44,'[1]SIG Job Families &amp; Descriptions'!F:F,'[1]SIG Job Families &amp; Descriptions'!A:A)</f>
        <v>AZE130</v>
      </c>
      <c r="F44" s="32" t="s">
        <v>32</v>
      </c>
      <c r="G44" s="33" t="s">
        <v>37</v>
      </c>
      <c r="H44" s="34" t="str">
        <f>F44&amp;"-"&amp;G44</f>
        <v>Professional-09</v>
      </c>
      <c r="I44" s="35" t="str">
        <f>IF(ISERROR(_xlfn.XLOOKUP(H44,'[1]SIG Level Structure'!D:D,'[1]SIG Level Structure'!D:D)),"0","1")</f>
        <v>1</v>
      </c>
      <c r="J44" s="36" t="str">
        <f>_xlfn.XLOOKUP($H44,'[1]SIG Level Structure'!$D:$D,'[1]SIG Level Structure'!F:F)</f>
        <v>P2</v>
      </c>
      <c r="K44" s="37" t="str">
        <f>E44&amp;"-"&amp;J44&amp;"-"&amp;G44</f>
        <v>AZE130-P2-09</v>
      </c>
      <c r="L44" s="37" t="str">
        <f>IFERROR(D44&amp;"-"&amp;LEFT(J44,1),"--")</f>
        <v>AZE-P</v>
      </c>
      <c r="M44" s="37" t="str">
        <f>VLOOKUP(L44,'[1]Compatible JC'!$A:$A,1,FALSE)</f>
        <v>AZE-P</v>
      </c>
      <c r="N44" s="37" t="str">
        <f>IFERROR(_xlfn.XLOOKUP(H44,'[1]SIG Level Structure'!D:D,'[1]SIG Level Structure'!C:C),"--")</f>
        <v>Senior Specialist</v>
      </c>
      <c r="O44" s="38" t="str">
        <f>IFERROR(TRIM(N44&amp;" "&amp;C44),"--")</f>
        <v>Senior Specialist Automation</v>
      </c>
      <c r="P44" s="22" t="str">
        <f>_xlfn.XLOOKUP(E44,'[1]SIG Job Families &amp; Descriptions'!A:A,'[1]SIG Job Families &amp; Descriptions'!G:G)</f>
        <v>Performs generally engineering work in operations, production, construction or maintenance environments. Responsibilities are trypically within the engineering function as a generalist or in a combination of disciplines. Includes roles that apply their skills in manufacturing environment.</v>
      </c>
      <c r="Q44" s="39" t="str">
        <f>_xlfn.XLOOKUP(E44,'[1]2022 GI Position Descriptions'!E:E,'[1]2022 GI Position Descriptions'!G:G)</f>
        <v>Implements, tests, troubleshoots and improves electronic automation and controls systems in manufacturing/production/operations processes to increase production quality, efficiency and volume | Checks control system schematics and specifications and uses software and testing equipment to diagnose and resolve system malfunctions | Develops and defines control system applications for various machinery and equipment using technologies or platforms such as ladder logic programming for programmable logic controllers (PLCs), human machine interfaces (HMIs), data control systems (DCSs), supervisory control and data acquisition (SCADA), computerized numerical control (CNC) systems or motion control technology</v>
      </c>
      <c r="R44" s="22" t="str">
        <f>IF(LEFT(J44,1)="E","EX",LEFT(J44,1))</f>
        <v>P</v>
      </c>
      <c r="S44" s="22" t="str">
        <f>_xlfn.XLOOKUP($R44,'[1]Career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4" s="22" t="str">
        <f>J44</f>
        <v>P2</v>
      </c>
      <c r="U44" s="40" t="str">
        <f t="shared" si="1"/>
        <v>P2</v>
      </c>
      <c r="V44" s="22" t="str">
        <f>_xlfn.XLOOKUP(T44,'[1]Career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44" s="41" t="str">
        <f>J44&amp;"-"&amp;G44</f>
        <v>P2-09</v>
      </c>
      <c r="X44" s="42" t="str">
        <f>G44</f>
        <v>09</v>
      </c>
      <c r="Y44" s="22" t="str">
        <f>_xlfn.XLOOKUP(W44,'[1]Career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44" s="43" t="str">
        <f>IFERROR(O44&amp;" - "&amp;G44,"--")</f>
        <v>Senior Specialist Automation - 09</v>
      </c>
      <c r="AA44" s="44" t="str">
        <f>_xlfn.XLOOKUP($H44,'[1]SIG Qualifications Input'!$D:$D,'[1]SIG Qualifications Input'!$H:$H)</f>
        <v>University degree or equivalent and 2-4 years of work experience or equivalent</v>
      </c>
    </row>
    <row r="45" spans="1:27" ht="197" thickBot="1" x14ac:dyDescent="0.2">
      <c r="A45" s="34" t="str">
        <f>_xlfn.XLOOKUP(C45,'[1]SIG Job Families &amp; Descriptions'!F:F,'[1]SIG Job Families &amp; Descriptions'!B:B)</f>
        <v>Engineering</v>
      </c>
      <c r="B45" s="34" t="str">
        <f>_xlfn.XLOOKUP(C45,'[1]SIG Job Families &amp; Descriptions'!F:F,'[1]SIG Job Families &amp; Descriptions'!D:D)</f>
        <v>Manufacturing Engineering</v>
      </c>
      <c r="C45" s="34" t="s">
        <v>48</v>
      </c>
      <c r="D45" s="30" t="str">
        <f t="shared" si="0"/>
        <v>AZE</v>
      </c>
      <c r="E45" s="31" t="str">
        <f>_xlfn.XLOOKUP(C45,'[1]SIG Job Families &amp; Descriptions'!F:F,'[1]SIG Job Families &amp; Descriptions'!A:A)</f>
        <v>AZE150</v>
      </c>
      <c r="F45" s="32" t="s">
        <v>29</v>
      </c>
      <c r="G45" s="33" t="s">
        <v>33</v>
      </c>
      <c r="H45" s="34" t="str">
        <f>F45&amp;"-"&amp;G45</f>
        <v>Management-13</v>
      </c>
      <c r="I45" s="35" t="str">
        <f>IF(ISERROR(_xlfn.XLOOKUP(H45,'[1]SIG Level Structure'!D:D,'[1]SIG Level Structure'!D:D)),"0","1")</f>
        <v>1</v>
      </c>
      <c r="J45" s="36" t="str">
        <f>_xlfn.XLOOKUP($H45,'[1]SIG Level Structure'!$D:$D,'[1]SIG Level Structure'!F:F)</f>
        <v>M2</v>
      </c>
      <c r="K45" s="37" t="str">
        <f>E45&amp;"-"&amp;J45&amp;"-"&amp;G45</f>
        <v>AZE150-M2-13</v>
      </c>
      <c r="L45" s="37" t="str">
        <f>IFERROR(D45&amp;"-"&amp;LEFT(J45,1),"--")</f>
        <v>AZE-M</v>
      </c>
      <c r="M45" s="37" t="str">
        <f>VLOOKUP(L45,'[1]Compatible JC'!$A:$A,1,FALSE)</f>
        <v>AZE-M</v>
      </c>
      <c r="N45" s="37" t="str">
        <f>IFERROR(_xlfn.XLOOKUP(H45,'[1]SIG Level Structure'!D:D,'[1]SIG Level Structure'!C:C),"--")</f>
        <v>Manager</v>
      </c>
      <c r="O45" s="38" t="str">
        <f>IFERROR(TRIM(N45&amp;" "&amp;C45),"--")</f>
        <v>Manager Packaging Engineering</v>
      </c>
      <c r="P45" s="22" t="str">
        <f>_xlfn.XLOOKUP(E45,'[1]SIG Job Families &amp; Descriptions'!A:A,'[1]SIG Job Families &amp; Descriptions'!G:G)</f>
        <v>Performs generally engineering work in operations, production, construction or maintenance environments. Responsibilities are trypically within the engineering function as a generalist or in a combination of disciplines. Includes roles that apply their skills in manufacturing environment.</v>
      </c>
      <c r="Q45" s="39" t="str">
        <f>_xlfn.XLOOKUP(E45,'[1]2022 GI Position Descriptions'!E:E,'[1]2022 GI Position Descriptions'!G:G)</f>
        <v>Develops and designs packaging equipment and materials for safe, convenient and attractive transport of goods under a variety of conditions | Analyzes engineering drawings and specifications to determine the required type of packaging materials and to maximize convenience, utility and function based on the product's physical characteristics, safety and special-handling requirements | Evaluates packaging and transporting methods and procedures to ensure compliance with safety and quality standards | Evaluates and recommends efficient packing procedures, innovations in packaging materials, and utilization of sealing and fastening devices</v>
      </c>
      <c r="R45" s="22" t="str">
        <f>IF(LEFT(J45,1)="E","EX",LEFT(J45,1))</f>
        <v>M</v>
      </c>
      <c r="S45" s="22" t="str">
        <f>_xlfn.XLOOKUP($R45,'[1]Career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45" s="22" t="str">
        <f>J45</f>
        <v>M2</v>
      </c>
      <c r="U45" s="40" t="str">
        <f t="shared" si="1"/>
        <v>M2</v>
      </c>
      <c r="V45" s="22" t="str">
        <f>_xlfn.XLOOKUP(T45,'[1]Career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45" s="41" t="str">
        <f>J45&amp;"-"&amp;G45</f>
        <v>M2-13</v>
      </c>
      <c r="X45" s="42" t="str">
        <f>G45</f>
        <v>13</v>
      </c>
      <c r="Y45" s="22" t="str">
        <f>_xlfn.XLOOKUP(W45,'[1]Career Bands &amp; Levels'!A:A,'[1]Career Bands &amp; Levels'!C:C,"No Grade Differentiator")</f>
        <v>●	Accountable for the budget, performance and results of a medium-sized team or multiple small teams of employees		
●	Exercises full management authority, including performance reviews, pay decisions, recruitment, discipline, termination and other personnel actions		
●	Addresses issues with impact beyond own team based on knowledge of related disciplines</v>
      </c>
      <c r="Z45" s="43" t="str">
        <f>IFERROR(O45&amp;" - "&amp;G45,"--")</f>
        <v>Manager Packaging Engineering - 13</v>
      </c>
      <c r="AA45" s="44" t="str">
        <f>_xlfn.XLOOKUP($H45,'[1]SIG Qualifications Input'!$D:$D,'[1]SIG Qualifications Input'!$H:$H)</f>
        <v>University degree or equivalent and 7-10 years of work experience or equivalent
Experience in managing mixed-level team(s) of professionals and subordinate managers</v>
      </c>
    </row>
    <row r="46" spans="1:27" ht="197" thickBot="1" x14ac:dyDescent="0.2">
      <c r="A46" s="34" t="str">
        <f>_xlfn.XLOOKUP(C46,'[1]SIG Job Families &amp; Descriptions'!F:F,'[1]SIG Job Families &amp; Descriptions'!B:B)</f>
        <v>Engineering</v>
      </c>
      <c r="B46" s="34" t="str">
        <f>_xlfn.XLOOKUP(C46,'[1]SIG Job Families &amp; Descriptions'!F:F,'[1]SIG Job Families &amp; Descriptions'!D:D)</f>
        <v>Manufacturing Engineering</v>
      </c>
      <c r="C46" s="34" t="s">
        <v>48</v>
      </c>
      <c r="D46" s="30" t="str">
        <f t="shared" si="0"/>
        <v>AZE</v>
      </c>
      <c r="E46" s="31" t="str">
        <f>_xlfn.XLOOKUP(C46,'[1]SIG Job Families &amp; Descriptions'!F:F,'[1]SIG Job Families &amp; Descriptions'!A:A)</f>
        <v>AZE150</v>
      </c>
      <c r="F46" s="32" t="s">
        <v>29</v>
      </c>
      <c r="G46" s="33" t="s">
        <v>34</v>
      </c>
      <c r="H46" s="34" t="str">
        <f>F46&amp;"-"&amp;G46</f>
        <v>Management-12</v>
      </c>
      <c r="I46" s="35" t="str">
        <f>IF(ISERROR(_xlfn.XLOOKUP(H46,'[1]SIG Level Structure'!D:D,'[1]SIG Level Structure'!D:D)),"0","1")</f>
        <v>1</v>
      </c>
      <c r="J46" s="36" t="str">
        <f>_xlfn.XLOOKUP($H46,'[1]SIG Level Structure'!$D:$D,'[1]SIG Level Structure'!F:F)</f>
        <v>M2</v>
      </c>
      <c r="K46" s="37" t="str">
        <f>E46&amp;"-"&amp;J46&amp;"-"&amp;G46</f>
        <v>AZE150-M2-12</v>
      </c>
      <c r="L46" s="37" t="str">
        <f>IFERROR(D46&amp;"-"&amp;LEFT(J46,1),"--")</f>
        <v>AZE-M</v>
      </c>
      <c r="M46" s="37" t="str">
        <f>VLOOKUP(L46,'[1]Compatible JC'!$A:$A,1,FALSE)</f>
        <v>AZE-M</v>
      </c>
      <c r="N46" s="37" t="str">
        <f>IFERROR(_xlfn.XLOOKUP(H46,'[1]SIG Level Structure'!D:D,'[1]SIG Level Structure'!C:C),"--")</f>
        <v>Manager</v>
      </c>
      <c r="O46" s="38" t="str">
        <f>IFERROR(TRIM(N46&amp;" "&amp;C46),"--")</f>
        <v>Manager Packaging Engineering</v>
      </c>
      <c r="P46" s="22" t="str">
        <f>_xlfn.XLOOKUP(E46,'[1]SIG Job Families &amp; Descriptions'!A:A,'[1]SIG Job Families &amp; Descriptions'!G:G)</f>
        <v>Performs generally engineering work in operations, production, construction or maintenance environments. Responsibilities are trypically within the engineering function as a generalist or in a combination of disciplines. Includes roles that apply their skills in manufacturing environment.</v>
      </c>
      <c r="Q46" s="39" t="str">
        <f>_xlfn.XLOOKUP(E46,'[1]2022 GI Position Descriptions'!E:E,'[1]2022 GI Position Descriptions'!G:G)</f>
        <v>Develops and designs packaging equipment and materials for safe, convenient and attractive transport of goods under a variety of conditions | Analyzes engineering drawings and specifications to determine the required type of packaging materials and to maximize convenience, utility and function based on the product's physical characteristics, safety and special-handling requirements | Evaluates packaging and transporting methods and procedures to ensure compliance with safety and quality standards | Evaluates and recommends efficient packing procedures, innovations in packaging materials, and utilization of sealing and fastening devices</v>
      </c>
      <c r="R46" s="22" t="str">
        <f>IF(LEFT(J46,1)="E","EX",LEFT(J46,1))</f>
        <v>M</v>
      </c>
      <c r="S46" s="22" t="str">
        <f>_xlfn.XLOOKUP($R46,'[1]Career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46" s="22" t="str">
        <f>J46</f>
        <v>M2</v>
      </c>
      <c r="U46" s="40" t="str">
        <f t="shared" si="1"/>
        <v>M2</v>
      </c>
      <c r="V46" s="22" t="str">
        <f>_xlfn.XLOOKUP(T46,'[1]Career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46" s="41" t="str">
        <f>J46&amp;"-"&amp;G46</f>
        <v>M2-12</v>
      </c>
      <c r="X46" s="42" t="str">
        <f>G46</f>
        <v>12</v>
      </c>
      <c r="Y46" s="22" t="str">
        <f>_xlfn.XLOOKUP(W46,'[1]Career Bands &amp; Levels'!A:A,'[1]Career Bands &amp; Levels'!C:C,"No Grade Differentiator")</f>
        <v xml:space="preserve">●	Accountable for results of a small team of employees		
●	Exercises limited management authority; sets employee performance objectives, conducts performance reviews and recommends pay actions		
●	Defines team operating standards and ensures essential procedures are followed based on knowledge of own discipline		</v>
      </c>
      <c r="Z46" s="43" t="str">
        <f>IFERROR(O46&amp;" - "&amp;G46,"--")</f>
        <v>Manager Packaging Engineering - 12</v>
      </c>
      <c r="AA46" s="44" t="str">
        <f>_xlfn.XLOOKUP($H46,'[1]SIG Qualifications Input'!$D:$D,'[1]SIG Qualifications Input'!$H:$H)</f>
        <v>University degree or equivalent and 7-10 years of work experience or equivalent
Experience in managing mixed-level team(s) of professionals and subordinate managers</v>
      </c>
    </row>
    <row r="47" spans="1:27" ht="197" thickBot="1" x14ac:dyDescent="0.2">
      <c r="A47" s="34" t="str">
        <f>_xlfn.XLOOKUP(C47,'[1]SIG Job Families &amp; Descriptions'!F:F,'[1]SIG Job Families &amp; Descriptions'!B:B)</f>
        <v>Engineering</v>
      </c>
      <c r="B47" s="34" t="str">
        <f>_xlfn.XLOOKUP(C47,'[1]SIG Job Families &amp; Descriptions'!F:F,'[1]SIG Job Families &amp; Descriptions'!D:D)</f>
        <v>Manufacturing Engineering</v>
      </c>
      <c r="C47" s="34" t="s">
        <v>48</v>
      </c>
      <c r="D47" s="30" t="str">
        <f t="shared" si="0"/>
        <v>AZE</v>
      </c>
      <c r="E47" s="31" t="str">
        <f>_xlfn.XLOOKUP(C47,'[1]SIG Job Families &amp; Descriptions'!F:F,'[1]SIG Job Families &amp; Descriptions'!A:A)</f>
        <v>AZE150</v>
      </c>
      <c r="F47" s="32" t="s">
        <v>32</v>
      </c>
      <c r="G47" s="33" t="s">
        <v>34</v>
      </c>
      <c r="H47" s="34" t="str">
        <f>F47&amp;"-"&amp;G47</f>
        <v>Professional-12</v>
      </c>
      <c r="I47" s="35" t="str">
        <f>IF(ISERROR(_xlfn.XLOOKUP(H47,'[1]SIG Level Structure'!D:D,'[1]SIG Level Structure'!D:D)),"0","1")</f>
        <v>1</v>
      </c>
      <c r="J47" s="36" t="str">
        <f>_xlfn.XLOOKUP($H47,'[1]SIG Level Structure'!$D:$D,'[1]SIG Level Structure'!F:F)</f>
        <v>P3</v>
      </c>
      <c r="K47" s="37" t="str">
        <f>E47&amp;"-"&amp;J47&amp;"-"&amp;G47</f>
        <v>AZE150-P3-12</v>
      </c>
      <c r="L47" s="37" t="str">
        <f>IFERROR(D47&amp;"-"&amp;LEFT(J47,1),"--")</f>
        <v>AZE-P</v>
      </c>
      <c r="M47" s="37" t="str">
        <f>VLOOKUP(L47,'[1]Compatible JC'!$A:$A,1,FALSE)</f>
        <v>AZE-P</v>
      </c>
      <c r="N47" s="37" t="str">
        <f>IFERROR(_xlfn.XLOOKUP(H47,'[1]SIG Level Structure'!D:D,'[1]SIG Level Structure'!C:C),"--")</f>
        <v>Expert</v>
      </c>
      <c r="O47" s="38" t="str">
        <f>IFERROR(TRIM(N47&amp;" "&amp;C47),"--")</f>
        <v>Expert Packaging Engineering</v>
      </c>
      <c r="P47" s="22" t="str">
        <f>_xlfn.XLOOKUP(E47,'[1]SIG Job Families &amp; Descriptions'!A:A,'[1]SIG Job Families &amp; Descriptions'!G:G)</f>
        <v>Performs generally engineering work in operations, production, construction or maintenance environments. Responsibilities are trypically within the engineering function as a generalist or in a combination of disciplines. Includes roles that apply their skills in manufacturing environment.</v>
      </c>
      <c r="Q47" s="39" t="str">
        <f>_xlfn.XLOOKUP(E47,'[1]2022 GI Position Descriptions'!E:E,'[1]2022 GI Position Descriptions'!G:G)</f>
        <v>Develops and designs packaging equipment and materials for safe, convenient and attractive transport of goods under a variety of conditions | Analyzes engineering drawings and specifications to determine the required type of packaging materials and to maximize convenience, utility and function based on the product's physical characteristics, safety and special-handling requirements | Evaluates packaging and transporting methods and procedures to ensure compliance with safety and quality standards | Evaluates and recommends efficient packing procedures, innovations in packaging materials, and utilization of sealing and fastening devices</v>
      </c>
      <c r="R47" s="22" t="str">
        <f>IF(LEFT(J47,1)="E","EX",LEFT(J47,1))</f>
        <v>P</v>
      </c>
      <c r="S47" s="22" t="str">
        <f>_xlfn.XLOOKUP($R47,'[1]Career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7" s="22" t="str">
        <f>J47</f>
        <v>P3</v>
      </c>
      <c r="U47" s="40" t="str">
        <f t="shared" si="1"/>
        <v>P3</v>
      </c>
      <c r="V47" s="22" t="str">
        <f>_xlfn.XLOOKUP(T47,'[1]Career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47" s="41" t="str">
        <f>J47&amp;"-"&amp;G47</f>
        <v>P3-12</v>
      </c>
      <c r="X47" s="42" t="str">
        <f>G47</f>
        <v>12</v>
      </c>
      <c r="Y47" s="22" t="str">
        <f>_xlfn.XLOOKUP(W47,'[1]Career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47" s="43" t="str">
        <f>IFERROR(O47&amp;" - "&amp;G47,"--")</f>
        <v>Expert Packaging Engineering - 12</v>
      </c>
      <c r="AA47" s="44" t="str">
        <f>_xlfn.XLOOKUP($H47,'[1]SIG Qualifications Input'!$D:$D,'[1]SIG Qualifications Input'!$H:$H)</f>
        <v>University degree or equivalent and 4-8 years of work experience or equivalent, 
Initial experience in functionally leading (sub-) projects</v>
      </c>
    </row>
    <row r="48" spans="1:27" ht="183" customHeight="1" thickBot="1" x14ac:dyDescent="0.2">
      <c r="A48" s="34" t="str">
        <f>_xlfn.XLOOKUP(C48,'[1]SIG Job Families &amp; Descriptions'!F:F,'[1]SIG Job Families &amp; Descriptions'!B:B)</f>
        <v>Engineering</v>
      </c>
      <c r="B48" s="34" t="str">
        <f>_xlfn.XLOOKUP(C48,'[1]SIG Job Families &amp; Descriptions'!F:F,'[1]SIG Job Families &amp; Descriptions'!D:D)</f>
        <v>Manufacturing Engineering</v>
      </c>
      <c r="C48" s="34" t="s">
        <v>48</v>
      </c>
      <c r="D48" s="30" t="str">
        <f t="shared" si="0"/>
        <v>AZE</v>
      </c>
      <c r="E48" s="31" t="str">
        <f>_xlfn.XLOOKUP(C48,'[1]SIG Job Families &amp; Descriptions'!F:F,'[1]SIG Job Families &amp; Descriptions'!A:A)</f>
        <v>AZE150</v>
      </c>
      <c r="F48" s="32" t="s">
        <v>32</v>
      </c>
      <c r="G48" s="33" t="s">
        <v>35</v>
      </c>
      <c r="H48" s="34" t="str">
        <f>F48&amp;"-"&amp;G48</f>
        <v>Professional-11</v>
      </c>
      <c r="I48" s="35" t="str">
        <f>IF(ISERROR(_xlfn.XLOOKUP(H48,'[1]SIG Level Structure'!D:D,'[1]SIG Level Structure'!D:D)),"0","1")</f>
        <v>1</v>
      </c>
      <c r="J48" s="36" t="str">
        <f>_xlfn.XLOOKUP($H48,'[1]SIG Level Structure'!$D:$D,'[1]SIG Level Structure'!F:F)</f>
        <v>P3</v>
      </c>
      <c r="K48" s="37" t="str">
        <f>E48&amp;"-"&amp;J48&amp;"-"&amp;G48</f>
        <v>AZE150-P3-11</v>
      </c>
      <c r="L48" s="37" t="str">
        <f>IFERROR(D48&amp;"-"&amp;LEFT(J48,1),"--")</f>
        <v>AZE-P</v>
      </c>
      <c r="M48" s="37" t="str">
        <f>VLOOKUP(L48,'[1]Compatible JC'!$A:$A,1,FALSE)</f>
        <v>AZE-P</v>
      </c>
      <c r="N48" s="37" t="str">
        <f>IFERROR(_xlfn.XLOOKUP(H48,'[1]SIG Level Structure'!D:D,'[1]SIG Level Structure'!C:C),"--")</f>
        <v>Expert</v>
      </c>
      <c r="O48" s="38" t="str">
        <f>IFERROR(TRIM(N48&amp;" "&amp;C48),"--")</f>
        <v>Expert Packaging Engineering</v>
      </c>
      <c r="P48" s="22" t="str">
        <f>_xlfn.XLOOKUP(E48,'[1]SIG Job Families &amp; Descriptions'!A:A,'[1]SIG Job Families &amp; Descriptions'!G:G)</f>
        <v>Performs generally engineering work in operations, production, construction or maintenance environments. Responsibilities are trypically within the engineering function as a generalist or in a combination of disciplines. Includes roles that apply their skills in manufacturing environment.</v>
      </c>
      <c r="Q48" s="39" t="str">
        <f>_xlfn.XLOOKUP(E48,'[1]2022 GI Position Descriptions'!E:E,'[1]2022 GI Position Descriptions'!G:G)</f>
        <v>Develops and designs packaging equipment and materials for safe, convenient and attractive transport of goods under a variety of conditions | Analyzes engineering drawings and specifications to determine the required type of packaging materials and to maximize convenience, utility and function based on the product's physical characteristics, safety and special-handling requirements | Evaluates packaging and transporting methods and procedures to ensure compliance with safety and quality standards | Evaluates and recommends efficient packing procedures, innovations in packaging materials, and utilization of sealing and fastening devices</v>
      </c>
      <c r="R48" s="22" t="str">
        <f>IF(LEFT(J48,1)="E","EX",LEFT(J48,1))</f>
        <v>P</v>
      </c>
      <c r="S48" s="22" t="str">
        <f>_xlfn.XLOOKUP($R48,'[1]Career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8" s="22" t="str">
        <f>J48</f>
        <v>P3</v>
      </c>
      <c r="U48" s="40" t="str">
        <f t="shared" si="1"/>
        <v>P3</v>
      </c>
      <c r="V48" s="22" t="str">
        <f>_xlfn.XLOOKUP(T48,'[1]Career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48" s="41" t="str">
        <f>J48&amp;"-"&amp;G48</f>
        <v>P3-11</v>
      </c>
      <c r="X48" s="42" t="str">
        <f>G48</f>
        <v>11</v>
      </c>
      <c r="Y48" s="22" t="str">
        <f>_xlfn.XLOOKUP(W48,'[1]Career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48" s="43" t="str">
        <f>IFERROR(O48&amp;" - "&amp;G48,"--")</f>
        <v>Expert Packaging Engineering - 11</v>
      </c>
      <c r="AA48" s="44" t="str">
        <f>_xlfn.XLOOKUP($H48,'[1]SIG Qualifications Input'!$D:$D,'[1]SIG Qualifications Input'!$H:$H)</f>
        <v>University degree or equivalent and 4-8 years of work experience or equivalent, 
Initial experience in functionally leading (sub-) projects</v>
      </c>
    </row>
    <row r="49" spans="1:27" ht="183.75" customHeight="1" thickBot="1" x14ac:dyDescent="0.2">
      <c r="A49" s="34" t="str">
        <f>_xlfn.XLOOKUP(C49,'[1]SIG Job Families &amp; Descriptions'!F:F,'[1]SIG Job Families &amp; Descriptions'!B:B)</f>
        <v>Engineering</v>
      </c>
      <c r="B49" s="34" t="str">
        <f>_xlfn.XLOOKUP(C49,'[1]SIG Job Families &amp; Descriptions'!F:F,'[1]SIG Job Families &amp; Descriptions'!D:D)</f>
        <v>Manufacturing Engineering</v>
      </c>
      <c r="C49" s="34" t="s">
        <v>48</v>
      </c>
      <c r="D49" s="30" t="str">
        <f t="shared" si="0"/>
        <v>AZE</v>
      </c>
      <c r="E49" s="31" t="str">
        <f>_xlfn.XLOOKUP(C49,'[1]SIG Job Families &amp; Descriptions'!F:F,'[1]SIG Job Families &amp; Descriptions'!A:A)</f>
        <v>AZE150</v>
      </c>
      <c r="F49" s="32" t="s">
        <v>32</v>
      </c>
      <c r="G49" s="33" t="s">
        <v>36</v>
      </c>
      <c r="H49" s="34" t="str">
        <f>F49&amp;"-"&amp;G49</f>
        <v>Professional-10</v>
      </c>
      <c r="I49" s="35" t="str">
        <f>IF(ISERROR(_xlfn.XLOOKUP(H49,'[1]SIG Level Structure'!D:D,'[1]SIG Level Structure'!D:D)),"0","1")</f>
        <v>1</v>
      </c>
      <c r="J49" s="36" t="str">
        <f>_xlfn.XLOOKUP($H49,'[1]SIG Level Structure'!$D:$D,'[1]SIG Level Structure'!F:F)</f>
        <v>P2</v>
      </c>
      <c r="K49" s="37" t="str">
        <f>E49&amp;"-"&amp;J49&amp;"-"&amp;G49</f>
        <v>AZE150-P2-10</v>
      </c>
      <c r="L49" s="37" t="str">
        <f>IFERROR(D49&amp;"-"&amp;LEFT(J49,1),"--")</f>
        <v>AZE-P</v>
      </c>
      <c r="M49" s="37" t="str">
        <f>VLOOKUP(L49,'[1]Compatible JC'!$A:$A,1,FALSE)</f>
        <v>AZE-P</v>
      </c>
      <c r="N49" s="37" t="str">
        <f>IFERROR(_xlfn.XLOOKUP(H49,'[1]SIG Level Structure'!D:D,'[1]SIG Level Structure'!C:C),"--")</f>
        <v>Senior Specialist</v>
      </c>
      <c r="O49" s="38" t="str">
        <f>IFERROR(TRIM(N49&amp;" "&amp;C49),"--")</f>
        <v>Senior Specialist Packaging Engineering</v>
      </c>
      <c r="P49" s="22" t="str">
        <f>_xlfn.XLOOKUP(E49,'[1]SIG Job Families &amp; Descriptions'!A:A,'[1]SIG Job Families &amp; Descriptions'!G:G)</f>
        <v>Performs generally engineering work in operations, production, construction or maintenance environments. Responsibilities are trypically within the engineering function as a generalist or in a combination of disciplines. Includes roles that apply their skills in manufacturing environment.</v>
      </c>
      <c r="Q49" s="39" t="str">
        <f>_xlfn.XLOOKUP(E49,'[1]2022 GI Position Descriptions'!E:E,'[1]2022 GI Position Descriptions'!G:G)</f>
        <v>Develops and designs packaging equipment and materials for safe, convenient and attractive transport of goods under a variety of conditions | Analyzes engineering drawings and specifications to determine the required type of packaging materials and to maximize convenience, utility and function based on the product's physical characteristics, safety and special-handling requirements | Evaluates packaging and transporting methods and procedures to ensure compliance with safety and quality standards | Evaluates and recommends efficient packing procedures, innovations in packaging materials, and utilization of sealing and fastening devices</v>
      </c>
      <c r="R49" s="22" t="str">
        <f>IF(LEFT(J49,1)="E","EX",LEFT(J49,1))</f>
        <v>P</v>
      </c>
      <c r="S49" s="22" t="str">
        <f>_xlfn.XLOOKUP($R49,'[1]Career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9" s="22" t="str">
        <f>J49</f>
        <v>P2</v>
      </c>
      <c r="U49" s="40" t="str">
        <f t="shared" si="1"/>
        <v>P2</v>
      </c>
      <c r="V49" s="22" t="str">
        <f>_xlfn.XLOOKUP(T49,'[1]Career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49" s="41" t="str">
        <f>J49&amp;"-"&amp;G49</f>
        <v>P2-10</v>
      </c>
      <c r="X49" s="42" t="str">
        <f>G49</f>
        <v>10</v>
      </c>
      <c r="Y49" s="22" t="str">
        <f>_xlfn.XLOOKUP(W49,'[1]Career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49" s="43" t="str">
        <f>IFERROR(O49&amp;" - "&amp;G49,"--")</f>
        <v>Senior Specialist Packaging Engineering - 10</v>
      </c>
      <c r="AA49" s="44" t="str">
        <f>_xlfn.XLOOKUP($H49,'[1]SIG Qualifications Input'!$D:$D,'[1]SIG Qualifications Input'!$H:$H)</f>
        <v>University degree or equivalent and 2-4 years of work experience or equivalent</v>
      </c>
    </row>
    <row r="50" spans="1:27" ht="197" thickBot="1" x14ac:dyDescent="0.2">
      <c r="A50" s="34" t="str">
        <f>_xlfn.XLOOKUP(C50,'[1]SIG Job Families &amp; Descriptions'!F:F,'[1]SIG Job Families &amp; Descriptions'!B:B)</f>
        <v>Engineering</v>
      </c>
      <c r="B50" s="34" t="str">
        <f>_xlfn.XLOOKUP(C50,'[1]SIG Job Families &amp; Descriptions'!F:F,'[1]SIG Job Families &amp; Descriptions'!D:D)</f>
        <v>Manufacturing Engineering</v>
      </c>
      <c r="C50" s="34" t="s">
        <v>48</v>
      </c>
      <c r="D50" s="30" t="str">
        <f t="shared" si="0"/>
        <v>AZE</v>
      </c>
      <c r="E50" s="31" t="str">
        <f>_xlfn.XLOOKUP(C50,'[1]SIG Job Families &amp; Descriptions'!F:F,'[1]SIG Job Families &amp; Descriptions'!A:A)</f>
        <v>AZE150</v>
      </c>
      <c r="F50" s="32" t="s">
        <v>32</v>
      </c>
      <c r="G50" s="33" t="s">
        <v>37</v>
      </c>
      <c r="H50" s="34" t="str">
        <f>F50&amp;"-"&amp;G50</f>
        <v>Professional-09</v>
      </c>
      <c r="I50" s="35" t="str">
        <f>IF(ISERROR(_xlfn.XLOOKUP(H50,'[1]SIG Level Structure'!D:D,'[1]SIG Level Structure'!D:D)),"0","1")</f>
        <v>1</v>
      </c>
      <c r="J50" s="36" t="str">
        <f>_xlfn.XLOOKUP($H50,'[1]SIG Level Structure'!$D:$D,'[1]SIG Level Structure'!F:F)</f>
        <v>P2</v>
      </c>
      <c r="K50" s="37" t="str">
        <f>E50&amp;"-"&amp;J50&amp;"-"&amp;G50</f>
        <v>AZE150-P2-09</v>
      </c>
      <c r="L50" s="37" t="str">
        <f>IFERROR(D50&amp;"-"&amp;LEFT(J50,1),"--")</f>
        <v>AZE-P</v>
      </c>
      <c r="M50" s="37" t="str">
        <f>VLOOKUP(L50,'[1]Compatible JC'!$A:$A,1,FALSE)</f>
        <v>AZE-P</v>
      </c>
      <c r="N50" s="37" t="str">
        <f>IFERROR(_xlfn.XLOOKUP(H50,'[1]SIG Level Structure'!D:D,'[1]SIG Level Structure'!C:C),"--")</f>
        <v>Senior Specialist</v>
      </c>
      <c r="O50" s="38" t="str">
        <f>IFERROR(TRIM(N50&amp;" "&amp;C50),"--")</f>
        <v>Senior Specialist Packaging Engineering</v>
      </c>
      <c r="P50" s="22" t="str">
        <f>_xlfn.XLOOKUP(E50,'[1]SIG Job Families &amp; Descriptions'!A:A,'[1]SIG Job Families &amp; Descriptions'!G:G)</f>
        <v>Performs generally engineering work in operations, production, construction or maintenance environments. Responsibilities are trypically within the engineering function as a generalist or in a combination of disciplines. Includes roles that apply their skills in manufacturing environment.</v>
      </c>
      <c r="Q50" s="39" t="str">
        <f>_xlfn.XLOOKUP(E50,'[1]2022 GI Position Descriptions'!E:E,'[1]2022 GI Position Descriptions'!G:G)</f>
        <v>Develops and designs packaging equipment and materials for safe, convenient and attractive transport of goods under a variety of conditions | Analyzes engineering drawings and specifications to determine the required type of packaging materials and to maximize convenience, utility and function based on the product's physical characteristics, safety and special-handling requirements | Evaluates packaging and transporting methods and procedures to ensure compliance with safety and quality standards | Evaluates and recommends efficient packing procedures, innovations in packaging materials, and utilization of sealing and fastening devices</v>
      </c>
      <c r="R50" s="22" t="str">
        <f>IF(LEFT(J50,1)="E","EX",LEFT(J50,1))</f>
        <v>P</v>
      </c>
      <c r="S50" s="22" t="str">
        <f>_xlfn.XLOOKUP($R50,'[1]Career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0" s="22" t="str">
        <f>J50</f>
        <v>P2</v>
      </c>
      <c r="U50" s="40" t="str">
        <f t="shared" si="1"/>
        <v>P2</v>
      </c>
      <c r="V50" s="22" t="str">
        <f>_xlfn.XLOOKUP(T50,'[1]Career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50" s="41" t="str">
        <f>J50&amp;"-"&amp;G50</f>
        <v>P2-09</v>
      </c>
      <c r="X50" s="42" t="str">
        <f>G50</f>
        <v>09</v>
      </c>
      <c r="Y50" s="22" t="str">
        <f>_xlfn.XLOOKUP(W50,'[1]Career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50" s="43" t="str">
        <f>IFERROR(O50&amp;" - "&amp;G50,"--")</f>
        <v>Senior Specialist Packaging Engineering - 09</v>
      </c>
      <c r="AA50" s="44" t="str">
        <f>_xlfn.XLOOKUP($H50,'[1]SIG Qualifications Input'!$D:$D,'[1]SIG Qualifications Input'!$H:$H)</f>
        <v>University degree or equivalent and 2-4 years of work experience or equivalent</v>
      </c>
    </row>
    <row r="51" spans="1:27" ht="183" thickBot="1" x14ac:dyDescent="0.2">
      <c r="A51" s="34" t="str">
        <f>_xlfn.XLOOKUP(C51,'[1]SIG Job Families &amp; Descriptions'!F:F,'[1]SIG Job Families &amp; Descriptions'!B:B)</f>
        <v>Engineering</v>
      </c>
      <c r="B51" s="34" t="str">
        <f>_xlfn.XLOOKUP(C51,'[1]SIG Job Families &amp; Descriptions'!F:F,'[1]SIG Job Families &amp; Descriptions'!D:D)</f>
        <v xml:space="preserve">Maintenance Engineering </v>
      </c>
      <c r="C51" s="34" t="s">
        <v>49</v>
      </c>
      <c r="D51" s="30" t="str">
        <f t="shared" si="0"/>
        <v>AZT</v>
      </c>
      <c r="E51" s="31" t="str">
        <f>_xlfn.XLOOKUP(C51,'[1]SIG Job Families &amp; Descriptions'!F:F,'[1]SIG Job Families &amp; Descriptions'!A:A)</f>
        <v>AZT010</v>
      </c>
      <c r="F51" s="32" t="s">
        <v>29</v>
      </c>
      <c r="G51" s="33" t="s">
        <v>33</v>
      </c>
      <c r="H51" s="34" t="str">
        <f>F51&amp;"-"&amp;G51</f>
        <v>Management-13</v>
      </c>
      <c r="I51" s="35" t="str">
        <f>IF(ISERROR(_xlfn.XLOOKUP(H51,'[1]SIG Level Structure'!D:D,'[1]SIG Level Structure'!D:D)),"0","1")</f>
        <v>1</v>
      </c>
      <c r="J51" s="36" t="str">
        <f>_xlfn.XLOOKUP($H51,'[1]SIG Level Structure'!$D:$D,'[1]SIG Level Structure'!F:F)</f>
        <v>M2</v>
      </c>
      <c r="K51" s="37" t="str">
        <f>E51&amp;"-"&amp;J51&amp;"-"&amp;G51</f>
        <v>AZT010-M2-13</v>
      </c>
      <c r="L51" s="37" t="str">
        <f>IFERROR(D51&amp;"-"&amp;LEFT(J51,1),"--")</f>
        <v>AZT-M</v>
      </c>
      <c r="M51" s="37" t="str">
        <f>VLOOKUP(L51,'[1]Compatible JC'!$A:$A,1,FALSE)</f>
        <v>AZT-M</v>
      </c>
      <c r="N51" s="37" t="str">
        <f>IFERROR(_xlfn.XLOOKUP(H51,'[1]SIG Level Structure'!D:D,'[1]SIG Level Structure'!C:C),"--")</f>
        <v>Manager</v>
      </c>
      <c r="O51" s="38" t="str">
        <f>IFERROR(TRIM(N51&amp;" "&amp;C51),"--")</f>
        <v>Manager Maintenance Engineering</v>
      </c>
      <c r="P51" s="22" t="str">
        <f>_xlfn.XLOOKUP(E51,'[1]SIG Job Families &amp; Descriptions'!A:A,'[1]SIG Job Families &amp; Descriptions'!G:G)</f>
        <v>Performs preventive maintenance and repairs on equipment and systems (e.g., mechanical, electrical). 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v>
      </c>
      <c r="Q51" s="39" t="str">
        <f>_xlfn.XLOOKUP(E51,'[1]2022 GI Position Descriptions'!E:E,'[1]2022 GI Position Descriptions'!G:G)</f>
        <v>Performs preventive maintenance and repairs on equipment and systems (e.g., mechanical, electrical) | Evaluates and recommends equipment improvements to improve availability, capability and yield | Performs equipment failure analyses (including preventive and unscheduled maintenance) | Troubleshoots and diagnoses equipment problems | Prepares technical reports to document equipment modifications and equipment maintenance procedures</v>
      </c>
      <c r="R51" s="22" t="str">
        <f>IF(LEFT(J51,1)="E","EX",LEFT(J51,1))</f>
        <v>M</v>
      </c>
      <c r="S51" s="22" t="str">
        <f>_xlfn.XLOOKUP($R51,'[1]Career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51" s="22" t="str">
        <f>J51</f>
        <v>M2</v>
      </c>
      <c r="U51" s="40" t="str">
        <f t="shared" si="1"/>
        <v>M2</v>
      </c>
      <c r="V51" s="22" t="str">
        <f>_xlfn.XLOOKUP(T51,'[1]Career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51" s="41" t="str">
        <f>J51&amp;"-"&amp;G51</f>
        <v>M2-13</v>
      </c>
      <c r="X51" s="42" t="str">
        <f>G51</f>
        <v>13</v>
      </c>
      <c r="Y51" s="22" t="str">
        <f>_xlfn.XLOOKUP(W51,'[1]Career Bands &amp; Levels'!A:A,'[1]Career Bands &amp; Levels'!C:C,"No Grade Differentiator")</f>
        <v>●	Accountable for the budget, performance and results of a medium-sized team or multiple small teams of employees		
●	Exercises full management authority, including performance reviews, pay decisions, recruitment, discipline, termination and other personnel actions		
●	Addresses issues with impact beyond own team based on knowledge of related disciplines</v>
      </c>
      <c r="Z51" s="43" t="str">
        <f>IFERROR(O51&amp;" - "&amp;G51,"--")</f>
        <v>Manager Maintenance Engineering - 13</v>
      </c>
      <c r="AA51" s="44" t="str">
        <f>_xlfn.XLOOKUP($H51,'[1]SIG Qualifications Input'!$D:$D,'[1]SIG Qualifications Input'!$H:$H)</f>
        <v>University degree or equivalent and 7-10 years of work experience or equivalent
Experience in managing mixed-level team(s) of professionals and subordinate managers</v>
      </c>
    </row>
    <row r="52" spans="1:27" ht="183" thickBot="1" x14ac:dyDescent="0.2">
      <c r="A52" s="34" t="str">
        <f>_xlfn.XLOOKUP(C52,'[1]SIG Job Families &amp; Descriptions'!F:F,'[1]SIG Job Families &amp; Descriptions'!B:B)</f>
        <v>Engineering</v>
      </c>
      <c r="B52" s="34" t="str">
        <f>_xlfn.XLOOKUP(C52,'[1]SIG Job Families &amp; Descriptions'!F:F,'[1]SIG Job Families &amp; Descriptions'!D:D)</f>
        <v xml:space="preserve">Maintenance Engineering </v>
      </c>
      <c r="C52" s="34" t="s">
        <v>49</v>
      </c>
      <c r="D52" s="30" t="str">
        <f t="shared" si="0"/>
        <v>AZT</v>
      </c>
      <c r="E52" s="31" t="str">
        <f>_xlfn.XLOOKUP(C52,'[1]SIG Job Families &amp; Descriptions'!F:F,'[1]SIG Job Families &amp; Descriptions'!A:A)</f>
        <v>AZT010</v>
      </c>
      <c r="F52" s="32" t="s">
        <v>29</v>
      </c>
      <c r="G52" s="33" t="s">
        <v>34</v>
      </c>
      <c r="H52" s="34" t="str">
        <f>F52&amp;"-"&amp;G52</f>
        <v>Management-12</v>
      </c>
      <c r="I52" s="35" t="str">
        <f>IF(ISERROR(_xlfn.XLOOKUP(H52,'[1]SIG Level Structure'!D:D,'[1]SIG Level Structure'!D:D)),"0","1")</f>
        <v>1</v>
      </c>
      <c r="J52" s="36" t="str">
        <f>_xlfn.XLOOKUP($H52,'[1]SIG Level Structure'!$D:$D,'[1]SIG Level Structure'!F:F)</f>
        <v>M2</v>
      </c>
      <c r="K52" s="37" t="str">
        <f>E52&amp;"-"&amp;J52&amp;"-"&amp;G52</f>
        <v>AZT010-M2-12</v>
      </c>
      <c r="L52" s="37" t="str">
        <f>IFERROR(D52&amp;"-"&amp;LEFT(J52,1),"--")</f>
        <v>AZT-M</v>
      </c>
      <c r="M52" s="37" t="str">
        <f>VLOOKUP(L52,'[1]Compatible JC'!$A:$A,1,FALSE)</f>
        <v>AZT-M</v>
      </c>
      <c r="N52" s="37" t="str">
        <f>IFERROR(_xlfn.XLOOKUP(H52,'[1]SIG Level Structure'!D:D,'[1]SIG Level Structure'!C:C),"--")</f>
        <v>Manager</v>
      </c>
      <c r="O52" s="38" t="str">
        <f>IFERROR(TRIM(N52&amp;" "&amp;C52),"--")</f>
        <v>Manager Maintenance Engineering</v>
      </c>
      <c r="P52" s="22" t="str">
        <f>_xlfn.XLOOKUP(E52,'[1]SIG Job Families &amp; Descriptions'!A:A,'[1]SIG Job Families &amp; Descriptions'!G:G)</f>
        <v>Performs preventive maintenance and repairs on equipment and systems (e.g., mechanical, electrical). 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v>
      </c>
      <c r="Q52" s="39" t="str">
        <f>_xlfn.XLOOKUP(E52,'[1]2022 GI Position Descriptions'!E:E,'[1]2022 GI Position Descriptions'!G:G)</f>
        <v>Performs preventive maintenance and repairs on equipment and systems (e.g., mechanical, electrical) | Evaluates and recommends equipment improvements to improve availability, capability and yield | Performs equipment failure analyses (including preventive and unscheduled maintenance) | Troubleshoots and diagnoses equipment problems | Prepares technical reports to document equipment modifications and equipment maintenance procedures</v>
      </c>
      <c r="R52" s="22" t="str">
        <f>IF(LEFT(J52,1)="E","EX",LEFT(J52,1))</f>
        <v>M</v>
      </c>
      <c r="S52" s="22" t="str">
        <f>_xlfn.XLOOKUP($R52,'[1]Career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52" s="22" t="str">
        <f>J52</f>
        <v>M2</v>
      </c>
      <c r="U52" s="40" t="str">
        <f t="shared" si="1"/>
        <v>M2</v>
      </c>
      <c r="V52" s="22" t="str">
        <f>_xlfn.XLOOKUP(T52,'[1]Career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52" s="41" t="str">
        <f>J52&amp;"-"&amp;G52</f>
        <v>M2-12</v>
      </c>
      <c r="X52" s="42" t="str">
        <f>G52</f>
        <v>12</v>
      </c>
      <c r="Y52" s="22" t="str">
        <f>_xlfn.XLOOKUP(W52,'[1]Career Bands &amp; Levels'!A:A,'[1]Career Bands &amp; Levels'!C:C,"No Grade Differentiator")</f>
        <v xml:space="preserve">●	Accountable for results of a small team of employees		
●	Exercises limited management authority; sets employee performance objectives, conducts performance reviews and recommends pay actions		
●	Defines team operating standards and ensures essential procedures are followed based on knowledge of own discipline		</v>
      </c>
      <c r="Z52" s="43" t="str">
        <f>IFERROR(O52&amp;" - "&amp;G52,"--")</f>
        <v>Manager Maintenance Engineering - 12</v>
      </c>
      <c r="AA52" s="44" t="str">
        <f>_xlfn.XLOOKUP($H52,'[1]SIG Qualifications Input'!$D:$D,'[1]SIG Qualifications Input'!$H:$H)</f>
        <v>University degree or equivalent and 7-10 years of work experience or equivalent
Experience in managing mixed-level team(s) of professionals and subordinate managers</v>
      </c>
    </row>
    <row r="53" spans="1:27" ht="183" thickBot="1" x14ac:dyDescent="0.2">
      <c r="A53" s="34" t="str">
        <f>_xlfn.XLOOKUP(C53,'[1]SIG Job Families &amp; Descriptions'!F:F,'[1]SIG Job Families &amp; Descriptions'!B:B)</f>
        <v>Engineering</v>
      </c>
      <c r="B53" s="34" t="str">
        <f>_xlfn.XLOOKUP(C53,'[1]SIG Job Families &amp; Descriptions'!F:F,'[1]SIG Job Families &amp; Descriptions'!D:D)</f>
        <v xml:space="preserve">Maintenance Engineering </v>
      </c>
      <c r="C53" s="34" t="s">
        <v>49</v>
      </c>
      <c r="D53" s="30" t="str">
        <f t="shared" si="0"/>
        <v>AZT</v>
      </c>
      <c r="E53" s="31" t="str">
        <f>_xlfn.XLOOKUP(C53,'[1]SIG Job Families &amp; Descriptions'!F:F,'[1]SIG Job Families &amp; Descriptions'!A:A)</f>
        <v>AZT010</v>
      </c>
      <c r="F53" s="32" t="s">
        <v>29</v>
      </c>
      <c r="G53" s="33" t="s">
        <v>35</v>
      </c>
      <c r="H53" s="34" t="str">
        <f>F53&amp;"-"&amp;G53</f>
        <v>Management-11</v>
      </c>
      <c r="I53" s="35" t="str">
        <f>IF(ISERROR(_xlfn.XLOOKUP(H53,'[1]SIG Level Structure'!D:D,'[1]SIG Level Structure'!D:D)),"0","1")</f>
        <v>1</v>
      </c>
      <c r="J53" s="36" t="str">
        <f>_xlfn.XLOOKUP($H53,'[1]SIG Level Structure'!$D:$D,'[1]SIG Level Structure'!F:F)</f>
        <v>M1</v>
      </c>
      <c r="K53" s="37" t="str">
        <f>E53&amp;"-"&amp;J53&amp;"-"&amp;G53</f>
        <v>AZT010-M1-11</v>
      </c>
      <c r="L53" s="37" t="str">
        <f>IFERROR(D53&amp;"-"&amp;LEFT(J53,1),"--")</f>
        <v>AZT-M</v>
      </c>
      <c r="M53" s="37" t="str">
        <f>VLOOKUP(L53,'[1]Compatible JC'!$A:$A,1,FALSE)</f>
        <v>AZT-M</v>
      </c>
      <c r="N53" s="37" t="str">
        <f>IFERROR(_xlfn.XLOOKUP(H53,'[1]SIG Level Structure'!D:D,'[1]SIG Level Structure'!C:C),"--")</f>
        <v>Supervisor</v>
      </c>
      <c r="O53" s="38" t="str">
        <f>IFERROR(TRIM(N53&amp;" "&amp;C53),"--")</f>
        <v>Supervisor Maintenance Engineering</v>
      </c>
      <c r="P53" s="22" t="str">
        <f>_xlfn.XLOOKUP(E53,'[1]SIG Job Families &amp; Descriptions'!A:A,'[1]SIG Job Families &amp; Descriptions'!G:G)</f>
        <v>Performs preventive maintenance and repairs on equipment and systems (e.g., mechanical, electrical). 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v>
      </c>
      <c r="Q53" s="39" t="str">
        <f>_xlfn.XLOOKUP(E53,'[1]2022 GI Position Descriptions'!E:E,'[1]2022 GI Position Descriptions'!G:G)</f>
        <v>Performs preventive maintenance and repairs on equipment and systems (e.g., mechanical, electrical) | Evaluates and recommends equipment improvements to improve availability, capability and yield | Performs equipment failure analyses (including preventive and unscheduled maintenance) | Troubleshoots and diagnoses equipment problems | Prepares technical reports to document equipment modifications and equipment maintenance procedures</v>
      </c>
      <c r="R53" s="22" t="str">
        <f>IF(LEFT(J53,1)="E","EX",LEFT(J53,1))</f>
        <v>M</v>
      </c>
      <c r="S53" s="22" t="str">
        <f>_xlfn.XLOOKUP($R53,'[1]Career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53" s="22" t="str">
        <f>J53</f>
        <v>M1</v>
      </c>
      <c r="U53" s="40" t="str">
        <f t="shared" si="1"/>
        <v>M1</v>
      </c>
      <c r="V53" s="22" t="str">
        <f>_xlfn.XLOOKUP(T53,'[1]Career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53" s="41" t="str">
        <f>J53&amp;"-"&amp;G53</f>
        <v>M1-11</v>
      </c>
      <c r="X53" s="42" t="str">
        <f>G53</f>
        <v>11</v>
      </c>
      <c r="Y53" s="22" t="str">
        <f>_xlfn.XLOOKUP(W53,'[1]Career Bands &amp; Levels'!A:A,'[1]Career Bands &amp; Levels'!C:C,"No Grade Differentiator")</f>
        <v xml:space="preserve">●	Accountable for the results of a large and/or moderately complex support or production operations team including subordinate work leaders		
●	Applies acquired expertise to analyze and solve problems without clear precedent		
●	Provides input on resource planning and policy development		
●	Coaches team members on performance, completes employee performance evaluations and recommends pay actions		</v>
      </c>
      <c r="Z53" s="43" t="str">
        <f>IFERROR(O53&amp;" - "&amp;G53,"--")</f>
        <v>Supervisor Maintenance Engineering - 11</v>
      </c>
      <c r="AA53" s="44" t="str">
        <f>_xlfn.XLOOKUP($H53,'[1]SIG Qualifications Input'!$D:$D,'[1]SIG Qualifications Input'!$H:$H)</f>
        <v>University degree or equivalent and 5-7 years of work experience or equivalent
Experienced in application of management techniques
Experience in operationally managing a mixed-level team</v>
      </c>
    </row>
    <row r="54" spans="1:27" ht="183" thickBot="1" x14ac:dyDescent="0.2">
      <c r="A54" s="34" t="str">
        <f>_xlfn.XLOOKUP(C54,'[1]SIG Job Families &amp; Descriptions'!F:F,'[1]SIG Job Families &amp; Descriptions'!B:B)</f>
        <v>Engineering</v>
      </c>
      <c r="B54" s="34" t="str">
        <f>_xlfn.XLOOKUP(C54,'[1]SIG Job Families &amp; Descriptions'!F:F,'[1]SIG Job Families &amp; Descriptions'!D:D)</f>
        <v xml:space="preserve">Maintenance Engineering </v>
      </c>
      <c r="C54" s="34" t="s">
        <v>49</v>
      </c>
      <c r="D54" s="30" t="str">
        <f t="shared" si="0"/>
        <v>AZT</v>
      </c>
      <c r="E54" s="31" t="str">
        <f>_xlfn.XLOOKUP(C54,'[1]SIG Job Families &amp; Descriptions'!F:F,'[1]SIG Job Families &amp; Descriptions'!A:A)</f>
        <v>AZT010</v>
      </c>
      <c r="F54" s="32" t="s">
        <v>29</v>
      </c>
      <c r="G54" s="33" t="s">
        <v>36</v>
      </c>
      <c r="H54" s="34" t="str">
        <f>F54&amp;"-"&amp;G54</f>
        <v>Management-10</v>
      </c>
      <c r="I54" s="35" t="str">
        <f>IF(ISERROR(_xlfn.XLOOKUP(H54,'[1]SIG Level Structure'!D:D,'[1]SIG Level Structure'!D:D)),"0","1")</f>
        <v>1</v>
      </c>
      <c r="J54" s="36" t="str">
        <f>_xlfn.XLOOKUP($H54,'[1]SIG Level Structure'!$D:$D,'[1]SIG Level Structure'!F:F)</f>
        <v>M1</v>
      </c>
      <c r="K54" s="37" t="str">
        <f>E54&amp;"-"&amp;J54&amp;"-"&amp;G54</f>
        <v>AZT010-M1-10</v>
      </c>
      <c r="L54" s="37" t="str">
        <f>IFERROR(D54&amp;"-"&amp;LEFT(J54,1),"--")</f>
        <v>AZT-M</v>
      </c>
      <c r="M54" s="37" t="str">
        <f>VLOOKUP(L54,'[1]Compatible JC'!$A:$A,1,FALSE)</f>
        <v>AZT-M</v>
      </c>
      <c r="N54" s="37" t="str">
        <f>IFERROR(_xlfn.XLOOKUP(H54,'[1]SIG Level Structure'!D:D,'[1]SIG Level Structure'!C:C),"--")</f>
        <v>Supervisor</v>
      </c>
      <c r="O54" s="38" t="str">
        <f>IFERROR(TRIM(N54&amp;" "&amp;C54),"--")</f>
        <v>Supervisor Maintenance Engineering</v>
      </c>
      <c r="P54" s="22" t="str">
        <f>_xlfn.XLOOKUP(E54,'[1]SIG Job Families &amp; Descriptions'!A:A,'[1]SIG Job Families &amp; Descriptions'!G:G)</f>
        <v>Performs preventive maintenance and repairs on equipment and systems (e.g., mechanical, electrical). 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v>
      </c>
      <c r="Q54" s="39" t="str">
        <f>_xlfn.XLOOKUP(E54,'[1]2022 GI Position Descriptions'!E:E,'[1]2022 GI Position Descriptions'!G:G)</f>
        <v>Performs preventive maintenance and repairs on equipment and systems (e.g., mechanical, electrical) | Evaluates and recommends equipment improvements to improve availability, capability and yield | Performs equipment failure analyses (including preventive and unscheduled maintenance) | Troubleshoots and diagnoses equipment problems | Prepares technical reports to document equipment modifications and equipment maintenance procedures</v>
      </c>
      <c r="R54" s="22" t="str">
        <f>IF(LEFT(J54,1)="E","EX",LEFT(J54,1))</f>
        <v>M</v>
      </c>
      <c r="S54" s="22" t="str">
        <f>_xlfn.XLOOKUP($R54,'[1]Career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54" s="22" t="str">
        <f>J54</f>
        <v>M1</v>
      </c>
      <c r="U54" s="40" t="str">
        <f t="shared" si="1"/>
        <v>M1</v>
      </c>
      <c r="V54" s="22" t="str">
        <f>_xlfn.XLOOKUP(T54,'[1]Career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54" s="41" t="str">
        <f>J54&amp;"-"&amp;G54</f>
        <v>M1-10</v>
      </c>
      <c r="X54" s="42" t="str">
        <f>G54</f>
        <v>10</v>
      </c>
      <c r="Y54" s="22" t="str">
        <f>_xlfn.XLOOKUP(W54,'[1]Career Bands &amp; Levels'!A:A,'[1]Career Bands &amp; Levels'!C:C,"No Grade Differentiator")</f>
        <v xml:space="preserve">●	Accountable for the results of medium-sized routine support or production operations teams		
●	Solves problems based on practice and precedent		
●	Trains team members and provides input to employee performance evaluations		</v>
      </c>
      <c r="Z54" s="43" t="str">
        <f>IFERROR(O54&amp;" - "&amp;G54,"--")</f>
        <v>Supervisor Maintenance Engineering - 10</v>
      </c>
      <c r="AA54" s="44" t="str">
        <f>_xlfn.XLOOKUP($H54,'[1]SIG Qualifications Input'!$D:$D,'[1]SIG Qualifications Input'!$H:$H)</f>
        <v>University degree or equivalent and 5-7 years of work experience or equivalent
Experienced in application of management techniques
Experience in operationally managing a mixed-level team</v>
      </c>
    </row>
    <row r="55" spans="1:27" ht="132" customHeight="1" thickBot="1" x14ac:dyDescent="0.2">
      <c r="A55" s="34" t="str">
        <f>_xlfn.XLOOKUP(C55,'[1]SIG Job Families &amp; Descriptions'!F:F,'[1]SIG Job Families &amp; Descriptions'!B:B)</f>
        <v>Engineering</v>
      </c>
      <c r="B55" s="34" t="str">
        <f>_xlfn.XLOOKUP(C55,'[1]SIG Job Families &amp; Descriptions'!F:F,'[1]SIG Job Families &amp; Descriptions'!D:D)</f>
        <v xml:space="preserve">Maintenance Engineering </v>
      </c>
      <c r="C55" s="34" t="s">
        <v>49</v>
      </c>
      <c r="D55" s="30" t="str">
        <f t="shared" si="0"/>
        <v>AZT</v>
      </c>
      <c r="E55" s="31" t="str">
        <f>_xlfn.XLOOKUP(C55,'[1]SIG Job Families &amp; Descriptions'!F:F,'[1]SIG Job Families &amp; Descriptions'!A:A)</f>
        <v>AZT010</v>
      </c>
      <c r="F55" s="32" t="s">
        <v>32</v>
      </c>
      <c r="G55" s="33" t="s">
        <v>34</v>
      </c>
      <c r="H55" s="34" t="str">
        <f>F55&amp;"-"&amp;G55</f>
        <v>Professional-12</v>
      </c>
      <c r="I55" s="35" t="str">
        <f>IF(ISERROR(_xlfn.XLOOKUP(H55,'[1]SIG Level Structure'!D:D,'[1]SIG Level Structure'!D:D)),"0","1")</f>
        <v>1</v>
      </c>
      <c r="J55" s="36" t="str">
        <f>_xlfn.XLOOKUP($H55,'[1]SIG Level Structure'!$D:$D,'[1]SIG Level Structure'!F:F)</f>
        <v>P3</v>
      </c>
      <c r="K55" s="37" t="str">
        <f>E55&amp;"-"&amp;J55&amp;"-"&amp;G55</f>
        <v>AZT010-P3-12</v>
      </c>
      <c r="L55" s="37" t="str">
        <f>IFERROR(D55&amp;"-"&amp;LEFT(J55,1),"--")</f>
        <v>AZT-P</v>
      </c>
      <c r="M55" s="37" t="str">
        <f>VLOOKUP(L55,'[1]Compatible JC'!$A:$A,1,FALSE)</f>
        <v>AZT-P</v>
      </c>
      <c r="N55" s="37" t="str">
        <f>IFERROR(_xlfn.XLOOKUP(H55,'[1]SIG Level Structure'!D:D,'[1]SIG Level Structure'!C:C),"--")</f>
        <v>Expert</v>
      </c>
      <c r="O55" s="38" t="str">
        <f>IFERROR(TRIM(N55&amp;" "&amp;C55),"--")</f>
        <v>Expert Maintenance Engineering</v>
      </c>
      <c r="P55" s="22" t="str">
        <f>_xlfn.XLOOKUP(E55,'[1]SIG Job Families &amp; Descriptions'!A:A,'[1]SIG Job Families &amp; Descriptions'!G:G)</f>
        <v>Performs preventive maintenance and repairs on equipment and systems (e.g., mechanical, electrical). 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v>
      </c>
      <c r="Q55" s="39" t="str">
        <f>_xlfn.XLOOKUP(E55,'[1]2022 GI Position Descriptions'!E:E,'[1]2022 GI Position Descriptions'!G:G)</f>
        <v>Performs preventive maintenance and repairs on equipment and systems (e.g., mechanical, electrical) | Evaluates and recommends equipment improvements to improve availability, capability and yield | Performs equipment failure analyses (including preventive and unscheduled maintenance) | Troubleshoots and diagnoses equipment problems | Prepares technical reports to document equipment modifications and equipment maintenance procedures</v>
      </c>
      <c r="R55" s="22" t="str">
        <f>IF(LEFT(J55,1)="E","EX",LEFT(J55,1))</f>
        <v>P</v>
      </c>
      <c r="S55" s="22" t="str">
        <f>_xlfn.XLOOKUP($R55,'[1]Career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5" s="22" t="str">
        <f>J55</f>
        <v>P3</v>
      </c>
      <c r="U55" s="40" t="str">
        <f t="shared" si="1"/>
        <v>P3</v>
      </c>
      <c r="V55" s="22" t="str">
        <f>_xlfn.XLOOKUP(T55,'[1]Career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55" s="41" t="str">
        <f>J55&amp;"-"&amp;G55</f>
        <v>P3-12</v>
      </c>
      <c r="X55" s="42" t="str">
        <f>G55</f>
        <v>12</v>
      </c>
      <c r="Y55" s="22" t="str">
        <f>_xlfn.XLOOKUP(W55,'[1]Career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55" s="43" t="str">
        <f>IFERROR(O55&amp;" - "&amp;G55,"--")</f>
        <v>Expert Maintenance Engineering - 12</v>
      </c>
      <c r="AA55" s="44" t="str">
        <f>_xlfn.XLOOKUP($H55,'[1]SIG Qualifications Input'!$D:$D,'[1]SIG Qualifications Input'!$H:$H)</f>
        <v>University degree or equivalent and 4-8 years of work experience or equivalent, 
Initial experience in functionally leading (sub-) projects</v>
      </c>
    </row>
    <row r="56" spans="1:27" ht="169" thickBot="1" x14ac:dyDescent="0.2">
      <c r="A56" s="34" t="str">
        <f>_xlfn.XLOOKUP(C56,'[1]SIG Job Families &amp; Descriptions'!F:F,'[1]SIG Job Families &amp; Descriptions'!B:B)</f>
        <v>Engineering</v>
      </c>
      <c r="B56" s="34" t="str">
        <f>_xlfn.XLOOKUP(C56,'[1]SIG Job Families &amp; Descriptions'!F:F,'[1]SIG Job Families &amp; Descriptions'!D:D)</f>
        <v xml:space="preserve">Maintenance Engineering </v>
      </c>
      <c r="C56" s="34" t="s">
        <v>49</v>
      </c>
      <c r="D56" s="30" t="str">
        <f t="shared" si="0"/>
        <v>AZT</v>
      </c>
      <c r="E56" s="31" t="str">
        <f>_xlfn.XLOOKUP(C56,'[1]SIG Job Families &amp; Descriptions'!F:F,'[1]SIG Job Families &amp; Descriptions'!A:A)</f>
        <v>AZT010</v>
      </c>
      <c r="F56" s="32" t="s">
        <v>32</v>
      </c>
      <c r="G56" s="33" t="s">
        <v>35</v>
      </c>
      <c r="H56" s="34" t="str">
        <f>F56&amp;"-"&amp;G56</f>
        <v>Professional-11</v>
      </c>
      <c r="I56" s="35" t="str">
        <f>IF(ISERROR(_xlfn.XLOOKUP(H56,'[1]SIG Level Structure'!D:D,'[1]SIG Level Structure'!D:D)),"0","1")</f>
        <v>1</v>
      </c>
      <c r="J56" s="36" t="str">
        <f>_xlfn.XLOOKUP($H56,'[1]SIG Level Structure'!$D:$D,'[1]SIG Level Structure'!F:F)</f>
        <v>P3</v>
      </c>
      <c r="K56" s="37" t="str">
        <f>E56&amp;"-"&amp;J56&amp;"-"&amp;G56</f>
        <v>AZT010-P3-11</v>
      </c>
      <c r="L56" s="37" t="str">
        <f>IFERROR(D56&amp;"-"&amp;LEFT(J56,1),"--")</f>
        <v>AZT-P</v>
      </c>
      <c r="M56" s="37" t="str">
        <f>VLOOKUP(L56,'[1]Compatible JC'!$A:$A,1,FALSE)</f>
        <v>AZT-P</v>
      </c>
      <c r="N56" s="37" t="str">
        <f>IFERROR(_xlfn.XLOOKUP(H56,'[1]SIG Level Structure'!D:D,'[1]SIG Level Structure'!C:C),"--")</f>
        <v>Expert</v>
      </c>
      <c r="O56" s="38" t="str">
        <f>IFERROR(TRIM(N56&amp;" "&amp;C56),"--")</f>
        <v>Expert Maintenance Engineering</v>
      </c>
      <c r="P56" s="22" t="str">
        <f>_xlfn.XLOOKUP(E56,'[1]SIG Job Families &amp; Descriptions'!A:A,'[1]SIG Job Families &amp; Descriptions'!G:G)</f>
        <v>Performs preventive maintenance and repairs on equipment and systems (e.g., mechanical, electrical). 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v>
      </c>
      <c r="Q56" s="39" t="str">
        <f>_xlfn.XLOOKUP(E56,'[1]2022 GI Position Descriptions'!E:E,'[1]2022 GI Position Descriptions'!G:G)</f>
        <v>Performs preventive maintenance and repairs on equipment and systems (e.g., mechanical, electrical) | Evaluates and recommends equipment improvements to improve availability, capability and yield | Performs equipment failure analyses (including preventive and unscheduled maintenance) | Troubleshoots and diagnoses equipment problems | Prepares technical reports to document equipment modifications and equipment maintenance procedures</v>
      </c>
      <c r="R56" s="22" t="str">
        <f>IF(LEFT(J56,1)="E","EX",LEFT(J56,1))</f>
        <v>P</v>
      </c>
      <c r="S56" s="22" t="str">
        <f>_xlfn.XLOOKUP($R56,'[1]Career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6" s="22" t="str">
        <f>J56</f>
        <v>P3</v>
      </c>
      <c r="U56" s="40" t="str">
        <f t="shared" si="1"/>
        <v>P3</v>
      </c>
      <c r="V56" s="22" t="str">
        <f>_xlfn.XLOOKUP(T56,'[1]Career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56" s="41" t="str">
        <f>J56&amp;"-"&amp;G56</f>
        <v>P3-11</v>
      </c>
      <c r="X56" s="42" t="str">
        <f>G56</f>
        <v>11</v>
      </c>
      <c r="Y56" s="22" t="str">
        <f>_xlfn.XLOOKUP(W56,'[1]Career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56" s="43" t="str">
        <f>IFERROR(O56&amp;" - "&amp;G56,"--")</f>
        <v>Expert Maintenance Engineering - 11</v>
      </c>
      <c r="AA56" s="44" t="str">
        <f>_xlfn.XLOOKUP($H56,'[1]SIG Qualifications Input'!$D:$D,'[1]SIG Qualifications Input'!$H:$H)</f>
        <v>University degree or equivalent and 4-8 years of work experience or equivalent, 
Initial experience in functionally leading (sub-) projects</v>
      </c>
    </row>
    <row r="57" spans="1:27" ht="169" thickBot="1" x14ac:dyDescent="0.2">
      <c r="A57" s="34" t="str">
        <f>_xlfn.XLOOKUP(C57,'[1]SIG Job Families &amp; Descriptions'!F:F,'[1]SIG Job Families &amp; Descriptions'!B:B)</f>
        <v>Engineering</v>
      </c>
      <c r="B57" s="34" t="str">
        <f>_xlfn.XLOOKUP(C57,'[1]SIG Job Families &amp; Descriptions'!F:F,'[1]SIG Job Families &amp; Descriptions'!D:D)</f>
        <v xml:space="preserve">Maintenance Engineering </v>
      </c>
      <c r="C57" s="34" t="s">
        <v>49</v>
      </c>
      <c r="D57" s="30" t="str">
        <f t="shared" si="0"/>
        <v>AZT</v>
      </c>
      <c r="E57" s="31" t="str">
        <f>_xlfn.XLOOKUP(C57,'[1]SIG Job Families &amp; Descriptions'!F:F,'[1]SIG Job Families &amp; Descriptions'!A:A)</f>
        <v>AZT010</v>
      </c>
      <c r="F57" s="32" t="s">
        <v>32</v>
      </c>
      <c r="G57" s="33" t="s">
        <v>36</v>
      </c>
      <c r="H57" s="34" t="str">
        <f>F57&amp;"-"&amp;G57</f>
        <v>Professional-10</v>
      </c>
      <c r="I57" s="35" t="str">
        <f>IF(ISERROR(_xlfn.XLOOKUP(H57,'[1]SIG Level Structure'!D:D,'[1]SIG Level Structure'!D:D)),"0","1")</f>
        <v>1</v>
      </c>
      <c r="J57" s="36" t="str">
        <f>_xlfn.XLOOKUP($H57,'[1]SIG Level Structure'!$D:$D,'[1]SIG Level Structure'!F:F)</f>
        <v>P2</v>
      </c>
      <c r="K57" s="37" t="str">
        <f>E57&amp;"-"&amp;J57&amp;"-"&amp;G57</f>
        <v>AZT010-P2-10</v>
      </c>
      <c r="L57" s="37" t="str">
        <f>IFERROR(D57&amp;"-"&amp;LEFT(J57,1),"--")</f>
        <v>AZT-P</v>
      </c>
      <c r="M57" s="37" t="str">
        <f>VLOOKUP(L57,'[1]Compatible JC'!$A:$A,1,FALSE)</f>
        <v>AZT-P</v>
      </c>
      <c r="N57" s="37" t="str">
        <f>IFERROR(_xlfn.XLOOKUP(H57,'[1]SIG Level Structure'!D:D,'[1]SIG Level Structure'!C:C),"--")</f>
        <v>Senior Specialist</v>
      </c>
      <c r="O57" s="38" t="str">
        <f>IFERROR(TRIM(N57&amp;" "&amp;C57),"--")</f>
        <v>Senior Specialist Maintenance Engineering</v>
      </c>
      <c r="P57" s="22" t="str">
        <f>_xlfn.XLOOKUP(E57,'[1]SIG Job Families &amp; Descriptions'!A:A,'[1]SIG Job Families &amp; Descriptions'!G:G)</f>
        <v>Performs preventive maintenance and repairs on equipment and systems (e.g., mechanical, electrical). 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v>
      </c>
      <c r="Q57" s="39" t="str">
        <f>_xlfn.XLOOKUP(E57,'[1]2022 GI Position Descriptions'!E:E,'[1]2022 GI Position Descriptions'!G:G)</f>
        <v>Performs preventive maintenance and repairs on equipment and systems (e.g., mechanical, electrical) | Evaluates and recommends equipment improvements to improve availability, capability and yield | Performs equipment failure analyses (including preventive and unscheduled maintenance) | Troubleshoots and diagnoses equipment problems | Prepares technical reports to document equipment modifications and equipment maintenance procedures</v>
      </c>
      <c r="R57" s="22" t="str">
        <f>IF(LEFT(J57,1)="E","EX",LEFT(J57,1))</f>
        <v>P</v>
      </c>
      <c r="S57" s="22" t="str">
        <f>_xlfn.XLOOKUP($R57,'[1]Career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7" s="22" t="str">
        <f>J57</f>
        <v>P2</v>
      </c>
      <c r="U57" s="40" t="str">
        <f t="shared" si="1"/>
        <v>P2</v>
      </c>
      <c r="V57" s="22" t="str">
        <f>_xlfn.XLOOKUP(T57,'[1]Career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57" s="41" t="str">
        <f>J57&amp;"-"&amp;G57</f>
        <v>P2-10</v>
      </c>
      <c r="X57" s="42" t="str">
        <f>G57</f>
        <v>10</v>
      </c>
      <c r="Y57" s="22" t="str">
        <f>_xlfn.XLOOKUP(W57,'[1]Career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57" s="43" t="str">
        <f>IFERROR(O57&amp;" - "&amp;G57,"--")</f>
        <v>Senior Specialist Maintenance Engineering - 10</v>
      </c>
      <c r="AA57" s="44" t="str">
        <f>_xlfn.XLOOKUP($H57,'[1]SIG Qualifications Input'!$D:$D,'[1]SIG Qualifications Input'!$H:$H)</f>
        <v>University degree or equivalent and 2-4 years of work experience or equivalent</v>
      </c>
    </row>
    <row r="58" spans="1:27" ht="169" thickBot="1" x14ac:dyDescent="0.2">
      <c r="A58" s="34" t="str">
        <f>_xlfn.XLOOKUP(C58,'[1]SIG Job Families &amp; Descriptions'!F:F,'[1]SIG Job Families &amp; Descriptions'!B:B)</f>
        <v>Engineering</v>
      </c>
      <c r="B58" s="34" t="str">
        <f>_xlfn.XLOOKUP(C58,'[1]SIG Job Families &amp; Descriptions'!F:F,'[1]SIG Job Families &amp; Descriptions'!D:D)</f>
        <v xml:space="preserve">Maintenance Engineering </v>
      </c>
      <c r="C58" s="34" t="s">
        <v>49</v>
      </c>
      <c r="D58" s="30" t="str">
        <f t="shared" si="0"/>
        <v>AZT</v>
      </c>
      <c r="E58" s="31" t="str">
        <f>_xlfn.XLOOKUP(C58,'[1]SIG Job Families &amp; Descriptions'!F:F,'[1]SIG Job Families &amp; Descriptions'!A:A)</f>
        <v>AZT010</v>
      </c>
      <c r="F58" s="32" t="s">
        <v>32</v>
      </c>
      <c r="G58" s="33" t="s">
        <v>37</v>
      </c>
      <c r="H58" s="34" t="str">
        <f>F58&amp;"-"&amp;G58</f>
        <v>Professional-09</v>
      </c>
      <c r="I58" s="35" t="str">
        <f>IF(ISERROR(_xlfn.XLOOKUP(H58,'[1]SIG Level Structure'!D:D,'[1]SIG Level Structure'!D:D)),"0","1")</f>
        <v>1</v>
      </c>
      <c r="J58" s="36" t="str">
        <f>_xlfn.XLOOKUP($H58,'[1]SIG Level Structure'!$D:$D,'[1]SIG Level Structure'!F:F)</f>
        <v>P2</v>
      </c>
      <c r="K58" s="37" t="str">
        <f>E58&amp;"-"&amp;J58&amp;"-"&amp;G58</f>
        <v>AZT010-P2-09</v>
      </c>
      <c r="L58" s="37" t="str">
        <f>IFERROR(D58&amp;"-"&amp;LEFT(J58,1),"--")</f>
        <v>AZT-P</v>
      </c>
      <c r="M58" s="37" t="str">
        <f>VLOOKUP(L58,'[1]Compatible JC'!$A:$A,1,FALSE)</f>
        <v>AZT-P</v>
      </c>
      <c r="N58" s="37" t="str">
        <f>IFERROR(_xlfn.XLOOKUP(H58,'[1]SIG Level Structure'!D:D,'[1]SIG Level Structure'!C:C),"--")</f>
        <v>Senior Specialist</v>
      </c>
      <c r="O58" s="38" t="str">
        <f>IFERROR(TRIM(N58&amp;" "&amp;C58),"--")</f>
        <v>Senior Specialist Maintenance Engineering</v>
      </c>
      <c r="P58" s="22" t="str">
        <f>_xlfn.XLOOKUP(E58,'[1]SIG Job Families &amp; Descriptions'!A:A,'[1]SIG Job Families &amp; Descriptions'!G:G)</f>
        <v>Performs preventive maintenance and repairs on equipment and systems (e.g., mechanical, electrical). 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v>
      </c>
      <c r="Q58" s="39" t="str">
        <f>_xlfn.XLOOKUP(E58,'[1]2022 GI Position Descriptions'!E:E,'[1]2022 GI Position Descriptions'!G:G)</f>
        <v>Performs preventive maintenance and repairs on equipment and systems (e.g., mechanical, electrical) | Evaluates and recommends equipment improvements to improve availability, capability and yield | Performs equipment failure analyses (including preventive and unscheduled maintenance) | Troubleshoots and diagnoses equipment problems | Prepares technical reports to document equipment modifications and equipment maintenance procedures</v>
      </c>
      <c r="R58" s="22" t="str">
        <f>IF(LEFT(J58,1)="E","EX",LEFT(J58,1))</f>
        <v>P</v>
      </c>
      <c r="S58" s="22" t="str">
        <f>_xlfn.XLOOKUP($R58,'[1]Career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8" s="22" t="str">
        <f>J58</f>
        <v>P2</v>
      </c>
      <c r="U58" s="40" t="str">
        <f t="shared" si="1"/>
        <v>P2</v>
      </c>
      <c r="V58" s="22" t="str">
        <f>_xlfn.XLOOKUP(T58,'[1]Career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58" s="41" t="str">
        <f>J58&amp;"-"&amp;G58</f>
        <v>P2-09</v>
      </c>
      <c r="X58" s="42" t="str">
        <f>G58</f>
        <v>09</v>
      </c>
      <c r="Y58" s="22" t="str">
        <f>_xlfn.XLOOKUP(W58,'[1]Career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58" s="43" t="str">
        <f>IFERROR(O58&amp;" - "&amp;G58,"--")</f>
        <v>Senior Specialist Maintenance Engineering - 09</v>
      </c>
      <c r="AA58" s="44" t="str">
        <f>_xlfn.XLOOKUP($H58,'[1]SIG Qualifications Input'!$D:$D,'[1]SIG Qualifications Input'!$H:$H)</f>
        <v>University degree or equivalent and 2-4 years of work experience or equivalent</v>
      </c>
    </row>
    <row r="59" spans="1:27" ht="141" thickBot="1" x14ac:dyDescent="0.2">
      <c r="A59" s="34" t="str">
        <f>_xlfn.XLOOKUP(C59,'[1]SIG Job Families &amp; Descriptions'!F:F,'[1]SIG Job Families &amp; Descriptions'!B:B)</f>
        <v>Engineering</v>
      </c>
      <c r="B59" s="34" t="str">
        <f>_xlfn.XLOOKUP(C59,'[1]SIG Job Families &amp; Descriptions'!F:F,'[1]SIG Job Families &amp; Descriptions'!D:D)</f>
        <v xml:space="preserve">Maintenance Engineering </v>
      </c>
      <c r="C59" s="34" t="s">
        <v>49</v>
      </c>
      <c r="D59" s="30" t="str">
        <f t="shared" si="0"/>
        <v>AZT</v>
      </c>
      <c r="E59" s="31" t="str">
        <f>_xlfn.XLOOKUP(C59,'[1]SIG Job Families &amp; Descriptions'!F:F,'[1]SIG Job Families &amp; Descriptions'!A:A)</f>
        <v>AZT010</v>
      </c>
      <c r="F59" s="32" t="s">
        <v>50</v>
      </c>
      <c r="G59" s="33" t="s">
        <v>36</v>
      </c>
      <c r="H59" s="34" t="str">
        <f>F59&amp;"-"&amp;G59</f>
        <v>Operations-10</v>
      </c>
      <c r="I59" s="35" t="str">
        <f>IF(ISERROR(_xlfn.XLOOKUP(H59,'[1]SIG Level Structure'!D:D,'[1]SIG Level Structure'!D:D)),"0","1")</f>
        <v>1</v>
      </c>
      <c r="J59" s="36" t="str">
        <f>_xlfn.XLOOKUP($H59,'[1]SIG Level Structure'!$D:$D,'[1]SIG Level Structure'!F:F)</f>
        <v>T4</v>
      </c>
      <c r="K59" s="37" t="str">
        <f>E59&amp;"-"&amp;J59&amp;"-"&amp;G59</f>
        <v>AZT010-T4-10</v>
      </c>
      <c r="L59" s="37" t="str">
        <f>IFERROR(D59&amp;"-"&amp;LEFT(J59,1),"--")</f>
        <v>AZT-T</v>
      </c>
      <c r="M59" s="37" t="str">
        <f>VLOOKUP(L59,'[1]Compatible JC'!$A:$A,1,FALSE)</f>
        <v>AZT-T</v>
      </c>
      <c r="N59" s="37" t="str">
        <f>IFERROR(_xlfn.XLOOKUP(H59,'[1]SIG Level Structure'!D:D,'[1]SIG Level Structure'!C:C),"--")</f>
        <v>Senior Technician</v>
      </c>
      <c r="O59" s="38" t="str">
        <f>IFERROR(TRIM(N59&amp;" "&amp;C59),"--")</f>
        <v>Senior Technician Maintenance Engineering</v>
      </c>
      <c r="P59" s="22" t="str">
        <f>_xlfn.XLOOKUP(E59,'[1]SIG Job Families &amp; Descriptions'!A:A,'[1]SIG Job Families &amp; Descriptions'!G:G)</f>
        <v>Performs preventive maintenance and repairs on equipment and systems (e.g., mechanical, electrical). 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v>
      </c>
      <c r="Q59" s="39" t="str">
        <f>_xlfn.XLOOKUP(E59,'[1]2022 GI Position Descriptions'!E:E,'[1]2022 GI Position Descriptions'!G:G)</f>
        <v>Performs preventive maintenance and repairs on equipment and systems (e.g., mechanical, electrical) | Evaluates and recommends equipment improvements to improve availability, capability and yield | Performs equipment failure analyses (including preventive and unscheduled maintenance) | Troubleshoots and diagnoses equipment problems | Prepares technical reports to document equipment modifications and equipment maintenance procedures</v>
      </c>
      <c r="R59" s="22" t="str">
        <f>IF(LEFT(J59,1)="E","EX",LEFT(J59,1))</f>
        <v>T</v>
      </c>
      <c r="S59" s="22" t="str">
        <f>_xlfn.XLOOKUP($R59,'[1]Career Bands &amp; Levels'!A:A,'[1]Career Bands &amp; Levels'!C:C)</f>
        <v>● Performs specialized technical tasks required to support operations (e.g., IT development, research support, skilled trade)
● Requires vocational training or the equivalent experience and may require external certification but typically does not require a university degree</v>
      </c>
      <c r="T59" s="22" t="str">
        <f>J59</f>
        <v>T4</v>
      </c>
      <c r="U59" s="40" t="str">
        <f t="shared" si="1"/>
        <v>T4</v>
      </c>
      <c r="V59" s="22" t="str">
        <f>_xlfn.XLOOKUP(T59,'[1]Career Bands &amp; Levels'!A:A,'[1]Career Bands &amp; Levels'!C:C)</f>
        <v xml:space="preserve">●	Has advanced and specialized expertise, typically developed through a combination of job-related training and considerable work experience		
●	Proposes improvements to processes		
●	May act as a lead, coordinating and facilitating the work of others but is not a supervisor		
●	Works autonomously within established procedures and practices		
●	Spends a majority of working time performing the same work processes and activities as employees on team		</v>
      </c>
      <c r="W59" s="41" t="str">
        <f>J59&amp;"-"&amp;G59</f>
        <v>T4-10</v>
      </c>
      <c r="X59" s="42" t="str">
        <f>G59</f>
        <v>10</v>
      </c>
      <c r="Y59" s="22" t="str">
        <f>_xlfn.XLOOKUP(W59,'[1]Career Bands &amp; Levels'!A:A,'[1]Career Bands &amp; Levels'!C:C,"No Grade Differentiator")</f>
        <v xml:space="preserve">●	Performs a variety of the most complex tasks and/or may lead one or more teams		
●	Analyzes the most complex technical problems and delivers solutions where precedent may not exist		</v>
      </c>
      <c r="Z59" s="43" t="str">
        <f>IFERROR(O59&amp;" - "&amp;G59,"--")</f>
        <v>Senior Technician Maintenance Engineering - 10</v>
      </c>
      <c r="AA59" s="44" t="str">
        <f>_xlfn.XLOOKUP($H59,'[1]SIG Qualifications Input'!$D:$D,'[1]SIG Qualifications Input'!$H:$H)</f>
        <v>Typically an Associate’s degree or 2 to 4 years of vocational technical training preferred. HS diploma or equivalent required. Specialized skill training/certification often required to meet specific needs. Deep and specialized practical experience required, often more then 10 years.</v>
      </c>
    </row>
    <row r="60" spans="1:27" ht="141" thickBot="1" x14ac:dyDescent="0.2">
      <c r="A60" s="34" t="str">
        <f>_xlfn.XLOOKUP(C60,'[1]SIG Job Families &amp; Descriptions'!F:F,'[1]SIG Job Families &amp; Descriptions'!B:B)</f>
        <v>Engineering</v>
      </c>
      <c r="B60" s="34" t="str">
        <f>_xlfn.XLOOKUP(C60,'[1]SIG Job Families &amp; Descriptions'!F:F,'[1]SIG Job Families &amp; Descriptions'!D:D)</f>
        <v xml:space="preserve">Maintenance Engineering </v>
      </c>
      <c r="C60" s="34" t="s">
        <v>49</v>
      </c>
      <c r="D60" s="30" t="str">
        <f t="shared" si="0"/>
        <v>AZT</v>
      </c>
      <c r="E60" s="31" t="str">
        <f>_xlfn.XLOOKUP(C60,'[1]SIG Job Families &amp; Descriptions'!F:F,'[1]SIG Job Families &amp; Descriptions'!A:A)</f>
        <v>AZT010</v>
      </c>
      <c r="F60" s="32" t="s">
        <v>50</v>
      </c>
      <c r="G60" s="33" t="s">
        <v>37</v>
      </c>
      <c r="H60" s="34" t="str">
        <f>F60&amp;"-"&amp;G60</f>
        <v>Operations-09</v>
      </c>
      <c r="I60" s="35" t="str">
        <f>IF(ISERROR(_xlfn.XLOOKUP(H60,'[1]SIG Level Structure'!D:D,'[1]SIG Level Structure'!D:D)),"0","1")</f>
        <v>1</v>
      </c>
      <c r="J60" s="36" t="str">
        <f>_xlfn.XLOOKUP($H60,'[1]SIG Level Structure'!$D:$D,'[1]SIG Level Structure'!F:F)</f>
        <v>T4</v>
      </c>
      <c r="K60" s="37" t="str">
        <f>E60&amp;"-"&amp;J60&amp;"-"&amp;G60</f>
        <v>AZT010-T4-09</v>
      </c>
      <c r="L60" s="37" t="str">
        <f>IFERROR(D60&amp;"-"&amp;LEFT(J60,1),"--")</f>
        <v>AZT-T</v>
      </c>
      <c r="M60" s="37" t="str">
        <f>VLOOKUP(L60,'[1]Compatible JC'!$A:$A,1,FALSE)</f>
        <v>AZT-T</v>
      </c>
      <c r="N60" s="37" t="str">
        <f>IFERROR(_xlfn.XLOOKUP(H60,'[1]SIG Level Structure'!D:D,'[1]SIG Level Structure'!C:C),"--")</f>
        <v>Technician</v>
      </c>
      <c r="O60" s="38" t="str">
        <f>IFERROR(TRIM(N60&amp;" "&amp;C60),"--")</f>
        <v>Technician Maintenance Engineering</v>
      </c>
      <c r="P60" s="22" t="str">
        <f>_xlfn.XLOOKUP(E60,'[1]SIG Job Families &amp; Descriptions'!A:A,'[1]SIG Job Families &amp; Descriptions'!G:G)</f>
        <v>Performs preventive maintenance and repairs on equipment and systems (e.g., mechanical, electrical). 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v>
      </c>
      <c r="Q60" s="39" t="str">
        <f>_xlfn.XLOOKUP(E60,'[1]2022 GI Position Descriptions'!E:E,'[1]2022 GI Position Descriptions'!G:G)</f>
        <v>Performs preventive maintenance and repairs on equipment and systems (e.g., mechanical, electrical) | Evaluates and recommends equipment improvements to improve availability, capability and yield | Performs equipment failure analyses (including preventive and unscheduled maintenance) | Troubleshoots and diagnoses equipment problems | Prepares technical reports to document equipment modifications and equipment maintenance procedures</v>
      </c>
      <c r="R60" s="22" t="str">
        <f>IF(LEFT(J60,1)="E","EX",LEFT(J60,1))</f>
        <v>T</v>
      </c>
      <c r="S60" s="22" t="str">
        <f>_xlfn.XLOOKUP($R60,'[1]Career Bands &amp; Levels'!A:A,'[1]Career Bands &amp; Levels'!C:C)</f>
        <v>● Performs specialized technical tasks required to support operations (e.g., IT development, research support, skilled trade)
● Requires vocational training or the equivalent experience and may require external certification but typically does not require a university degree</v>
      </c>
      <c r="T60" s="22" t="str">
        <f>J60</f>
        <v>T4</v>
      </c>
      <c r="U60" s="40" t="str">
        <f t="shared" si="1"/>
        <v>T4</v>
      </c>
      <c r="V60" s="22" t="str">
        <f>_xlfn.XLOOKUP(T60,'[1]Career Bands &amp; Levels'!A:A,'[1]Career Bands &amp; Levels'!C:C)</f>
        <v xml:space="preserve">●	Has advanced and specialized expertise, typically developed through a combination of job-related training and considerable work experience		
●	Proposes improvements to processes		
●	May act as a lead, coordinating and facilitating the work of others but is not a supervisor		
●	Works autonomously within established procedures and practices		
●	Spends a majority of working time performing the same work processes and activities as employees on team		</v>
      </c>
      <c r="W60" s="41" t="str">
        <f>J60&amp;"-"&amp;G60</f>
        <v>T4-09</v>
      </c>
      <c r="X60" s="42" t="str">
        <f>G60</f>
        <v>09</v>
      </c>
      <c r="Y60" s="22" t="str">
        <f>_xlfn.XLOOKUP(W60,'[1]Career Bands &amp; Levels'!A:A,'[1]Career Bands &amp; Levels'!C:C,"No Grade Differentiator")</f>
        <v xml:space="preserve">●	Performs a variety of complex tasks and/or may lead a team in the performance of a variety of tasks that are often routine		
●	Solves complex problems of a recurring nature		</v>
      </c>
      <c r="Z60" s="43" t="str">
        <f>IFERROR(O60&amp;" - "&amp;G60,"--")</f>
        <v>Technician Maintenance Engineering - 09</v>
      </c>
      <c r="AA60" s="44" t="str">
        <f>_xlfn.XLOOKUP($H60,'[1]SIG Qualifications Input'!$D:$D,'[1]SIG Qualifications Input'!$H:$H)</f>
        <v>Typically an Associate’s degree or 2 to 4 years of vocational technical training preferred. HS diploma or equivalent required. Specialized skill training/certification often required to meet specific needs. Up to 8 years of experience.</v>
      </c>
    </row>
    <row r="61" spans="1:27" ht="141" thickBot="1" x14ac:dyDescent="0.2">
      <c r="A61" s="34" t="str">
        <f>_xlfn.XLOOKUP(C61,'[1]SIG Job Families &amp; Descriptions'!F:F,'[1]SIG Job Families &amp; Descriptions'!B:B)</f>
        <v>Engineering</v>
      </c>
      <c r="B61" s="34" t="str">
        <f>_xlfn.XLOOKUP(C61,'[1]SIG Job Families &amp; Descriptions'!F:F,'[1]SIG Job Families &amp; Descriptions'!D:D)</f>
        <v xml:space="preserve">Maintenance Engineering </v>
      </c>
      <c r="C61" s="34" t="s">
        <v>49</v>
      </c>
      <c r="D61" s="30" t="str">
        <f t="shared" si="0"/>
        <v>AZT</v>
      </c>
      <c r="E61" s="31" t="str">
        <f>_xlfn.XLOOKUP(C61,'[1]SIG Job Families &amp; Descriptions'!F:F,'[1]SIG Job Families &amp; Descriptions'!A:A)</f>
        <v>AZT010</v>
      </c>
      <c r="F61" s="32" t="s">
        <v>51</v>
      </c>
      <c r="G61" s="33" t="s">
        <v>43</v>
      </c>
      <c r="H61" s="34" t="str">
        <f>F61&amp;"-"&amp;G61</f>
        <v>Operations / Technician-08</v>
      </c>
      <c r="I61" s="35" t="str">
        <f>IF(ISERROR(_xlfn.XLOOKUP(H61,'[1]SIG Level Structure'!D:D,'[1]SIG Level Structure'!D:D)),"0","1")</f>
        <v>1</v>
      </c>
      <c r="J61" s="36" t="str">
        <f>_xlfn.XLOOKUP($H61,'[1]SIG Level Structure'!$D:$D,'[1]SIG Level Structure'!F:F)</f>
        <v>T3</v>
      </c>
      <c r="K61" s="37" t="str">
        <f>E61&amp;"-"&amp;J61&amp;"-"&amp;G61</f>
        <v>AZT010-T3-08</v>
      </c>
      <c r="L61" s="37" t="str">
        <f>IFERROR(D61&amp;"-"&amp;LEFT(J61,1),"--")</f>
        <v>AZT-T</v>
      </c>
      <c r="M61" s="37" t="str">
        <f>VLOOKUP(L61,'[1]Compatible JC'!$A:$A,1,FALSE)</f>
        <v>AZT-T</v>
      </c>
      <c r="N61" s="37" t="str">
        <f>IFERROR(_xlfn.XLOOKUP(H61,'[1]SIG Level Structure'!D:D,'[1]SIG Level Structure'!C:C),"--")</f>
        <v>Technician</v>
      </c>
      <c r="O61" s="38" t="str">
        <f>IFERROR(TRIM(N61&amp;" "&amp;C61),"--")</f>
        <v>Technician Maintenance Engineering</v>
      </c>
      <c r="P61" s="22" t="str">
        <f>_xlfn.XLOOKUP(E61,'[1]SIG Job Families &amp; Descriptions'!A:A,'[1]SIG Job Families &amp; Descriptions'!G:G)</f>
        <v>Performs preventive maintenance and repairs on equipment and systems (e.g., mechanical, electrical). 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v>
      </c>
      <c r="Q61" s="39" t="str">
        <f>_xlfn.XLOOKUP(E61,'[1]2022 GI Position Descriptions'!E:E,'[1]2022 GI Position Descriptions'!G:G)</f>
        <v>Performs preventive maintenance and repairs on equipment and systems (e.g., mechanical, electrical) | Evaluates and recommends equipment improvements to improve availability, capability and yield | Performs equipment failure analyses (including preventive and unscheduled maintenance) | Troubleshoots and diagnoses equipment problems | Prepares technical reports to document equipment modifications and equipment maintenance procedures</v>
      </c>
      <c r="R61" s="22" t="str">
        <f>IF(LEFT(J61,1)="E","EX",LEFT(J61,1))</f>
        <v>T</v>
      </c>
      <c r="S61" s="22" t="str">
        <f>_xlfn.XLOOKUP($R61,'[1]Career Bands &amp; Levels'!A:A,'[1]Career Bands &amp; Levels'!C:C)</f>
        <v>● Performs specialized technical tasks required to support operations (e.g., IT development, research support, skilled trade)
● Requires vocational training or the equivalent experience and may require external certification but typically does not require a university degree</v>
      </c>
      <c r="T61" s="22" t="str">
        <f>J61</f>
        <v>T3</v>
      </c>
      <c r="U61" s="40" t="str">
        <f t="shared" si="1"/>
        <v>T3</v>
      </c>
      <c r="V61" s="22" t="str">
        <f>_xlfn.XLOOKUP(T61,'[1]Career Bands &amp; Levels'!A:A,'[1]Career Bands &amp; Levels'!C:C)</f>
        <v xml:space="preserve">●	Has full proficiency in a range of technical processes or procedures (or deep skills in a single area) through job-related training and considerable work experience		
●	Completes a variety of atypical assignments		
●	Works within defined technical processes and procedures or methodologies and may help determine the appropriate approach for new assignments		
●	Works with a limited degree of supervision, with oversight focused only on complex new assignments		
●	Acts as an informal resource for colleagues with less experience		</v>
      </c>
      <c r="W61" s="41" t="str">
        <f>J61&amp;"-"&amp;G61</f>
        <v>T3-08</v>
      </c>
      <c r="X61" s="42" t="str">
        <f>G61</f>
        <v>08</v>
      </c>
      <c r="Y61" s="22" t="str">
        <f>_xlfn.XLOOKUP(W61,'[1]Career Bands &amp; Levels'!A:A,'[1]Career Bands &amp; Levels'!C:C,"No Grade Differentiator")</f>
        <v xml:space="preserve">●	Performs highly complex and varied tasks		
●	Typically has specialized external certification		
●	Guides and supports junior team members; may assist in their formal orientation and training		</v>
      </c>
      <c r="Z61" s="43" t="str">
        <f>IFERROR(O61&amp;" - "&amp;G61,"--")</f>
        <v>Technician Maintenance Engineering - 08</v>
      </c>
      <c r="AA61" s="44" t="str">
        <f>_xlfn.XLOOKUP($H61,'[1]SIG Qualifications Input'!$D:$D,'[1]SIG Qualifications Input'!$H:$H)</f>
        <v>Typically an Associate’s degree or 2 to 4 years of vocational technical training preferred. HS diploma or equivalent required. Specialized skill training/certification often required to meet specific needs. Up to 8 years of experience.</v>
      </c>
    </row>
    <row r="62" spans="1:27" ht="141" thickBot="1" x14ac:dyDescent="0.2">
      <c r="A62" s="34" t="str">
        <f>_xlfn.XLOOKUP(C62,'[1]SIG Job Families &amp; Descriptions'!F:F,'[1]SIG Job Families &amp; Descriptions'!B:B)</f>
        <v>Engineering</v>
      </c>
      <c r="B62" s="34" t="str">
        <f>_xlfn.XLOOKUP(C62,'[1]SIG Job Families &amp; Descriptions'!F:F,'[1]SIG Job Families &amp; Descriptions'!D:D)</f>
        <v xml:space="preserve">Maintenance Engineering </v>
      </c>
      <c r="C62" s="34" t="s">
        <v>49</v>
      </c>
      <c r="D62" s="30" t="str">
        <f t="shared" si="0"/>
        <v>AZT</v>
      </c>
      <c r="E62" s="31" t="str">
        <f>_xlfn.XLOOKUP(C62,'[1]SIG Job Families &amp; Descriptions'!F:F,'[1]SIG Job Families &amp; Descriptions'!A:A)</f>
        <v>AZT010</v>
      </c>
      <c r="F62" s="32" t="s">
        <v>51</v>
      </c>
      <c r="G62" s="33" t="s">
        <v>52</v>
      </c>
      <c r="H62" s="34" t="str">
        <f>F62&amp;"-"&amp;G62</f>
        <v>Operations / Technician-07</v>
      </c>
      <c r="I62" s="35" t="str">
        <f>IF(ISERROR(_xlfn.XLOOKUP(H62,'[1]SIG Level Structure'!D:D,'[1]SIG Level Structure'!D:D)),"0","1")</f>
        <v>1</v>
      </c>
      <c r="J62" s="36" t="str">
        <f>_xlfn.XLOOKUP($H62,'[1]SIG Level Structure'!$D:$D,'[1]SIG Level Structure'!F:F)</f>
        <v>T3</v>
      </c>
      <c r="K62" s="37" t="str">
        <f>E62&amp;"-"&amp;J62&amp;"-"&amp;G62</f>
        <v>AZT010-T3-07</v>
      </c>
      <c r="L62" s="37" t="str">
        <f>IFERROR(D62&amp;"-"&amp;LEFT(J62,1),"--")</f>
        <v>AZT-T</v>
      </c>
      <c r="M62" s="37" t="str">
        <f>VLOOKUP(L62,'[1]Compatible JC'!$A:$A,1,FALSE)</f>
        <v>AZT-T</v>
      </c>
      <c r="N62" s="37" t="str">
        <f>IFERROR(_xlfn.XLOOKUP(H62,'[1]SIG Level Structure'!D:D,'[1]SIG Level Structure'!C:C),"--")</f>
        <v>Technician</v>
      </c>
      <c r="O62" s="38" t="str">
        <f>IFERROR(TRIM(N62&amp;" "&amp;C62),"--")</f>
        <v>Technician Maintenance Engineering</v>
      </c>
      <c r="P62" s="22" t="str">
        <f>_xlfn.XLOOKUP(E62,'[1]SIG Job Families &amp; Descriptions'!A:A,'[1]SIG Job Families &amp; Descriptions'!G:G)</f>
        <v>Performs preventive maintenance and repairs on equipment and systems (e.g., mechanical, electrical). 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v>
      </c>
      <c r="Q62" s="39" t="str">
        <f>_xlfn.XLOOKUP(E62,'[1]2022 GI Position Descriptions'!E:E,'[1]2022 GI Position Descriptions'!G:G)</f>
        <v>Performs preventive maintenance and repairs on equipment and systems (e.g., mechanical, electrical) | Evaluates and recommends equipment improvements to improve availability, capability and yield | Performs equipment failure analyses (including preventive and unscheduled maintenance) | Troubleshoots and diagnoses equipment problems | Prepares technical reports to document equipment modifications and equipment maintenance procedures</v>
      </c>
      <c r="R62" s="22" t="str">
        <f>IF(LEFT(J62,1)="E","EX",LEFT(J62,1))</f>
        <v>T</v>
      </c>
      <c r="S62" s="22" t="str">
        <f>_xlfn.XLOOKUP($R62,'[1]Career Bands &amp; Levels'!A:A,'[1]Career Bands &amp; Levels'!C:C)</f>
        <v>● Performs specialized technical tasks required to support operations (e.g., IT development, research support, skilled trade)
● Requires vocational training or the equivalent experience and may require external certification but typically does not require a university degree</v>
      </c>
      <c r="T62" s="22" t="str">
        <f>J62</f>
        <v>T3</v>
      </c>
      <c r="U62" s="40" t="str">
        <f t="shared" si="1"/>
        <v>T3</v>
      </c>
      <c r="V62" s="22" t="str">
        <f>_xlfn.XLOOKUP(T62,'[1]Career Bands &amp; Levels'!A:A,'[1]Career Bands &amp; Levels'!C:C)</f>
        <v xml:space="preserve">●	Has full proficiency in a range of technical processes or procedures (or deep skills in a single area) through job-related training and considerable work experience		
●	Completes a variety of atypical assignments		
●	Works within defined technical processes and procedures or methodologies and may help determine the appropriate approach for new assignments		
●	Works with a limited degree of supervision, with oversight focused only on complex new assignments		
●	Acts as an informal resource for colleagues with less experience		</v>
      </c>
      <c r="W62" s="41" t="str">
        <f>J62&amp;"-"&amp;G62</f>
        <v>T3-07</v>
      </c>
      <c r="X62" s="42" t="str">
        <f>G62</f>
        <v>07</v>
      </c>
      <c r="Y62" s="22" t="str">
        <f>_xlfn.XLOOKUP(W62,'[1]Career Bands &amp; Levels'!A:A,'[1]Career Bands &amp; Levels'!C:C,"No Grade Differentiator")</f>
        <v xml:space="preserve">●	Performs moderately complex and varied tasks		
●	May have specialized external certification		
●	Guides junior team members		</v>
      </c>
      <c r="Z62" s="43" t="str">
        <f>IFERROR(O62&amp;" - "&amp;G62,"--")</f>
        <v>Technician Maintenance Engineering - 07</v>
      </c>
      <c r="AA62" s="44" t="str">
        <f>_xlfn.XLOOKUP($H62,'[1]SIG Qualifications Input'!$D:$D,'[1]SIG Qualifications Input'!$H:$H)</f>
        <v>Typically an Associate’s degree or 2 to 4 years of vocational technical training preferred. HS diploma or equivalent required. Specialized skill training/certification often required to meet specific needs. Up to 8 years of experience.</v>
      </c>
    </row>
    <row r="63" spans="1:27" ht="141" thickBot="1" x14ac:dyDescent="0.2">
      <c r="A63" s="34" t="str">
        <f>_xlfn.XLOOKUP(C63,'[1]SIG Job Families &amp; Descriptions'!F:F,'[1]SIG Job Families &amp; Descriptions'!B:B)</f>
        <v>Engineering</v>
      </c>
      <c r="B63" s="34" t="str">
        <f>_xlfn.XLOOKUP(C63,'[1]SIG Job Families &amp; Descriptions'!F:F,'[1]SIG Job Families &amp; Descriptions'!D:D)</f>
        <v xml:space="preserve">Maintenance Engineering </v>
      </c>
      <c r="C63" s="34" t="s">
        <v>49</v>
      </c>
      <c r="D63" s="30" t="str">
        <f t="shared" si="0"/>
        <v>AZT</v>
      </c>
      <c r="E63" s="31" t="str">
        <f>_xlfn.XLOOKUP(C63,'[1]SIG Job Families &amp; Descriptions'!F:F,'[1]SIG Job Families &amp; Descriptions'!A:A)</f>
        <v>AZT010</v>
      </c>
      <c r="F63" s="32" t="s">
        <v>50</v>
      </c>
      <c r="G63" s="33" t="s">
        <v>53</v>
      </c>
      <c r="H63" s="34" t="str">
        <f>F63&amp;"-"&amp;G63</f>
        <v>Operations-06</v>
      </c>
      <c r="I63" s="35" t="str">
        <f>IF(ISERROR(_xlfn.XLOOKUP(H63,'[1]SIG Level Structure'!D:D,'[1]SIG Level Structure'!D:D)),"0","1")</f>
        <v>1</v>
      </c>
      <c r="J63" s="36" t="str">
        <f>_xlfn.XLOOKUP($H63,'[1]SIG Level Structure'!$D:$D,'[1]SIG Level Structure'!F:F)</f>
        <v>W3</v>
      </c>
      <c r="K63" s="37" t="str">
        <f>E63&amp;"-"&amp;J63&amp;"-"&amp;G63</f>
        <v>AZT010-W3-06</v>
      </c>
      <c r="L63" s="37" t="str">
        <f>IFERROR(D63&amp;"-"&amp;LEFT(J63,1),"--")</f>
        <v>AZT-W</v>
      </c>
      <c r="M63" s="37" t="str">
        <f>VLOOKUP(L63,'[1]Compatible JC'!$A:$A,1,FALSE)</f>
        <v>AZT-W</v>
      </c>
      <c r="N63" s="37" t="str">
        <f>IFERROR(_xlfn.XLOOKUP(H63,'[1]SIG Level Structure'!D:D,'[1]SIG Level Structure'!C:C),"--")</f>
        <v>Operator</v>
      </c>
      <c r="O63" s="38" t="str">
        <f>IFERROR(TRIM(N63&amp;" "&amp;C63),"--")</f>
        <v>Operator Maintenance Engineering</v>
      </c>
      <c r="P63" s="22" t="str">
        <f>_xlfn.XLOOKUP(E63,'[1]SIG Job Families &amp; Descriptions'!A:A,'[1]SIG Job Families &amp; Descriptions'!G:G)</f>
        <v>Performs preventive maintenance and repairs on equipment and systems (e.g., mechanical, electrical). 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v>
      </c>
      <c r="Q63" s="39" t="str">
        <f>_xlfn.XLOOKUP(E63,'[1]2022 GI Position Descriptions'!E:E,'[1]2022 GI Position Descriptions'!G:G)</f>
        <v>Performs preventive maintenance and repairs on equipment and systems (e.g., mechanical, electrical) | Evaluates and recommends equipment improvements to improve availability, capability and yield | Performs equipment failure analyses (including preventive and unscheduled maintenance) | Troubleshoots and diagnoses equipment problems | Prepares technical reports to document equipment modifications and equipment maintenance procedures</v>
      </c>
      <c r="R63" s="22" t="str">
        <f>IF(LEFT(J63,1)="E","EX",LEFT(J63,1))</f>
        <v>W</v>
      </c>
      <c r="S63" s="22" t="str">
        <f>_xlfn.XLOOKUP($R63,'[1]Career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63" s="22" t="str">
        <f>J63</f>
        <v>W3</v>
      </c>
      <c r="U63" s="40" t="str">
        <f t="shared" si="1"/>
        <v>W3</v>
      </c>
      <c r="V63" s="22" t="str">
        <f>_xlfn.XLOOKUP(T63,'[1]Career Bands &amp; Levels'!A:A,'[1]Career Bands &amp; Levels'!C:C)</f>
        <v xml:space="preserve">●	Has proficiency through job-related training and considerable work experience		
●	Completes work with a limited degree of supervision; regularly provides guidance to others with less experience		
●	May act as an informal resource for colleagues with less experience		</v>
      </c>
      <c r="W63" s="41" t="str">
        <f>J63&amp;"-"&amp;G63</f>
        <v>W3-06</v>
      </c>
      <c r="X63" s="42" t="str">
        <f>G63</f>
        <v>06</v>
      </c>
      <c r="Y63" s="22" t="str">
        <f>_xlfn.XLOOKUP(W63,'[1]Career Bands &amp; Levels'!A:A,'[1]Career Bands &amp; Levels'!C:C,"No Grade Differentiator")</f>
        <v>No Grade Differentiator</v>
      </c>
      <c r="Z63" s="43" t="str">
        <f>IFERROR(O63&amp;" - "&amp;G63,"--")</f>
        <v>Operator Maintenance Engineering - 06</v>
      </c>
      <c r="AA63" s="44" t="str">
        <f>_xlfn.XLOOKUP($H63,'[1]SIG Qualifications Input'!$D:$D,'[1]SIG Qualifications Input'!$H:$H)</f>
        <v>Vocational training in e.g. manual or technical  field or equivalent work experience. 0-4 years of experience</v>
      </c>
    </row>
    <row r="64" spans="1:27" ht="141" thickBot="1" x14ac:dyDescent="0.2">
      <c r="A64" s="34" t="str">
        <f>_xlfn.XLOOKUP(C64,'[1]SIG Job Families &amp; Descriptions'!F:F,'[1]SIG Job Families &amp; Descriptions'!B:B)</f>
        <v>Engineering</v>
      </c>
      <c r="B64" s="34" t="str">
        <f>_xlfn.XLOOKUP(C64,'[1]SIG Job Families &amp; Descriptions'!F:F,'[1]SIG Job Families &amp; Descriptions'!D:D)</f>
        <v xml:space="preserve">Maintenance Engineering </v>
      </c>
      <c r="C64" s="34" t="s">
        <v>49</v>
      </c>
      <c r="D64" s="30" t="str">
        <f t="shared" si="0"/>
        <v>AZT</v>
      </c>
      <c r="E64" s="31" t="str">
        <f>_xlfn.XLOOKUP(C64,'[1]SIG Job Families &amp; Descriptions'!F:F,'[1]SIG Job Families &amp; Descriptions'!A:A)</f>
        <v>AZT010</v>
      </c>
      <c r="F64" s="32" t="s">
        <v>50</v>
      </c>
      <c r="G64" s="33" t="s">
        <v>54</v>
      </c>
      <c r="H64" s="34" t="str">
        <f>F64&amp;"-"&amp;G64</f>
        <v>Operations-05</v>
      </c>
      <c r="I64" s="35" t="str">
        <f>IF(ISERROR(_xlfn.XLOOKUP(H64,'[1]SIG Level Structure'!D:D,'[1]SIG Level Structure'!D:D)),"0","1")</f>
        <v>1</v>
      </c>
      <c r="J64" s="36" t="str">
        <f>_xlfn.XLOOKUP($H64,'[1]SIG Level Structure'!$D:$D,'[1]SIG Level Structure'!F:F)</f>
        <v>W2</v>
      </c>
      <c r="K64" s="37" t="str">
        <f>E64&amp;"-"&amp;J64&amp;"-"&amp;G64</f>
        <v>AZT010-W2-05</v>
      </c>
      <c r="L64" s="37" t="str">
        <f>IFERROR(D64&amp;"-"&amp;LEFT(J64,1),"--")</f>
        <v>AZT-W</v>
      </c>
      <c r="M64" s="37" t="str">
        <f>VLOOKUP(L64,'[1]Compatible JC'!$A:$A,1,FALSE)</f>
        <v>AZT-W</v>
      </c>
      <c r="N64" s="37" t="str">
        <f>IFERROR(_xlfn.XLOOKUP(H64,'[1]SIG Level Structure'!D:D,'[1]SIG Level Structure'!C:C),"--")</f>
        <v>Operator</v>
      </c>
      <c r="O64" s="38" t="str">
        <f>IFERROR(TRIM(N64&amp;" "&amp;C64),"--")</f>
        <v>Operator Maintenance Engineering</v>
      </c>
      <c r="P64" s="22" t="str">
        <f>_xlfn.XLOOKUP(E64,'[1]SIG Job Families &amp; Descriptions'!A:A,'[1]SIG Job Families &amp; Descriptions'!G:G)</f>
        <v>Performs preventive maintenance and repairs on equipment and systems (e.g., mechanical, electrical). 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v>
      </c>
      <c r="Q64" s="39" t="str">
        <f>_xlfn.XLOOKUP(E64,'[1]2022 GI Position Descriptions'!E:E,'[1]2022 GI Position Descriptions'!G:G)</f>
        <v>Performs preventive maintenance and repairs on equipment and systems (e.g., mechanical, electrical) | Evaluates and recommends equipment improvements to improve availability, capability and yield | Performs equipment failure analyses (including preventive and unscheduled maintenance) | Troubleshoots and diagnoses equipment problems | Prepares technical reports to document equipment modifications and equipment maintenance procedures</v>
      </c>
      <c r="R64" s="22" t="str">
        <f>IF(LEFT(J64,1)="E","EX",LEFT(J64,1))</f>
        <v>W</v>
      </c>
      <c r="S64" s="22" t="str">
        <f>_xlfn.XLOOKUP($R64,'[1]Career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64" s="22" t="str">
        <f>J64</f>
        <v>W2</v>
      </c>
      <c r="U64" s="40" t="str">
        <f t="shared" si="1"/>
        <v>W2</v>
      </c>
      <c r="V64" s="22" t="str">
        <f>_xlfn.XLOOKUP(T64,'[1]Career Bands &amp; Levels'!A:A,'[1]Career Bands &amp; Levels'!C:C)</f>
        <v xml:space="preserve">●	Has skills developed through formal training or work experience		
●	Works within established procedures and guidelines with limited ability to modify methods and approach		
●	Completes assigned tasks with a moderate degree of supervision		</v>
      </c>
      <c r="W64" s="41" t="str">
        <f>J64&amp;"-"&amp;G64</f>
        <v>W2-05</v>
      </c>
      <c r="X64" s="42" t="str">
        <f>G64</f>
        <v>05</v>
      </c>
      <c r="Y64" s="22" t="str">
        <f>_xlfn.XLOOKUP(W64,'[1]Career Bands &amp; Levels'!A:A,'[1]Career Bands &amp; Levels'!C:C,"No Grade Differentiator")</f>
        <v xml:space="preserve">●	Performs the full range of established procedures, and will typically be considered skilled through work experience		
●	Resolves routine issues without supervisory approval		</v>
      </c>
      <c r="Z64" s="43" t="str">
        <f>IFERROR(O64&amp;" - "&amp;G64,"--")</f>
        <v>Operator Maintenance Engineering - 05</v>
      </c>
      <c r="AA64" s="44" t="str">
        <f>_xlfn.XLOOKUP($H64,'[1]SIG Qualifications Input'!$D:$D,'[1]SIG Qualifications Input'!$H:$H)</f>
        <v>Vocational training in e.g. manual or technical  field or equivalent work experience. 0-4 years of experience</v>
      </c>
    </row>
    <row r="65" spans="1:27" ht="141" thickBot="1" x14ac:dyDescent="0.2">
      <c r="A65" s="34" t="str">
        <f>_xlfn.XLOOKUP(C65,'[1]SIG Job Families &amp; Descriptions'!F:F,'[1]SIG Job Families &amp; Descriptions'!B:B)</f>
        <v>Engineering</v>
      </c>
      <c r="B65" s="34" t="str">
        <f>_xlfn.XLOOKUP(C65,'[1]SIG Job Families &amp; Descriptions'!F:F,'[1]SIG Job Families &amp; Descriptions'!D:D)</f>
        <v xml:space="preserve">Maintenance Engineering </v>
      </c>
      <c r="C65" s="34" t="s">
        <v>49</v>
      </c>
      <c r="D65" s="30" t="str">
        <f t="shared" si="0"/>
        <v>AZT</v>
      </c>
      <c r="E65" s="31" t="str">
        <f>_xlfn.XLOOKUP(C65,'[1]SIG Job Families &amp; Descriptions'!F:F,'[1]SIG Job Families &amp; Descriptions'!A:A)</f>
        <v>AZT010</v>
      </c>
      <c r="F65" s="32" t="s">
        <v>50</v>
      </c>
      <c r="G65" s="33" t="s">
        <v>55</v>
      </c>
      <c r="H65" s="34" t="str">
        <f>F65&amp;"-"&amp;G65</f>
        <v>Operations-04</v>
      </c>
      <c r="I65" s="35" t="str">
        <f>IF(ISERROR(_xlfn.XLOOKUP(H65,'[1]SIG Level Structure'!D:D,'[1]SIG Level Structure'!D:D)),"0","1")</f>
        <v>1</v>
      </c>
      <c r="J65" s="36" t="str">
        <f>_xlfn.XLOOKUP($H65,'[1]SIG Level Structure'!$D:$D,'[1]SIG Level Structure'!F:F)</f>
        <v>W2</v>
      </c>
      <c r="K65" s="37" t="str">
        <f>E65&amp;"-"&amp;J65&amp;"-"&amp;G65</f>
        <v>AZT010-W2-04</v>
      </c>
      <c r="L65" s="37" t="str">
        <f>IFERROR(D65&amp;"-"&amp;LEFT(J65,1),"--")</f>
        <v>AZT-W</v>
      </c>
      <c r="M65" s="37" t="str">
        <f>VLOOKUP(L65,'[1]Compatible JC'!$A:$A,1,FALSE)</f>
        <v>AZT-W</v>
      </c>
      <c r="N65" s="37" t="str">
        <f>IFERROR(_xlfn.XLOOKUP(H65,'[1]SIG Level Structure'!D:D,'[1]SIG Level Structure'!C:C),"--")</f>
        <v>Operator</v>
      </c>
      <c r="O65" s="38" t="str">
        <f>IFERROR(TRIM(N65&amp;" "&amp;C65),"--")</f>
        <v>Operator Maintenance Engineering</v>
      </c>
      <c r="P65" s="22" t="str">
        <f>_xlfn.XLOOKUP(E65,'[1]SIG Job Families &amp; Descriptions'!A:A,'[1]SIG Job Families &amp; Descriptions'!G:G)</f>
        <v>Performs preventive maintenance and repairs on equipment and systems (e.g., mechanical, electrical). 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v>
      </c>
      <c r="Q65" s="39" t="str">
        <f>_xlfn.XLOOKUP(E65,'[1]2022 GI Position Descriptions'!E:E,'[1]2022 GI Position Descriptions'!G:G)</f>
        <v>Performs preventive maintenance and repairs on equipment and systems (e.g., mechanical, electrical) | Evaluates and recommends equipment improvements to improve availability, capability and yield | Performs equipment failure analyses (including preventive and unscheduled maintenance) | Troubleshoots and diagnoses equipment problems | Prepares technical reports to document equipment modifications and equipment maintenance procedures</v>
      </c>
      <c r="R65" s="22" t="str">
        <f>IF(LEFT(J65,1)="E","EX",LEFT(J65,1))</f>
        <v>W</v>
      </c>
      <c r="S65" s="22" t="str">
        <f>_xlfn.XLOOKUP($R65,'[1]Career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65" s="22" t="str">
        <f>J65</f>
        <v>W2</v>
      </c>
      <c r="U65" s="40" t="str">
        <f t="shared" si="1"/>
        <v>W2</v>
      </c>
      <c r="V65" s="22" t="str">
        <f>_xlfn.XLOOKUP(T65,'[1]Career Bands &amp; Levels'!A:A,'[1]Career Bands &amp; Levels'!C:C)</f>
        <v xml:space="preserve">●	Has skills developed through formal training or work experience		
●	Works within established procedures and guidelines with limited ability to modify methods and approach		
●	Completes assigned tasks with a moderate degree of supervision		</v>
      </c>
      <c r="W65" s="41" t="str">
        <f>J65&amp;"-"&amp;G65</f>
        <v>W2-04</v>
      </c>
      <c r="X65" s="42" t="str">
        <f>G65</f>
        <v>04</v>
      </c>
      <c r="Y65" s="22" t="str">
        <f>_xlfn.XLOOKUP(W65,'[1]Career Bands &amp; Levels'!A:A,'[1]Career Bands &amp; Levels'!C:C,"No Grade Differentiator")</f>
        <v xml:space="preserve">●	Performs most established procedures and will typically be considered semi-skilled through work experience		
●	Resolves routine issues with senior staff or supervisory guidance and approval		</v>
      </c>
      <c r="Z65" s="43" t="str">
        <f>IFERROR(O65&amp;" - "&amp;G65,"--")</f>
        <v>Operator Maintenance Engineering - 04</v>
      </c>
      <c r="AA65" s="44" t="str">
        <f>_xlfn.XLOOKUP($H65,'[1]SIG Qualifications Input'!$D:$D,'[1]SIG Qualifications Input'!$H:$H)</f>
        <v>Vocational training in e.g. manual or technical  field or equivalent work experience. 0-4 years of experience</v>
      </c>
    </row>
    <row r="66" spans="1:27" ht="183" thickBot="1" x14ac:dyDescent="0.2">
      <c r="A66" s="34" t="str">
        <f>_xlfn.XLOOKUP(C66,'[1]SIG Job Families &amp; Descriptions'!F:F,'[1]SIG Job Families &amp; Descriptions'!B:B)</f>
        <v>Engineering</v>
      </c>
      <c r="B66" s="34" t="str">
        <f>_xlfn.XLOOKUP(C66,'[1]SIG Job Families &amp; Descriptions'!F:F,'[1]SIG Job Families &amp; Descriptions'!D:D)</f>
        <v xml:space="preserve">Maintenance Engineering </v>
      </c>
      <c r="C66" s="34" t="s">
        <v>56</v>
      </c>
      <c r="D66" s="30" t="str">
        <f t="shared" si="0"/>
        <v>AZE</v>
      </c>
      <c r="E66" s="31" t="str">
        <f>_xlfn.XLOOKUP(C66,'[1]SIG Job Families &amp; Descriptions'!F:F,'[1]SIG Job Families &amp; Descriptions'!A:A)</f>
        <v>AZE110</v>
      </c>
      <c r="F66" s="32" t="s">
        <v>29</v>
      </c>
      <c r="G66" s="33" t="s">
        <v>33</v>
      </c>
      <c r="H66" s="34" t="str">
        <f>F66&amp;"-"&amp;G66</f>
        <v>Management-13</v>
      </c>
      <c r="I66" s="35" t="str">
        <f>IF(ISERROR(_xlfn.XLOOKUP(H66,'[1]SIG Level Structure'!D:D,'[1]SIG Level Structure'!D:D)),"0","1")</f>
        <v>1</v>
      </c>
      <c r="J66" s="36" t="str">
        <f>_xlfn.XLOOKUP($H66,'[1]SIG Level Structure'!$D:$D,'[1]SIG Level Structure'!F:F)</f>
        <v>M2</v>
      </c>
      <c r="K66" s="37" t="str">
        <f>E66&amp;"-"&amp;J66&amp;"-"&amp;G66</f>
        <v>AZE110-M2-13</v>
      </c>
      <c r="L66" s="37" t="str">
        <f>IFERROR(D66&amp;"-"&amp;LEFT(J66,1),"--")</f>
        <v>AZE-M</v>
      </c>
      <c r="M66" s="37" t="str">
        <f>VLOOKUP(L66,'[1]Compatible JC'!$A:$A,1,FALSE)</f>
        <v>AZE-M</v>
      </c>
      <c r="N66" s="37" t="str">
        <f>IFERROR(_xlfn.XLOOKUP(H66,'[1]SIG Level Structure'!D:D,'[1]SIG Level Structure'!C:C),"--")</f>
        <v>Manager</v>
      </c>
      <c r="O66" s="38" t="str">
        <f>IFERROR(TRIM(N66&amp;" "&amp;C66),"--")</f>
        <v>Manager Mechanical Design Engineering</v>
      </c>
      <c r="P66" s="22" t="str">
        <f>_xlfn.XLOOKUP(E66,'[1]SIG Job Families &amp; Descriptions'!A:A,'[1]SIG Job Families &amp; Descriptions'!G:G)</f>
        <v>Performs preventive maintenance and repairs on equipment and systems (e.g., mechanical, electrical). 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v>
      </c>
      <c r="Q66" s="39" t="str">
        <f>_xlfn.XLOOKUP(E66,'[1]2022 GI Position Descriptions'!E:E,'[1]2022 GI Position Descriptions'!G:G)</f>
        <v>Directs and coordinates fabrication, installation, operation, application, maintenance and repair of mechanical or electromechanical machines, equipment, tools, engines and systems | Ensures that quality levels and industry standards are maintained or improved in the manufacturing process | Oversees installation, operation, maintenance and repair of equipment such as centralized heat, gas, water and steam systems | Evaluates mechanical products to determine their cost effectiveness and efficiency | May evaluate field installations and recommend design modifications to eliminate malfunctions</v>
      </c>
      <c r="R66" s="22" t="str">
        <f>IF(LEFT(J66,1)="E","EX",LEFT(J66,1))</f>
        <v>M</v>
      </c>
      <c r="S66" s="22" t="str">
        <f>_xlfn.XLOOKUP($R66,'[1]Career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66" s="22" t="str">
        <f>J66</f>
        <v>M2</v>
      </c>
      <c r="U66" s="40" t="str">
        <f t="shared" si="1"/>
        <v>M2</v>
      </c>
      <c r="V66" s="22" t="str">
        <f>_xlfn.XLOOKUP(T66,'[1]Career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66" s="41" t="str">
        <f>J66&amp;"-"&amp;G66</f>
        <v>M2-13</v>
      </c>
      <c r="X66" s="42" t="str">
        <f>G66</f>
        <v>13</v>
      </c>
      <c r="Y66" s="22" t="str">
        <f>_xlfn.XLOOKUP(W66,'[1]Career Bands &amp; Levels'!A:A,'[1]Career Bands &amp; Levels'!C:C,"No Grade Differentiator")</f>
        <v>●	Accountable for the budget, performance and results of a medium-sized team or multiple small teams of employees		
●	Exercises full management authority, including performance reviews, pay decisions, recruitment, discipline, termination and other personnel actions		
●	Addresses issues with impact beyond own team based on knowledge of related disciplines</v>
      </c>
      <c r="Z66" s="43" t="str">
        <f>IFERROR(O66&amp;" - "&amp;G66,"--")</f>
        <v>Manager Mechanical Design Engineering - 13</v>
      </c>
      <c r="AA66" s="44" t="str">
        <f>_xlfn.XLOOKUP($H66,'[1]SIG Qualifications Input'!$D:$D,'[1]SIG Qualifications Input'!$H:$H)</f>
        <v>University degree or equivalent and 7-10 years of work experience or equivalent
Experience in managing mixed-level team(s) of professionals and subordinate managers</v>
      </c>
    </row>
    <row r="67" spans="1:27" ht="183" thickBot="1" x14ac:dyDescent="0.2">
      <c r="A67" s="34" t="str">
        <f>_xlfn.XLOOKUP(C67,'[1]SIG Job Families &amp; Descriptions'!F:F,'[1]SIG Job Families &amp; Descriptions'!B:B)</f>
        <v>Engineering</v>
      </c>
      <c r="B67" s="34" t="str">
        <f>_xlfn.XLOOKUP(C67,'[1]SIG Job Families &amp; Descriptions'!F:F,'[1]SIG Job Families &amp; Descriptions'!D:D)</f>
        <v xml:space="preserve">Maintenance Engineering </v>
      </c>
      <c r="C67" s="34" t="s">
        <v>56</v>
      </c>
      <c r="D67" s="30" t="str">
        <f t="shared" ref="D67:D130" si="2">LEFT(E67,3)</f>
        <v>AZE</v>
      </c>
      <c r="E67" s="31" t="str">
        <f>_xlfn.XLOOKUP(C67,'[1]SIG Job Families &amp; Descriptions'!F:F,'[1]SIG Job Families &amp; Descriptions'!A:A)</f>
        <v>AZE110</v>
      </c>
      <c r="F67" s="32" t="s">
        <v>29</v>
      </c>
      <c r="G67" s="33" t="s">
        <v>34</v>
      </c>
      <c r="H67" s="34" t="str">
        <f>F67&amp;"-"&amp;G67</f>
        <v>Management-12</v>
      </c>
      <c r="I67" s="35" t="str">
        <f>IF(ISERROR(_xlfn.XLOOKUP(H67,'[1]SIG Level Structure'!D:D,'[1]SIG Level Structure'!D:D)),"0","1")</f>
        <v>1</v>
      </c>
      <c r="J67" s="36" t="str">
        <f>_xlfn.XLOOKUP($H67,'[1]SIG Level Structure'!$D:$D,'[1]SIG Level Structure'!F:F)</f>
        <v>M2</v>
      </c>
      <c r="K67" s="37" t="str">
        <f>E67&amp;"-"&amp;J67&amp;"-"&amp;G67</f>
        <v>AZE110-M2-12</v>
      </c>
      <c r="L67" s="37" t="str">
        <f>IFERROR(D67&amp;"-"&amp;LEFT(J67,1),"--")</f>
        <v>AZE-M</v>
      </c>
      <c r="M67" s="37" t="str">
        <f>VLOOKUP(L67,'[1]Compatible JC'!$A:$A,1,FALSE)</f>
        <v>AZE-M</v>
      </c>
      <c r="N67" s="37" t="str">
        <f>IFERROR(_xlfn.XLOOKUP(H67,'[1]SIG Level Structure'!D:D,'[1]SIG Level Structure'!C:C),"--")</f>
        <v>Manager</v>
      </c>
      <c r="O67" s="38" t="str">
        <f>IFERROR(TRIM(N67&amp;" "&amp;C67),"--")</f>
        <v>Manager Mechanical Design Engineering</v>
      </c>
      <c r="P67" s="22" t="str">
        <f>_xlfn.XLOOKUP(E67,'[1]SIG Job Families &amp; Descriptions'!A:A,'[1]SIG Job Families &amp; Descriptions'!G:G)</f>
        <v>Performs preventive maintenance and repairs on equipment and systems (e.g., mechanical, electrical). 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v>
      </c>
      <c r="Q67" s="39" t="str">
        <f>_xlfn.XLOOKUP(E67,'[1]2022 GI Position Descriptions'!E:E,'[1]2022 GI Position Descriptions'!G:G)</f>
        <v>Directs and coordinates fabrication, installation, operation, application, maintenance and repair of mechanical or electromechanical machines, equipment, tools, engines and systems | Ensures that quality levels and industry standards are maintained or improved in the manufacturing process | Oversees installation, operation, maintenance and repair of equipment such as centralized heat, gas, water and steam systems | Evaluates mechanical products to determine their cost effectiveness and efficiency | May evaluate field installations and recommend design modifications to eliminate malfunctions</v>
      </c>
      <c r="R67" s="22" t="str">
        <f>IF(LEFT(J67,1)="E","EX",LEFT(J67,1))</f>
        <v>M</v>
      </c>
      <c r="S67" s="22" t="str">
        <f>_xlfn.XLOOKUP($R67,'[1]Career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67" s="22" t="str">
        <f>J67</f>
        <v>M2</v>
      </c>
      <c r="U67" s="40" t="str">
        <f t="shared" ref="U67:U130" si="3">T67</f>
        <v>M2</v>
      </c>
      <c r="V67" s="22" t="str">
        <f>_xlfn.XLOOKUP(T67,'[1]Career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67" s="41" t="str">
        <f>J67&amp;"-"&amp;G67</f>
        <v>M2-12</v>
      </c>
      <c r="X67" s="42" t="str">
        <f>G67</f>
        <v>12</v>
      </c>
      <c r="Y67" s="22" t="str">
        <f>_xlfn.XLOOKUP(W67,'[1]Career Bands &amp; Levels'!A:A,'[1]Career Bands &amp; Levels'!C:C,"No Grade Differentiator")</f>
        <v xml:space="preserve">●	Accountable for results of a small team of employees		
●	Exercises limited management authority; sets employee performance objectives, conducts performance reviews and recommends pay actions		
●	Defines team operating standards and ensures essential procedures are followed based on knowledge of own discipline		</v>
      </c>
      <c r="Z67" s="43" t="str">
        <f>IFERROR(O67&amp;" - "&amp;G67,"--")</f>
        <v>Manager Mechanical Design Engineering - 12</v>
      </c>
      <c r="AA67" s="44" t="str">
        <f>_xlfn.XLOOKUP($H67,'[1]SIG Qualifications Input'!$D:$D,'[1]SIG Qualifications Input'!$H:$H)</f>
        <v>University degree or equivalent and 7-10 years of work experience or equivalent
Experience in managing mixed-level team(s) of professionals and subordinate managers</v>
      </c>
    </row>
    <row r="68" spans="1:27" ht="183" thickBot="1" x14ac:dyDescent="0.2">
      <c r="A68" s="34" t="str">
        <f>_xlfn.XLOOKUP(C68,'[1]SIG Job Families &amp; Descriptions'!F:F,'[1]SIG Job Families &amp; Descriptions'!B:B)</f>
        <v>Engineering</v>
      </c>
      <c r="B68" s="34" t="str">
        <f>_xlfn.XLOOKUP(C68,'[1]SIG Job Families &amp; Descriptions'!F:F,'[1]SIG Job Families &amp; Descriptions'!D:D)</f>
        <v xml:space="preserve">Maintenance Engineering </v>
      </c>
      <c r="C68" s="34" t="s">
        <v>56</v>
      </c>
      <c r="D68" s="30" t="str">
        <f t="shared" si="2"/>
        <v>AZE</v>
      </c>
      <c r="E68" s="31" t="str">
        <f>_xlfn.XLOOKUP(C68,'[1]SIG Job Families &amp; Descriptions'!F:F,'[1]SIG Job Families &amp; Descriptions'!A:A)</f>
        <v>AZE110</v>
      </c>
      <c r="F68" s="32" t="s">
        <v>32</v>
      </c>
      <c r="G68" s="33" t="s">
        <v>34</v>
      </c>
      <c r="H68" s="34" t="str">
        <f>F68&amp;"-"&amp;G68</f>
        <v>Professional-12</v>
      </c>
      <c r="I68" s="35" t="str">
        <f>IF(ISERROR(_xlfn.XLOOKUP(H68,'[1]SIG Level Structure'!D:D,'[1]SIG Level Structure'!D:D)),"0","1")</f>
        <v>1</v>
      </c>
      <c r="J68" s="36" t="str">
        <f>_xlfn.XLOOKUP($H68,'[1]SIG Level Structure'!$D:$D,'[1]SIG Level Structure'!F:F)</f>
        <v>P3</v>
      </c>
      <c r="K68" s="37" t="str">
        <f>E68&amp;"-"&amp;J68&amp;"-"&amp;G68</f>
        <v>AZE110-P3-12</v>
      </c>
      <c r="L68" s="37" t="str">
        <f>IFERROR(D68&amp;"-"&amp;LEFT(J68,1),"--")</f>
        <v>AZE-P</v>
      </c>
      <c r="M68" s="37" t="str">
        <f>VLOOKUP(L68,'[1]Compatible JC'!$A:$A,1,FALSE)</f>
        <v>AZE-P</v>
      </c>
      <c r="N68" s="37" t="str">
        <f>IFERROR(_xlfn.XLOOKUP(H68,'[1]SIG Level Structure'!D:D,'[1]SIG Level Structure'!C:C),"--")</f>
        <v>Expert</v>
      </c>
      <c r="O68" s="38" t="str">
        <f>IFERROR(TRIM(N68&amp;" "&amp;C68),"--")</f>
        <v>Expert Mechanical Design Engineering</v>
      </c>
      <c r="P68" s="22" t="str">
        <f>_xlfn.XLOOKUP(E68,'[1]SIG Job Families &amp; Descriptions'!A:A,'[1]SIG Job Families &amp; Descriptions'!G:G)</f>
        <v>Performs preventive maintenance and repairs on equipment and systems (e.g., mechanical, electrical). 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v>
      </c>
      <c r="Q68" s="39" t="str">
        <f>_xlfn.XLOOKUP(E68,'[1]2022 GI Position Descriptions'!E:E,'[1]2022 GI Position Descriptions'!G:G)</f>
        <v>Directs and coordinates fabrication, installation, operation, application, maintenance and repair of mechanical or electromechanical machines, equipment, tools, engines and systems | Ensures that quality levels and industry standards are maintained or improved in the manufacturing process | Oversees installation, operation, maintenance and repair of equipment such as centralized heat, gas, water and steam systems | Evaluates mechanical products to determine their cost effectiveness and efficiency | May evaluate field installations and recommend design modifications to eliminate malfunctions</v>
      </c>
      <c r="R68" s="22" t="str">
        <f>IF(LEFT(J68,1)="E","EX",LEFT(J68,1))</f>
        <v>P</v>
      </c>
      <c r="S68" s="22" t="str">
        <f>_xlfn.XLOOKUP($R68,'[1]Career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68" s="22" t="str">
        <f>J68</f>
        <v>P3</v>
      </c>
      <c r="U68" s="40" t="str">
        <f t="shared" si="3"/>
        <v>P3</v>
      </c>
      <c r="V68" s="22" t="str">
        <f>_xlfn.XLOOKUP(T68,'[1]Career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68" s="41" t="str">
        <f>J68&amp;"-"&amp;G68</f>
        <v>P3-12</v>
      </c>
      <c r="X68" s="42" t="str">
        <f>G68</f>
        <v>12</v>
      </c>
      <c r="Y68" s="22" t="str">
        <f>_xlfn.XLOOKUP(W68,'[1]Career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68" s="43" t="str">
        <f>IFERROR(O68&amp;" - "&amp;G68,"--")</f>
        <v>Expert Mechanical Design Engineering - 12</v>
      </c>
      <c r="AA68" s="44" t="str">
        <f>_xlfn.XLOOKUP($H68,'[1]SIG Qualifications Input'!$D:$D,'[1]SIG Qualifications Input'!$H:$H)</f>
        <v>University degree or equivalent and 4-8 years of work experience or equivalent, 
Initial experience in functionally leading (sub-) projects</v>
      </c>
    </row>
    <row r="69" spans="1:27" ht="183" thickBot="1" x14ac:dyDescent="0.2">
      <c r="A69" s="34" t="str">
        <f>_xlfn.XLOOKUP(C69,'[1]SIG Job Families &amp; Descriptions'!F:F,'[1]SIG Job Families &amp; Descriptions'!B:B)</f>
        <v>Engineering</v>
      </c>
      <c r="B69" s="34" t="str">
        <f>_xlfn.XLOOKUP(C69,'[1]SIG Job Families &amp; Descriptions'!F:F,'[1]SIG Job Families &amp; Descriptions'!D:D)</f>
        <v xml:space="preserve">Maintenance Engineering </v>
      </c>
      <c r="C69" s="34" t="s">
        <v>56</v>
      </c>
      <c r="D69" s="30" t="str">
        <f t="shared" si="2"/>
        <v>AZE</v>
      </c>
      <c r="E69" s="31" t="str">
        <f>_xlfn.XLOOKUP(C69,'[1]SIG Job Families &amp; Descriptions'!F:F,'[1]SIG Job Families &amp; Descriptions'!A:A)</f>
        <v>AZE110</v>
      </c>
      <c r="F69" s="32" t="s">
        <v>32</v>
      </c>
      <c r="G69" s="33" t="s">
        <v>35</v>
      </c>
      <c r="H69" s="34" t="str">
        <f>F69&amp;"-"&amp;G69</f>
        <v>Professional-11</v>
      </c>
      <c r="I69" s="35" t="str">
        <f>IF(ISERROR(_xlfn.XLOOKUP(H69,'[1]SIG Level Structure'!D:D,'[1]SIG Level Structure'!D:D)),"0","1")</f>
        <v>1</v>
      </c>
      <c r="J69" s="36" t="str">
        <f>_xlfn.XLOOKUP($H69,'[1]SIG Level Structure'!$D:$D,'[1]SIG Level Structure'!F:F)</f>
        <v>P3</v>
      </c>
      <c r="K69" s="37" t="str">
        <f>E69&amp;"-"&amp;J69&amp;"-"&amp;G69</f>
        <v>AZE110-P3-11</v>
      </c>
      <c r="L69" s="37" t="str">
        <f>IFERROR(D69&amp;"-"&amp;LEFT(J69,1),"--")</f>
        <v>AZE-P</v>
      </c>
      <c r="M69" s="37" t="str">
        <f>VLOOKUP(L69,'[1]Compatible JC'!$A:$A,1,FALSE)</f>
        <v>AZE-P</v>
      </c>
      <c r="N69" s="37" t="str">
        <f>IFERROR(_xlfn.XLOOKUP(H69,'[1]SIG Level Structure'!D:D,'[1]SIG Level Structure'!C:C),"--")</f>
        <v>Expert</v>
      </c>
      <c r="O69" s="38" t="str">
        <f>IFERROR(TRIM(N69&amp;" "&amp;C69),"--")</f>
        <v>Expert Mechanical Design Engineering</v>
      </c>
      <c r="P69" s="22" t="str">
        <f>_xlfn.XLOOKUP(E69,'[1]SIG Job Families &amp; Descriptions'!A:A,'[1]SIG Job Families &amp; Descriptions'!G:G)</f>
        <v>Performs preventive maintenance and repairs on equipment and systems (e.g., mechanical, electrical). 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v>
      </c>
      <c r="Q69" s="39" t="str">
        <f>_xlfn.XLOOKUP(E69,'[1]2022 GI Position Descriptions'!E:E,'[1]2022 GI Position Descriptions'!G:G)</f>
        <v>Directs and coordinates fabrication, installation, operation, application, maintenance and repair of mechanical or electromechanical machines, equipment, tools, engines and systems | Ensures that quality levels and industry standards are maintained or improved in the manufacturing process | Oversees installation, operation, maintenance and repair of equipment such as centralized heat, gas, water and steam systems | Evaluates mechanical products to determine their cost effectiveness and efficiency | May evaluate field installations and recommend design modifications to eliminate malfunctions</v>
      </c>
      <c r="R69" s="22" t="str">
        <f>IF(LEFT(J69,1)="E","EX",LEFT(J69,1))</f>
        <v>P</v>
      </c>
      <c r="S69" s="22" t="str">
        <f>_xlfn.XLOOKUP($R69,'[1]Career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69" s="22" t="str">
        <f>J69</f>
        <v>P3</v>
      </c>
      <c r="U69" s="40" t="str">
        <f t="shared" si="3"/>
        <v>P3</v>
      </c>
      <c r="V69" s="22" t="str">
        <f>_xlfn.XLOOKUP(T69,'[1]Career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69" s="41" t="str">
        <f>J69&amp;"-"&amp;G69</f>
        <v>P3-11</v>
      </c>
      <c r="X69" s="42" t="str">
        <f>G69</f>
        <v>11</v>
      </c>
      <c r="Y69" s="22" t="str">
        <f>_xlfn.XLOOKUP(W69,'[1]Career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69" s="43" t="str">
        <f>IFERROR(O69&amp;" - "&amp;G69,"--")</f>
        <v>Expert Mechanical Design Engineering - 11</v>
      </c>
      <c r="AA69" s="44" t="str">
        <f>_xlfn.XLOOKUP($H69,'[1]SIG Qualifications Input'!$D:$D,'[1]SIG Qualifications Input'!$H:$H)</f>
        <v>University degree or equivalent and 4-8 years of work experience or equivalent, 
Initial experience in functionally leading (sub-) projects</v>
      </c>
    </row>
    <row r="70" spans="1:27" ht="183" thickBot="1" x14ac:dyDescent="0.2">
      <c r="A70" s="34" t="str">
        <f>_xlfn.XLOOKUP(C70,'[1]SIG Job Families &amp; Descriptions'!F:F,'[1]SIG Job Families &amp; Descriptions'!B:B)</f>
        <v>Engineering</v>
      </c>
      <c r="B70" s="34" t="str">
        <f>_xlfn.XLOOKUP(C70,'[1]SIG Job Families &amp; Descriptions'!F:F,'[1]SIG Job Families &amp; Descriptions'!D:D)</f>
        <v xml:space="preserve">Maintenance Engineering </v>
      </c>
      <c r="C70" s="34" t="s">
        <v>56</v>
      </c>
      <c r="D70" s="30" t="str">
        <f t="shared" si="2"/>
        <v>AZE</v>
      </c>
      <c r="E70" s="31" t="str">
        <f>_xlfn.XLOOKUP(C70,'[1]SIG Job Families &amp; Descriptions'!F:F,'[1]SIG Job Families &amp; Descriptions'!A:A)</f>
        <v>AZE110</v>
      </c>
      <c r="F70" s="32" t="s">
        <v>50</v>
      </c>
      <c r="G70" s="33" t="s">
        <v>36</v>
      </c>
      <c r="H70" s="34" t="str">
        <f>F70&amp;"-"&amp;G70</f>
        <v>Operations-10</v>
      </c>
      <c r="I70" s="35" t="str">
        <f>IF(ISERROR(_xlfn.XLOOKUP(H70,'[1]SIG Level Structure'!D:D,'[1]SIG Level Structure'!D:D)),"0","1")</f>
        <v>1</v>
      </c>
      <c r="J70" s="36" t="str">
        <f>_xlfn.XLOOKUP($H70,'[1]SIG Level Structure'!$D:$D,'[1]SIG Level Structure'!F:F)</f>
        <v>T4</v>
      </c>
      <c r="K70" s="37" t="str">
        <f>E70&amp;"-"&amp;J70&amp;"-"&amp;G70</f>
        <v>AZE110-T4-10</v>
      </c>
      <c r="L70" s="37" t="str">
        <f>IFERROR(D70&amp;"-"&amp;LEFT(J70,1),"--")</f>
        <v>AZE-T</v>
      </c>
      <c r="M70" s="37" t="e">
        <f>VLOOKUP(L70,'[1]Compatible JC'!$A:$A,1,FALSE)</f>
        <v>#N/A</v>
      </c>
      <c r="N70" s="37" t="str">
        <f>IFERROR(_xlfn.XLOOKUP(H70,'[1]SIG Level Structure'!D:D,'[1]SIG Level Structure'!C:C),"--")</f>
        <v>Senior Technician</v>
      </c>
      <c r="O70" s="38" t="str">
        <f>IFERROR(TRIM(N70&amp;" "&amp;C70),"--")</f>
        <v>Senior Technician Mechanical Design Engineering</v>
      </c>
      <c r="P70" s="22" t="str">
        <f>_xlfn.XLOOKUP(E70,'[1]SIG Job Families &amp; Descriptions'!A:A,'[1]SIG Job Families &amp; Descriptions'!G:G)</f>
        <v>Performs preventive maintenance and repairs on equipment and systems (e.g., mechanical, electrical). 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v>
      </c>
      <c r="Q70" s="39" t="str">
        <f>_xlfn.XLOOKUP(E70,'[1]2022 GI Position Descriptions'!E:E,'[1]2022 GI Position Descriptions'!G:G)</f>
        <v>Directs and coordinates fabrication, installation, operation, application, maintenance and repair of mechanical or electromechanical machines, equipment, tools, engines and systems | Ensures that quality levels and industry standards are maintained or improved in the manufacturing process | Oversees installation, operation, maintenance and repair of equipment such as centralized heat, gas, water and steam systems | Evaluates mechanical products to determine their cost effectiveness and efficiency | May evaluate field installations and recommend design modifications to eliminate malfunctions</v>
      </c>
      <c r="R70" s="22" t="str">
        <f>IF(LEFT(J70,1)="E","EX",LEFT(J70,1))</f>
        <v>T</v>
      </c>
      <c r="S70" s="22" t="str">
        <f>_xlfn.XLOOKUP($R70,'[1]Career Bands &amp; Levels'!A:A,'[1]Career Bands &amp; Levels'!C:C)</f>
        <v>● Performs specialized technical tasks required to support operations (e.g., IT development, research support, skilled trade)
● Requires vocational training or the equivalent experience and may require external certification but typically does not require a university degree</v>
      </c>
      <c r="T70" s="22" t="str">
        <f>J70</f>
        <v>T4</v>
      </c>
      <c r="U70" s="40" t="str">
        <f t="shared" si="3"/>
        <v>T4</v>
      </c>
      <c r="V70" s="22" t="str">
        <f>_xlfn.XLOOKUP(T70,'[1]Career Bands &amp; Levels'!A:A,'[1]Career Bands &amp; Levels'!C:C)</f>
        <v xml:space="preserve">●	Has advanced and specialized expertise, typically developed through a combination of job-related training and considerable work experience		
●	Proposes improvements to processes		
●	May act as a lead, coordinating and facilitating the work of others but is not a supervisor		
●	Works autonomously within established procedures and practices		
●	Spends a majority of working time performing the same work processes and activities as employees on team		</v>
      </c>
      <c r="W70" s="41" t="str">
        <f>J70&amp;"-"&amp;G70</f>
        <v>T4-10</v>
      </c>
      <c r="X70" s="42" t="str">
        <f>G70</f>
        <v>10</v>
      </c>
      <c r="Y70" s="22" t="str">
        <f>_xlfn.XLOOKUP(W70,'[1]Career Bands &amp; Levels'!A:A,'[1]Career Bands &amp; Levels'!C:C,"No Grade Differentiator")</f>
        <v xml:space="preserve">●	Performs a variety of the most complex tasks and/or may lead one or more teams		
●	Analyzes the most complex technical problems and delivers solutions where precedent may not exist		</v>
      </c>
      <c r="Z70" s="43" t="str">
        <f>IFERROR(O70&amp;" - "&amp;G70,"--")</f>
        <v>Senior Technician Mechanical Design Engineering - 10</v>
      </c>
      <c r="AA70" s="44" t="str">
        <f>_xlfn.XLOOKUP($H70,'[1]SIG Qualifications Input'!$D:$D,'[1]SIG Qualifications Input'!$H:$H)</f>
        <v>Typically an Associate’s degree or 2 to 4 years of vocational technical training preferred. HS diploma or equivalent required. Specialized skill training/certification often required to meet specific needs. Deep and specialized practical experience required, often more then 10 years.</v>
      </c>
    </row>
    <row r="71" spans="1:27" ht="183" thickBot="1" x14ac:dyDescent="0.2">
      <c r="A71" s="34" t="str">
        <f>_xlfn.XLOOKUP(C71,'[1]SIG Job Families &amp; Descriptions'!F:F,'[1]SIG Job Families &amp; Descriptions'!B:B)</f>
        <v>Engineering</v>
      </c>
      <c r="B71" s="34" t="str">
        <f>_xlfn.XLOOKUP(C71,'[1]SIG Job Families &amp; Descriptions'!F:F,'[1]SIG Job Families &amp; Descriptions'!D:D)</f>
        <v xml:space="preserve">Maintenance Engineering </v>
      </c>
      <c r="C71" s="34" t="s">
        <v>56</v>
      </c>
      <c r="D71" s="30" t="str">
        <f t="shared" si="2"/>
        <v>AZE</v>
      </c>
      <c r="E71" s="31" t="str">
        <f>_xlfn.XLOOKUP(C71,'[1]SIG Job Families &amp; Descriptions'!F:F,'[1]SIG Job Families &amp; Descriptions'!A:A)</f>
        <v>AZE110</v>
      </c>
      <c r="F71" s="32" t="s">
        <v>50</v>
      </c>
      <c r="G71" s="33" t="s">
        <v>37</v>
      </c>
      <c r="H71" s="34" t="str">
        <f>F71&amp;"-"&amp;G71</f>
        <v>Operations-09</v>
      </c>
      <c r="I71" s="35" t="str">
        <f>IF(ISERROR(_xlfn.XLOOKUP(H71,'[1]SIG Level Structure'!D:D,'[1]SIG Level Structure'!D:D)),"0","1")</f>
        <v>1</v>
      </c>
      <c r="J71" s="36" t="str">
        <f>_xlfn.XLOOKUP($H71,'[1]SIG Level Structure'!$D:$D,'[1]SIG Level Structure'!F:F)</f>
        <v>T4</v>
      </c>
      <c r="K71" s="37" t="str">
        <f>E71&amp;"-"&amp;J71&amp;"-"&amp;G71</f>
        <v>AZE110-T4-09</v>
      </c>
      <c r="L71" s="37" t="str">
        <f>IFERROR(D71&amp;"-"&amp;LEFT(J71,1),"--")</f>
        <v>AZE-T</v>
      </c>
      <c r="M71" s="37" t="e">
        <f>VLOOKUP(L71,'[1]Compatible JC'!$A:$A,1,FALSE)</f>
        <v>#N/A</v>
      </c>
      <c r="N71" s="37" t="str">
        <f>IFERROR(_xlfn.XLOOKUP(H71,'[1]SIG Level Structure'!D:D,'[1]SIG Level Structure'!C:C),"--")</f>
        <v>Technician</v>
      </c>
      <c r="O71" s="38" t="str">
        <f>IFERROR(TRIM(N71&amp;" "&amp;C71),"--")</f>
        <v>Technician Mechanical Design Engineering</v>
      </c>
      <c r="P71" s="22" t="str">
        <f>_xlfn.XLOOKUP(E71,'[1]SIG Job Families &amp; Descriptions'!A:A,'[1]SIG Job Families &amp; Descriptions'!G:G)</f>
        <v>Performs preventive maintenance and repairs on equipment and systems (e.g., mechanical, electrical). 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v>
      </c>
      <c r="Q71" s="39" t="str">
        <f>_xlfn.XLOOKUP(E71,'[1]2022 GI Position Descriptions'!E:E,'[1]2022 GI Position Descriptions'!G:G)</f>
        <v>Directs and coordinates fabrication, installation, operation, application, maintenance and repair of mechanical or electromechanical machines, equipment, tools, engines and systems | Ensures that quality levels and industry standards are maintained or improved in the manufacturing process | Oversees installation, operation, maintenance and repair of equipment such as centralized heat, gas, water and steam systems | Evaluates mechanical products to determine their cost effectiveness and efficiency | May evaluate field installations and recommend design modifications to eliminate malfunctions</v>
      </c>
      <c r="R71" s="22" t="str">
        <f>IF(LEFT(J71,1)="E","EX",LEFT(J71,1))</f>
        <v>T</v>
      </c>
      <c r="S71" s="22" t="str">
        <f>_xlfn.XLOOKUP($R71,'[1]Career Bands &amp; Levels'!A:A,'[1]Career Bands &amp; Levels'!C:C)</f>
        <v>● Performs specialized technical tasks required to support operations (e.g., IT development, research support, skilled trade)
● Requires vocational training or the equivalent experience and may require external certification but typically does not require a university degree</v>
      </c>
      <c r="T71" s="22" t="str">
        <f>J71</f>
        <v>T4</v>
      </c>
      <c r="U71" s="40" t="str">
        <f t="shared" si="3"/>
        <v>T4</v>
      </c>
      <c r="V71" s="22" t="str">
        <f>_xlfn.XLOOKUP(T71,'[1]Career Bands &amp; Levels'!A:A,'[1]Career Bands &amp; Levels'!C:C)</f>
        <v xml:space="preserve">●	Has advanced and specialized expertise, typically developed through a combination of job-related training and considerable work experience		
●	Proposes improvements to processes		
●	May act as a lead, coordinating and facilitating the work of others but is not a supervisor		
●	Works autonomously within established procedures and practices		
●	Spends a majority of working time performing the same work processes and activities as employees on team		</v>
      </c>
      <c r="W71" s="41" t="str">
        <f>J71&amp;"-"&amp;G71</f>
        <v>T4-09</v>
      </c>
      <c r="X71" s="42" t="str">
        <f>G71</f>
        <v>09</v>
      </c>
      <c r="Y71" s="22" t="str">
        <f>_xlfn.XLOOKUP(W71,'[1]Career Bands &amp; Levels'!A:A,'[1]Career Bands &amp; Levels'!C:C,"No Grade Differentiator")</f>
        <v xml:space="preserve">●	Performs a variety of complex tasks and/or may lead a team in the performance of a variety of tasks that are often routine		
●	Solves complex problems of a recurring nature		</v>
      </c>
      <c r="Z71" s="43" t="str">
        <f>IFERROR(O71&amp;" - "&amp;G71,"--")</f>
        <v>Technician Mechanical Design Engineering - 09</v>
      </c>
      <c r="AA71" s="44" t="str">
        <f>_xlfn.XLOOKUP($H71,'[1]SIG Qualifications Input'!$D:$D,'[1]SIG Qualifications Input'!$H:$H)</f>
        <v>Typically an Associate’s degree or 2 to 4 years of vocational technical training preferred. HS diploma or equivalent required. Specialized skill training/certification often required to meet specific needs. Up to 8 years of experience.</v>
      </c>
    </row>
    <row r="72" spans="1:27" ht="183" thickBot="1" x14ac:dyDescent="0.2">
      <c r="A72" s="34" t="str">
        <f>_xlfn.XLOOKUP(C72,'[1]SIG Job Families &amp; Descriptions'!F:F,'[1]SIG Job Families &amp; Descriptions'!B:B)</f>
        <v>Engineering</v>
      </c>
      <c r="B72" s="34" t="str">
        <f>_xlfn.XLOOKUP(C72,'[1]SIG Job Families &amp; Descriptions'!F:F,'[1]SIG Job Families &amp; Descriptions'!D:D)</f>
        <v xml:space="preserve">Maintenance Engineering </v>
      </c>
      <c r="C72" s="34" t="s">
        <v>56</v>
      </c>
      <c r="D72" s="30" t="str">
        <f t="shared" si="2"/>
        <v>AZE</v>
      </c>
      <c r="E72" s="31" t="str">
        <f>_xlfn.XLOOKUP(C72,'[1]SIG Job Families &amp; Descriptions'!F:F,'[1]SIG Job Families &amp; Descriptions'!A:A)</f>
        <v>AZE110</v>
      </c>
      <c r="F72" s="32" t="s">
        <v>51</v>
      </c>
      <c r="G72" s="33" t="s">
        <v>43</v>
      </c>
      <c r="H72" s="34" t="str">
        <f>F72&amp;"-"&amp;G72</f>
        <v>Operations / Technician-08</v>
      </c>
      <c r="I72" s="35" t="str">
        <f>IF(ISERROR(_xlfn.XLOOKUP(H72,'[1]SIG Level Structure'!D:D,'[1]SIG Level Structure'!D:D)),"0","1")</f>
        <v>1</v>
      </c>
      <c r="J72" s="36" t="str">
        <f>_xlfn.XLOOKUP($H72,'[1]SIG Level Structure'!$D:$D,'[1]SIG Level Structure'!F:F)</f>
        <v>T3</v>
      </c>
      <c r="K72" s="37" t="str">
        <f>E72&amp;"-"&amp;J72&amp;"-"&amp;G72</f>
        <v>AZE110-T3-08</v>
      </c>
      <c r="L72" s="37" t="str">
        <f>IFERROR(D72&amp;"-"&amp;LEFT(J72,1),"--")</f>
        <v>AZE-T</v>
      </c>
      <c r="M72" s="37" t="e">
        <f>VLOOKUP(L72,'[1]Compatible JC'!$A:$A,1,FALSE)</f>
        <v>#N/A</v>
      </c>
      <c r="N72" s="37" t="str">
        <f>IFERROR(_xlfn.XLOOKUP(H72,'[1]SIG Level Structure'!D:D,'[1]SIG Level Structure'!C:C),"--")</f>
        <v>Technician</v>
      </c>
      <c r="O72" s="38" t="str">
        <f>IFERROR(TRIM(N72&amp;" "&amp;C72),"--")</f>
        <v>Technician Mechanical Design Engineering</v>
      </c>
      <c r="P72" s="22" t="str">
        <f>_xlfn.XLOOKUP(E72,'[1]SIG Job Families &amp; Descriptions'!A:A,'[1]SIG Job Families &amp; Descriptions'!G:G)</f>
        <v>Performs preventive maintenance and repairs on equipment and systems (e.g., mechanical, electrical). 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v>
      </c>
      <c r="Q72" s="39" t="str">
        <f>_xlfn.XLOOKUP(E72,'[1]2022 GI Position Descriptions'!E:E,'[1]2022 GI Position Descriptions'!G:G)</f>
        <v>Directs and coordinates fabrication, installation, operation, application, maintenance and repair of mechanical or electromechanical machines, equipment, tools, engines and systems | Ensures that quality levels and industry standards are maintained or improved in the manufacturing process | Oversees installation, operation, maintenance and repair of equipment such as centralized heat, gas, water and steam systems | Evaluates mechanical products to determine their cost effectiveness and efficiency | May evaluate field installations and recommend design modifications to eliminate malfunctions</v>
      </c>
      <c r="R72" s="22" t="str">
        <f>IF(LEFT(J72,1)="E","EX",LEFT(J72,1))</f>
        <v>T</v>
      </c>
      <c r="S72" s="22" t="str">
        <f>_xlfn.XLOOKUP($R72,'[1]Career Bands &amp; Levels'!A:A,'[1]Career Bands &amp; Levels'!C:C)</f>
        <v>● Performs specialized technical tasks required to support operations (e.g., IT development, research support, skilled trade)
● Requires vocational training or the equivalent experience and may require external certification but typically does not require a university degree</v>
      </c>
      <c r="T72" s="22" t="str">
        <f>J72</f>
        <v>T3</v>
      </c>
      <c r="U72" s="40" t="str">
        <f t="shared" si="3"/>
        <v>T3</v>
      </c>
      <c r="V72" s="22" t="str">
        <f>_xlfn.XLOOKUP(T72,'[1]Career Bands &amp; Levels'!A:A,'[1]Career Bands &amp; Levels'!C:C)</f>
        <v xml:space="preserve">●	Has full proficiency in a range of technical processes or procedures (or deep skills in a single area) through job-related training and considerable work experience		
●	Completes a variety of atypical assignments		
●	Works within defined technical processes and procedures or methodologies and may help determine the appropriate approach for new assignments		
●	Works with a limited degree of supervision, with oversight focused only on complex new assignments		
●	Acts as an informal resource for colleagues with less experience		</v>
      </c>
      <c r="W72" s="41" t="str">
        <f>J72&amp;"-"&amp;G72</f>
        <v>T3-08</v>
      </c>
      <c r="X72" s="42" t="str">
        <f>G72</f>
        <v>08</v>
      </c>
      <c r="Y72" s="22" t="str">
        <f>_xlfn.XLOOKUP(W72,'[1]Career Bands &amp; Levels'!A:A,'[1]Career Bands &amp; Levels'!C:C,"No Grade Differentiator")</f>
        <v xml:space="preserve">●	Performs highly complex and varied tasks		
●	Typically has specialized external certification		
●	Guides and supports junior team members; may assist in their formal orientation and training		</v>
      </c>
      <c r="Z72" s="43" t="str">
        <f>IFERROR(O72&amp;" - "&amp;G72,"--")</f>
        <v>Technician Mechanical Design Engineering - 08</v>
      </c>
      <c r="AA72" s="44" t="str">
        <f>_xlfn.XLOOKUP($H72,'[1]SIG Qualifications Input'!$D:$D,'[1]SIG Qualifications Input'!$H:$H)</f>
        <v>Typically an Associate’s degree or 2 to 4 years of vocational technical training preferred. HS diploma or equivalent required. Specialized skill training/certification often required to meet specific needs. Up to 8 years of experience.</v>
      </c>
    </row>
    <row r="73" spans="1:27" ht="183" thickBot="1" x14ac:dyDescent="0.2">
      <c r="A73" s="34" t="str">
        <f>_xlfn.XLOOKUP(C73,'[1]SIG Job Families &amp; Descriptions'!F:F,'[1]SIG Job Families &amp; Descriptions'!B:B)</f>
        <v>Engineering</v>
      </c>
      <c r="B73" s="34" t="str">
        <f>_xlfn.XLOOKUP(C73,'[1]SIG Job Families &amp; Descriptions'!F:F,'[1]SIG Job Families &amp; Descriptions'!D:D)</f>
        <v xml:space="preserve">Maintenance Engineering </v>
      </c>
      <c r="C73" s="34" t="s">
        <v>56</v>
      </c>
      <c r="D73" s="30" t="str">
        <f t="shared" si="2"/>
        <v>AZE</v>
      </c>
      <c r="E73" s="31" t="str">
        <f>_xlfn.XLOOKUP(C73,'[1]SIG Job Families &amp; Descriptions'!F:F,'[1]SIG Job Families &amp; Descriptions'!A:A)</f>
        <v>AZE110</v>
      </c>
      <c r="F73" s="32" t="s">
        <v>51</v>
      </c>
      <c r="G73" s="33" t="s">
        <v>52</v>
      </c>
      <c r="H73" s="34" t="str">
        <f>F73&amp;"-"&amp;G73</f>
        <v>Operations / Technician-07</v>
      </c>
      <c r="I73" s="35" t="str">
        <f>IF(ISERROR(_xlfn.XLOOKUP(H73,'[1]SIG Level Structure'!D:D,'[1]SIG Level Structure'!D:D)),"0","1")</f>
        <v>1</v>
      </c>
      <c r="J73" s="36" t="str">
        <f>_xlfn.XLOOKUP($H73,'[1]SIG Level Structure'!$D:$D,'[1]SIG Level Structure'!F:F)</f>
        <v>T3</v>
      </c>
      <c r="K73" s="37" t="str">
        <f>E73&amp;"-"&amp;J73&amp;"-"&amp;G73</f>
        <v>AZE110-T3-07</v>
      </c>
      <c r="L73" s="37" t="str">
        <f>IFERROR(D73&amp;"-"&amp;LEFT(J73,1),"--")</f>
        <v>AZE-T</v>
      </c>
      <c r="M73" s="37" t="e">
        <f>VLOOKUP(L73,'[1]Compatible JC'!$A:$A,1,FALSE)</f>
        <v>#N/A</v>
      </c>
      <c r="N73" s="37" t="str">
        <f>IFERROR(_xlfn.XLOOKUP(H73,'[1]SIG Level Structure'!D:D,'[1]SIG Level Structure'!C:C),"--")</f>
        <v>Technician</v>
      </c>
      <c r="O73" s="38" t="str">
        <f>IFERROR(TRIM(N73&amp;" "&amp;C73),"--")</f>
        <v>Technician Mechanical Design Engineering</v>
      </c>
      <c r="P73" s="22" t="str">
        <f>_xlfn.XLOOKUP(E73,'[1]SIG Job Families &amp; Descriptions'!A:A,'[1]SIG Job Families &amp; Descriptions'!G:G)</f>
        <v>Performs preventive maintenance and repairs on equipment and systems (e.g., mechanical, electrical). 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v>
      </c>
      <c r="Q73" s="39" t="str">
        <f>_xlfn.XLOOKUP(E73,'[1]2022 GI Position Descriptions'!E:E,'[1]2022 GI Position Descriptions'!G:G)</f>
        <v>Directs and coordinates fabrication, installation, operation, application, maintenance and repair of mechanical or electromechanical machines, equipment, tools, engines and systems | Ensures that quality levels and industry standards are maintained or improved in the manufacturing process | Oversees installation, operation, maintenance and repair of equipment such as centralized heat, gas, water and steam systems | Evaluates mechanical products to determine their cost effectiveness and efficiency | May evaluate field installations and recommend design modifications to eliminate malfunctions</v>
      </c>
      <c r="R73" s="22" t="str">
        <f>IF(LEFT(J73,1)="E","EX",LEFT(J73,1))</f>
        <v>T</v>
      </c>
      <c r="S73" s="22" t="str">
        <f>_xlfn.XLOOKUP($R73,'[1]Career Bands &amp; Levels'!A:A,'[1]Career Bands &amp; Levels'!C:C)</f>
        <v>● Performs specialized technical tasks required to support operations (e.g., IT development, research support, skilled trade)
● Requires vocational training or the equivalent experience and may require external certification but typically does not require a university degree</v>
      </c>
      <c r="T73" s="22" t="str">
        <f>J73</f>
        <v>T3</v>
      </c>
      <c r="U73" s="40" t="str">
        <f t="shared" si="3"/>
        <v>T3</v>
      </c>
      <c r="V73" s="22" t="str">
        <f>_xlfn.XLOOKUP(T73,'[1]Career Bands &amp; Levels'!A:A,'[1]Career Bands &amp; Levels'!C:C)</f>
        <v xml:space="preserve">●	Has full proficiency in a range of technical processes or procedures (or deep skills in a single area) through job-related training and considerable work experience		
●	Completes a variety of atypical assignments		
●	Works within defined technical processes and procedures or methodologies and may help determine the appropriate approach for new assignments		
●	Works with a limited degree of supervision, with oversight focused only on complex new assignments		
●	Acts as an informal resource for colleagues with less experience		</v>
      </c>
      <c r="W73" s="41" t="str">
        <f>J73&amp;"-"&amp;G73</f>
        <v>T3-07</v>
      </c>
      <c r="X73" s="42" t="str">
        <f>G73</f>
        <v>07</v>
      </c>
      <c r="Y73" s="22" t="str">
        <f>_xlfn.XLOOKUP(W73,'[1]Career Bands &amp; Levels'!A:A,'[1]Career Bands &amp; Levels'!C:C,"No Grade Differentiator")</f>
        <v xml:space="preserve">●	Performs moderately complex and varied tasks		
●	May have specialized external certification		
●	Guides junior team members		</v>
      </c>
      <c r="Z73" s="43" t="str">
        <f>IFERROR(O73&amp;" - "&amp;G73,"--")</f>
        <v>Technician Mechanical Design Engineering - 07</v>
      </c>
      <c r="AA73" s="44" t="str">
        <f>_xlfn.XLOOKUP($H73,'[1]SIG Qualifications Input'!$D:$D,'[1]SIG Qualifications Input'!$H:$H)</f>
        <v>Typically an Associate’s degree or 2 to 4 years of vocational technical training preferred. HS diploma or equivalent required. Specialized skill training/certification often required to meet specific needs. Up to 8 years of experience.</v>
      </c>
    </row>
    <row r="74" spans="1:27" ht="183" thickBot="1" x14ac:dyDescent="0.2">
      <c r="A74" s="34" t="str">
        <f>_xlfn.XLOOKUP(C74,'[1]SIG Job Families &amp; Descriptions'!F:F,'[1]SIG Job Families &amp; Descriptions'!B:B)</f>
        <v>Engineering</v>
      </c>
      <c r="B74" s="34" t="str">
        <f>_xlfn.XLOOKUP(C74,'[1]SIG Job Families &amp; Descriptions'!F:F,'[1]SIG Job Families &amp; Descriptions'!D:D)</f>
        <v xml:space="preserve">Maintenance Engineering </v>
      </c>
      <c r="C74" s="34" t="s">
        <v>57</v>
      </c>
      <c r="D74" s="30" t="str">
        <f t="shared" si="2"/>
        <v>AZE</v>
      </c>
      <c r="E74" s="31" t="str">
        <f>_xlfn.XLOOKUP(C74,'[1]SIG Job Families &amp; Descriptions'!F:F,'[1]SIG Job Families &amp; Descriptions'!A:A)</f>
        <v>AZE050</v>
      </c>
      <c r="F74" s="32" t="s">
        <v>29</v>
      </c>
      <c r="G74" s="33" t="s">
        <v>33</v>
      </c>
      <c r="H74" s="34" t="str">
        <f>F74&amp;"-"&amp;G74</f>
        <v>Management-13</v>
      </c>
      <c r="I74" s="35" t="str">
        <f>IF(ISERROR(_xlfn.XLOOKUP(H74,'[1]SIG Level Structure'!D:D,'[1]SIG Level Structure'!D:D)),"0","1")</f>
        <v>1</v>
      </c>
      <c r="J74" s="36" t="str">
        <f>_xlfn.XLOOKUP($H74,'[1]SIG Level Structure'!$D:$D,'[1]SIG Level Structure'!F:F)</f>
        <v>M2</v>
      </c>
      <c r="K74" s="37" t="str">
        <f>E74&amp;"-"&amp;J74&amp;"-"&amp;G74</f>
        <v>AZE050-M2-13</v>
      </c>
      <c r="L74" s="37" t="str">
        <f>IFERROR(D74&amp;"-"&amp;LEFT(J74,1),"--")</f>
        <v>AZE-M</v>
      </c>
      <c r="M74" s="37" t="str">
        <f>VLOOKUP(L74,'[1]Compatible JC'!$A:$A,1,FALSE)</f>
        <v>AZE-M</v>
      </c>
      <c r="N74" s="37" t="str">
        <f>IFERROR(_xlfn.XLOOKUP(H74,'[1]SIG Level Structure'!D:D,'[1]SIG Level Structure'!C:C),"--")</f>
        <v>Manager</v>
      </c>
      <c r="O74" s="38" t="str">
        <f>IFERROR(TRIM(N74&amp;" "&amp;C74),"--")</f>
        <v>Manager Electrical (Equipment) Engineering</v>
      </c>
      <c r="P74" s="22" t="str">
        <f>_xlfn.XLOOKUP(E74,'[1]SIG Job Families &amp; Descriptions'!A:A,'[1]SIG Job Families &amp; Descriptions'!G:G)</f>
        <v>Performs preventive maintenance and repairs on equipment and systems (e.g., mechanical, electrical). 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v>
      </c>
      <c r="Q74" s="39" t="str">
        <f>_xlfn.XLOOKUP(E74,'[1]2022 GI Position Descriptions'!E:E,'[1]2022 GI Position Descriptions'!G:G)</f>
        <v>Plans and implements the design, manufacture, installation and/or maintenance of electrical systems and apparatus, such as electric motors, machinery controls, lighting, wiring and power systems/devices, for the generation, transmission and control of electric power</v>
      </c>
      <c r="R74" s="22" t="str">
        <f>IF(LEFT(J74,1)="E","EX",LEFT(J74,1))</f>
        <v>M</v>
      </c>
      <c r="S74" s="22" t="str">
        <f>_xlfn.XLOOKUP($R74,'[1]Career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74" s="22" t="str">
        <f>J74</f>
        <v>M2</v>
      </c>
      <c r="U74" s="40" t="str">
        <f t="shared" si="3"/>
        <v>M2</v>
      </c>
      <c r="V74" s="22" t="str">
        <f>_xlfn.XLOOKUP(T74,'[1]Career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74" s="41" t="str">
        <f>J74&amp;"-"&amp;G74</f>
        <v>M2-13</v>
      </c>
      <c r="X74" s="42" t="str">
        <f>G74</f>
        <v>13</v>
      </c>
      <c r="Y74" s="22" t="str">
        <f>_xlfn.XLOOKUP(W74,'[1]Career Bands &amp; Levels'!A:A,'[1]Career Bands &amp; Levels'!C:C,"No Grade Differentiator")</f>
        <v>●	Accountable for the budget, performance and results of a medium-sized team or multiple small teams of employees		
●	Exercises full management authority, including performance reviews, pay decisions, recruitment, discipline, termination and other personnel actions		
●	Addresses issues with impact beyond own team based on knowledge of related disciplines</v>
      </c>
      <c r="Z74" s="43" t="str">
        <f>IFERROR(O74&amp;" - "&amp;G74,"--")</f>
        <v>Manager Electrical (Equipment) Engineering - 13</v>
      </c>
      <c r="AA74" s="44" t="str">
        <f>_xlfn.XLOOKUP($H74,'[1]SIG Qualifications Input'!$D:$D,'[1]SIG Qualifications Input'!$H:$H)</f>
        <v>University degree or equivalent and 7-10 years of work experience or equivalent
Experience in managing mixed-level team(s) of professionals and subordinate managers</v>
      </c>
    </row>
    <row r="75" spans="1:27" ht="183" thickBot="1" x14ac:dyDescent="0.2">
      <c r="A75" s="34" t="str">
        <f>_xlfn.XLOOKUP(C75,'[1]SIG Job Families &amp; Descriptions'!F:F,'[1]SIG Job Families &amp; Descriptions'!B:B)</f>
        <v>Engineering</v>
      </c>
      <c r="B75" s="34" t="str">
        <f>_xlfn.XLOOKUP(C75,'[1]SIG Job Families &amp; Descriptions'!F:F,'[1]SIG Job Families &amp; Descriptions'!D:D)</f>
        <v xml:space="preserve">Maintenance Engineering </v>
      </c>
      <c r="C75" s="34" t="s">
        <v>57</v>
      </c>
      <c r="D75" s="30" t="str">
        <f t="shared" si="2"/>
        <v>AZE</v>
      </c>
      <c r="E75" s="31" t="str">
        <f>_xlfn.XLOOKUP(C75,'[1]SIG Job Families &amp; Descriptions'!F:F,'[1]SIG Job Families &amp; Descriptions'!A:A)</f>
        <v>AZE050</v>
      </c>
      <c r="F75" s="32" t="s">
        <v>29</v>
      </c>
      <c r="G75" s="33" t="s">
        <v>34</v>
      </c>
      <c r="H75" s="34" t="str">
        <f>F75&amp;"-"&amp;G75</f>
        <v>Management-12</v>
      </c>
      <c r="I75" s="35" t="str">
        <f>IF(ISERROR(_xlfn.XLOOKUP(H75,'[1]SIG Level Structure'!D:D,'[1]SIG Level Structure'!D:D)),"0","1")</f>
        <v>1</v>
      </c>
      <c r="J75" s="36" t="str">
        <f>_xlfn.XLOOKUP($H75,'[1]SIG Level Structure'!$D:$D,'[1]SIG Level Structure'!F:F)</f>
        <v>M2</v>
      </c>
      <c r="K75" s="37" t="str">
        <f>E75&amp;"-"&amp;J75&amp;"-"&amp;G75</f>
        <v>AZE050-M2-12</v>
      </c>
      <c r="L75" s="37" t="str">
        <f>IFERROR(D75&amp;"-"&amp;LEFT(J75,1),"--")</f>
        <v>AZE-M</v>
      </c>
      <c r="M75" s="37" t="str">
        <f>VLOOKUP(L75,'[1]Compatible JC'!$A:$A,1,FALSE)</f>
        <v>AZE-M</v>
      </c>
      <c r="N75" s="37" t="str">
        <f>IFERROR(_xlfn.XLOOKUP(H75,'[1]SIG Level Structure'!D:D,'[1]SIG Level Structure'!C:C),"--")</f>
        <v>Manager</v>
      </c>
      <c r="O75" s="38" t="str">
        <f>IFERROR(TRIM(N75&amp;" "&amp;C75),"--")</f>
        <v>Manager Electrical (Equipment) Engineering</v>
      </c>
      <c r="P75" s="22" t="str">
        <f>_xlfn.XLOOKUP(E75,'[1]SIG Job Families &amp; Descriptions'!A:A,'[1]SIG Job Families &amp; Descriptions'!G:G)</f>
        <v>Performs preventive maintenance and repairs on equipment and systems (e.g., mechanical, electrical). 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v>
      </c>
      <c r="Q75" s="39" t="str">
        <f>_xlfn.XLOOKUP(E75,'[1]2022 GI Position Descriptions'!E:E,'[1]2022 GI Position Descriptions'!G:G)</f>
        <v>Plans and implements the design, manufacture, installation and/or maintenance of electrical systems and apparatus, such as electric motors, machinery controls, lighting, wiring and power systems/devices, for the generation, transmission and control of electric power</v>
      </c>
      <c r="R75" s="22" t="str">
        <f>IF(LEFT(J75,1)="E","EX",LEFT(J75,1))</f>
        <v>M</v>
      </c>
      <c r="S75" s="22" t="str">
        <f>_xlfn.XLOOKUP($R75,'[1]Career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75" s="22" t="str">
        <f>J75</f>
        <v>M2</v>
      </c>
      <c r="U75" s="40" t="str">
        <f t="shared" si="3"/>
        <v>M2</v>
      </c>
      <c r="V75" s="22" t="str">
        <f>_xlfn.XLOOKUP(T75,'[1]Career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75" s="41" t="str">
        <f>J75&amp;"-"&amp;G75</f>
        <v>M2-12</v>
      </c>
      <c r="X75" s="42" t="str">
        <f>G75</f>
        <v>12</v>
      </c>
      <c r="Y75" s="22" t="str">
        <f>_xlfn.XLOOKUP(W75,'[1]Career Bands &amp; Levels'!A:A,'[1]Career Bands &amp; Levels'!C:C,"No Grade Differentiator")</f>
        <v xml:space="preserve">●	Accountable for results of a small team of employees		
●	Exercises limited management authority; sets employee performance objectives, conducts performance reviews and recommends pay actions		
●	Defines team operating standards and ensures essential procedures are followed based on knowledge of own discipline		</v>
      </c>
      <c r="Z75" s="43" t="str">
        <f>IFERROR(O75&amp;" - "&amp;G75,"--")</f>
        <v>Manager Electrical (Equipment) Engineering - 12</v>
      </c>
      <c r="AA75" s="44" t="str">
        <f>_xlfn.XLOOKUP($H75,'[1]SIG Qualifications Input'!$D:$D,'[1]SIG Qualifications Input'!$H:$H)</f>
        <v>University degree or equivalent and 7-10 years of work experience or equivalent
Experience in managing mixed-level team(s) of professionals and subordinate managers</v>
      </c>
    </row>
    <row r="76" spans="1:27" ht="169" thickBot="1" x14ac:dyDescent="0.2">
      <c r="A76" s="34" t="str">
        <f>_xlfn.XLOOKUP(C76,'[1]SIG Job Families &amp; Descriptions'!F:F,'[1]SIG Job Families &amp; Descriptions'!B:B)</f>
        <v>Engineering</v>
      </c>
      <c r="B76" s="34" t="str">
        <f>_xlfn.XLOOKUP(C76,'[1]SIG Job Families &amp; Descriptions'!F:F,'[1]SIG Job Families &amp; Descriptions'!D:D)</f>
        <v xml:space="preserve">Maintenance Engineering </v>
      </c>
      <c r="C76" s="34" t="s">
        <v>57</v>
      </c>
      <c r="D76" s="30" t="str">
        <f t="shared" si="2"/>
        <v>AZE</v>
      </c>
      <c r="E76" s="31" t="str">
        <f>_xlfn.XLOOKUP(C76,'[1]SIG Job Families &amp; Descriptions'!F:F,'[1]SIG Job Families &amp; Descriptions'!A:A)</f>
        <v>AZE050</v>
      </c>
      <c r="F76" s="32" t="s">
        <v>32</v>
      </c>
      <c r="G76" s="33" t="s">
        <v>34</v>
      </c>
      <c r="H76" s="34" t="str">
        <f>F76&amp;"-"&amp;G76</f>
        <v>Professional-12</v>
      </c>
      <c r="I76" s="35" t="str">
        <f>IF(ISERROR(_xlfn.XLOOKUP(H76,'[1]SIG Level Structure'!D:D,'[1]SIG Level Structure'!D:D)),"0","1")</f>
        <v>1</v>
      </c>
      <c r="J76" s="36" t="str">
        <f>_xlfn.XLOOKUP($H76,'[1]SIG Level Structure'!$D:$D,'[1]SIG Level Structure'!F:F)</f>
        <v>P3</v>
      </c>
      <c r="K76" s="37" t="str">
        <f>E76&amp;"-"&amp;J76&amp;"-"&amp;G76</f>
        <v>AZE050-P3-12</v>
      </c>
      <c r="L76" s="37" t="str">
        <f>IFERROR(D76&amp;"-"&amp;LEFT(J76,1),"--")</f>
        <v>AZE-P</v>
      </c>
      <c r="M76" s="37" t="str">
        <f>VLOOKUP(L76,'[1]Compatible JC'!$A:$A,1,FALSE)</f>
        <v>AZE-P</v>
      </c>
      <c r="N76" s="37" t="str">
        <f>IFERROR(_xlfn.XLOOKUP(H76,'[1]SIG Level Structure'!D:D,'[1]SIG Level Structure'!C:C),"--")</f>
        <v>Expert</v>
      </c>
      <c r="O76" s="38" t="str">
        <f>IFERROR(TRIM(N76&amp;" "&amp;C76),"--")</f>
        <v>Expert Electrical (Equipment) Engineering</v>
      </c>
      <c r="P76" s="22" t="str">
        <f>_xlfn.XLOOKUP(E76,'[1]SIG Job Families &amp; Descriptions'!A:A,'[1]SIG Job Families &amp; Descriptions'!G:G)</f>
        <v>Performs preventive maintenance and repairs on equipment and systems (e.g., mechanical, electrical). 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v>
      </c>
      <c r="Q76" s="39" t="str">
        <f>_xlfn.XLOOKUP(E76,'[1]2022 GI Position Descriptions'!E:E,'[1]2022 GI Position Descriptions'!G:G)</f>
        <v>Plans and implements the design, manufacture, installation and/or maintenance of electrical systems and apparatus, such as electric motors, machinery controls, lighting, wiring and power systems/devices, for the generation, transmission and control of electric power</v>
      </c>
      <c r="R76" s="22" t="str">
        <f>IF(LEFT(J76,1)="E","EX",LEFT(J76,1))</f>
        <v>P</v>
      </c>
      <c r="S76" s="22" t="str">
        <f>_xlfn.XLOOKUP($R76,'[1]Career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76" s="22" t="str">
        <f>J76</f>
        <v>P3</v>
      </c>
      <c r="U76" s="40" t="str">
        <f t="shared" si="3"/>
        <v>P3</v>
      </c>
      <c r="V76" s="22" t="str">
        <f>_xlfn.XLOOKUP(T76,'[1]Career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76" s="41" t="str">
        <f>J76&amp;"-"&amp;G76</f>
        <v>P3-12</v>
      </c>
      <c r="X76" s="42" t="str">
        <f>G76</f>
        <v>12</v>
      </c>
      <c r="Y76" s="22" t="str">
        <f>_xlfn.XLOOKUP(W76,'[1]Career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76" s="43" t="str">
        <f>IFERROR(O76&amp;" - "&amp;G76,"--")</f>
        <v>Expert Electrical (Equipment) Engineering - 12</v>
      </c>
      <c r="AA76" s="44" t="str">
        <f>_xlfn.XLOOKUP($H76,'[1]SIG Qualifications Input'!$D:$D,'[1]SIG Qualifications Input'!$H:$H)</f>
        <v>University degree or equivalent and 4-8 years of work experience or equivalent, 
Initial experience in functionally leading (sub-) projects</v>
      </c>
    </row>
    <row r="77" spans="1:27" ht="169" thickBot="1" x14ac:dyDescent="0.2">
      <c r="A77" s="34" t="str">
        <f>_xlfn.XLOOKUP(C77,'[1]SIG Job Families &amp; Descriptions'!F:F,'[1]SIG Job Families &amp; Descriptions'!B:B)</f>
        <v>Engineering</v>
      </c>
      <c r="B77" s="34" t="str">
        <f>_xlfn.XLOOKUP(C77,'[1]SIG Job Families &amp; Descriptions'!F:F,'[1]SIG Job Families &amp; Descriptions'!D:D)</f>
        <v xml:space="preserve">Maintenance Engineering </v>
      </c>
      <c r="C77" s="34" t="s">
        <v>57</v>
      </c>
      <c r="D77" s="30" t="str">
        <f t="shared" si="2"/>
        <v>AZE</v>
      </c>
      <c r="E77" s="31" t="str">
        <f>_xlfn.XLOOKUP(C77,'[1]SIG Job Families &amp; Descriptions'!F:F,'[1]SIG Job Families &amp; Descriptions'!A:A)</f>
        <v>AZE050</v>
      </c>
      <c r="F77" s="32" t="s">
        <v>32</v>
      </c>
      <c r="G77" s="33" t="s">
        <v>35</v>
      </c>
      <c r="H77" s="34" t="str">
        <f>F77&amp;"-"&amp;G77</f>
        <v>Professional-11</v>
      </c>
      <c r="I77" s="35" t="str">
        <f>IF(ISERROR(_xlfn.XLOOKUP(H77,'[1]SIG Level Structure'!D:D,'[1]SIG Level Structure'!D:D)),"0","1")</f>
        <v>1</v>
      </c>
      <c r="J77" s="36" t="str">
        <f>_xlfn.XLOOKUP($H77,'[1]SIG Level Structure'!$D:$D,'[1]SIG Level Structure'!F:F)</f>
        <v>P3</v>
      </c>
      <c r="K77" s="37" t="str">
        <f>E77&amp;"-"&amp;J77&amp;"-"&amp;G77</f>
        <v>AZE050-P3-11</v>
      </c>
      <c r="L77" s="37" t="str">
        <f>IFERROR(D77&amp;"-"&amp;LEFT(J77,1),"--")</f>
        <v>AZE-P</v>
      </c>
      <c r="M77" s="37" t="str">
        <f>VLOOKUP(L77,'[1]Compatible JC'!$A:$A,1,FALSE)</f>
        <v>AZE-P</v>
      </c>
      <c r="N77" s="37" t="str">
        <f>IFERROR(_xlfn.XLOOKUP(H77,'[1]SIG Level Structure'!D:D,'[1]SIG Level Structure'!C:C),"--")</f>
        <v>Expert</v>
      </c>
      <c r="O77" s="38" t="str">
        <f>IFERROR(TRIM(N77&amp;" "&amp;C77),"--")</f>
        <v>Expert Electrical (Equipment) Engineering</v>
      </c>
      <c r="P77" s="22" t="str">
        <f>_xlfn.XLOOKUP(E77,'[1]SIG Job Families &amp; Descriptions'!A:A,'[1]SIG Job Families &amp; Descriptions'!G:G)</f>
        <v>Performs preventive maintenance and repairs on equipment and systems (e.g., mechanical, electrical). 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v>
      </c>
      <c r="Q77" s="39" t="str">
        <f>_xlfn.XLOOKUP(E77,'[1]2022 GI Position Descriptions'!E:E,'[1]2022 GI Position Descriptions'!G:G)</f>
        <v>Plans and implements the design, manufacture, installation and/or maintenance of electrical systems and apparatus, such as electric motors, machinery controls, lighting, wiring and power systems/devices, for the generation, transmission and control of electric power</v>
      </c>
      <c r="R77" s="22" t="str">
        <f>IF(LEFT(J77,1)="E","EX",LEFT(J77,1))</f>
        <v>P</v>
      </c>
      <c r="S77" s="22" t="str">
        <f>_xlfn.XLOOKUP($R77,'[1]Career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77" s="22" t="str">
        <f>J77</f>
        <v>P3</v>
      </c>
      <c r="U77" s="40" t="str">
        <f t="shared" si="3"/>
        <v>P3</v>
      </c>
      <c r="V77" s="22" t="str">
        <f>_xlfn.XLOOKUP(T77,'[1]Career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77" s="41" t="str">
        <f>J77&amp;"-"&amp;G77</f>
        <v>P3-11</v>
      </c>
      <c r="X77" s="42" t="str">
        <f>G77</f>
        <v>11</v>
      </c>
      <c r="Y77" s="22" t="str">
        <f>_xlfn.XLOOKUP(W77,'[1]Career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77" s="43" t="str">
        <f>IFERROR(O77&amp;" - "&amp;G77,"--")</f>
        <v>Expert Electrical (Equipment) Engineering - 11</v>
      </c>
      <c r="AA77" s="44" t="str">
        <f>_xlfn.XLOOKUP($H77,'[1]SIG Qualifications Input'!$D:$D,'[1]SIG Qualifications Input'!$H:$H)</f>
        <v>University degree or equivalent and 4-8 years of work experience or equivalent, 
Initial experience in functionally leading (sub-) projects</v>
      </c>
    </row>
    <row r="78" spans="1:27" ht="169" thickBot="1" x14ac:dyDescent="0.2">
      <c r="A78" s="34" t="str">
        <f>_xlfn.XLOOKUP(C78,'[1]SIG Job Families &amp; Descriptions'!F:F,'[1]SIG Job Families &amp; Descriptions'!B:B)</f>
        <v>Engineering</v>
      </c>
      <c r="B78" s="34" t="str">
        <f>_xlfn.XLOOKUP(C78,'[1]SIG Job Families &amp; Descriptions'!F:F,'[1]SIG Job Families &amp; Descriptions'!D:D)</f>
        <v xml:space="preserve">Maintenance Engineering </v>
      </c>
      <c r="C78" s="34" t="s">
        <v>57</v>
      </c>
      <c r="D78" s="30" t="str">
        <f t="shared" si="2"/>
        <v>AZE</v>
      </c>
      <c r="E78" s="31" t="str">
        <f>_xlfn.XLOOKUP(C78,'[1]SIG Job Families &amp; Descriptions'!F:F,'[1]SIG Job Families &amp; Descriptions'!A:A)</f>
        <v>AZE050</v>
      </c>
      <c r="F78" s="32" t="s">
        <v>32</v>
      </c>
      <c r="G78" s="33" t="s">
        <v>36</v>
      </c>
      <c r="H78" s="34" t="str">
        <f>F78&amp;"-"&amp;G78</f>
        <v>Professional-10</v>
      </c>
      <c r="I78" s="35" t="str">
        <f>IF(ISERROR(_xlfn.XLOOKUP(H78,'[1]SIG Level Structure'!D:D,'[1]SIG Level Structure'!D:D)),"0","1")</f>
        <v>1</v>
      </c>
      <c r="J78" s="36" t="str">
        <f>_xlfn.XLOOKUP($H78,'[1]SIG Level Structure'!$D:$D,'[1]SIG Level Structure'!F:F)</f>
        <v>P2</v>
      </c>
      <c r="K78" s="37" t="str">
        <f>E78&amp;"-"&amp;J78&amp;"-"&amp;G78</f>
        <v>AZE050-P2-10</v>
      </c>
      <c r="L78" s="37" t="str">
        <f>IFERROR(D78&amp;"-"&amp;LEFT(J78,1),"--")</f>
        <v>AZE-P</v>
      </c>
      <c r="M78" s="37" t="str">
        <f>VLOOKUP(L78,'[1]Compatible JC'!$A:$A,1,FALSE)</f>
        <v>AZE-P</v>
      </c>
      <c r="N78" s="37" t="str">
        <f>IFERROR(_xlfn.XLOOKUP(H78,'[1]SIG Level Structure'!D:D,'[1]SIG Level Structure'!C:C),"--")</f>
        <v>Senior Specialist</v>
      </c>
      <c r="O78" s="38" t="str">
        <f>IFERROR(TRIM(N78&amp;" "&amp;C78),"--")</f>
        <v>Senior Specialist Electrical (Equipment) Engineering</v>
      </c>
      <c r="P78" s="22" t="str">
        <f>_xlfn.XLOOKUP(E78,'[1]SIG Job Families &amp; Descriptions'!A:A,'[1]SIG Job Families &amp; Descriptions'!G:G)</f>
        <v>Performs preventive maintenance and repairs on equipment and systems (e.g., mechanical, electrical). 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v>
      </c>
      <c r="Q78" s="39" t="str">
        <f>_xlfn.XLOOKUP(E78,'[1]2022 GI Position Descriptions'!E:E,'[1]2022 GI Position Descriptions'!G:G)</f>
        <v>Plans and implements the design, manufacture, installation and/or maintenance of electrical systems and apparatus, such as electric motors, machinery controls, lighting, wiring and power systems/devices, for the generation, transmission and control of electric power</v>
      </c>
      <c r="R78" s="22" t="str">
        <f>IF(LEFT(J78,1)="E","EX",LEFT(J78,1))</f>
        <v>P</v>
      </c>
      <c r="S78" s="22" t="str">
        <f>_xlfn.XLOOKUP($R78,'[1]Career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78" s="22" t="str">
        <f>J78</f>
        <v>P2</v>
      </c>
      <c r="U78" s="40" t="str">
        <f t="shared" si="3"/>
        <v>P2</v>
      </c>
      <c r="V78" s="22" t="str">
        <f>_xlfn.XLOOKUP(T78,'[1]Career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78" s="41" t="str">
        <f>J78&amp;"-"&amp;G78</f>
        <v>P2-10</v>
      </c>
      <c r="X78" s="42" t="str">
        <f>G78</f>
        <v>10</v>
      </c>
      <c r="Y78" s="22" t="str">
        <f>_xlfn.XLOOKUP(W78,'[1]Career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78" s="43" t="str">
        <f>IFERROR(O78&amp;" - "&amp;G78,"--")</f>
        <v>Senior Specialist Electrical (Equipment) Engineering - 10</v>
      </c>
      <c r="AA78" s="44" t="str">
        <f>_xlfn.XLOOKUP($H78,'[1]SIG Qualifications Input'!$D:$D,'[1]SIG Qualifications Input'!$H:$H)</f>
        <v>University degree or equivalent and 2-4 years of work experience or equivalent</v>
      </c>
    </row>
    <row r="79" spans="1:27" ht="169" thickBot="1" x14ac:dyDescent="0.2">
      <c r="A79" s="34" t="str">
        <f>_xlfn.XLOOKUP(C79,'[1]SIG Job Families &amp; Descriptions'!F:F,'[1]SIG Job Families &amp; Descriptions'!B:B)</f>
        <v>Engineering</v>
      </c>
      <c r="B79" s="34" t="str">
        <f>_xlfn.XLOOKUP(C79,'[1]SIG Job Families &amp; Descriptions'!F:F,'[1]SIG Job Families &amp; Descriptions'!D:D)</f>
        <v xml:space="preserve">Maintenance Engineering </v>
      </c>
      <c r="C79" s="34" t="s">
        <v>57</v>
      </c>
      <c r="D79" s="30" t="str">
        <f t="shared" si="2"/>
        <v>AZE</v>
      </c>
      <c r="E79" s="31" t="str">
        <f>_xlfn.XLOOKUP(C79,'[1]SIG Job Families &amp; Descriptions'!F:F,'[1]SIG Job Families &amp; Descriptions'!A:A)</f>
        <v>AZE050</v>
      </c>
      <c r="F79" s="32" t="s">
        <v>32</v>
      </c>
      <c r="G79" s="33" t="s">
        <v>37</v>
      </c>
      <c r="H79" s="34" t="str">
        <f>F79&amp;"-"&amp;G79</f>
        <v>Professional-09</v>
      </c>
      <c r="I79" s="35" t="str">
        <f>IF(ISERROR(_xlfn.XLOOKUP(H79,'[1]SIG Level Structure'!D:D,'[1]SIG Level Structure'!D:D)),"0","1")</f>
        <v>1</v>
      </c>
      <c r="J79" s="36" t="str">
        <f>_xlfn.XLOOKUP($H79,'[1]SIG Level Structure'!$D:$D,'[1]SIG Level Structure'!F:F)</f>
        <v>P2</v>
      </c>
      <c r="K79" s="37" t="str">
        <f>E79&amp;"-"&amp;J79&amp;"-"&amp;G79</f>
        <v>AZE050-P2-09</v>
      </c>
      <c r="L79" s="37" t="str">
        <f>IFERROR(D79&amp;"-"&amp;LEFT(J79,1),"--")</f>
        <v>AZE-P</v>
      </c>
      <c r="M79" s="37" t="str">
        <f>VLOOKUP(L79,'[1]Compatible JC'!$A:$A,1,FALSE)</f>
        <v>AZE-P</v>
      </c>
      <c r="N79" s="37" t="str">
        <f>IFERROR(_xlfn.XLOOKUP(H79,'[1]SIG Level Structure'!D:D,'[1]SIG Level Structure'!C:C),"--")</f>
        <v>Senior Specialist</v>
      </c>
      <c r="O79" s="38" t="str">
        <f>IFERROR(TRIM(N79&amp;" "&amp;C79),"--")</f>
        <v>Senior Specialist Electrical (Equipment) Engineering</v>
      </c>
      <c r="P79" s="22" t="str">
        <f>_xlfn.XLOOKUP(E79,'[1]SIG Job Families &amp; Descriptions'!A:A,'[1]SIG Job Families &amp; Descriptions'!G:G)</f>
        <v>Performs preventive maintenance and repairs on equipment and systems (e.g., mechanical, electrical). 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v>
      </c>
      <c r="Q79" s="39" t="str">
        <f>_xlfn.XLOOKUP(E79,'[1]2022 GI Position Descriptions'!E:E,'[1]2022 GI Position Descriptions'!G:G)</f>
        <v>Plans and implements the design, manufacture, installation and/or maintenance of electrical systems and apparatus, such as electric motors, machinery controls, lighting, wiring and power systems/devices, for the generation, transmission and control of electric power</v>
      </c>
      <c r="R79" s="22" t="str">
        <f>IF(LEFT(J79,1)="E","EX",LEFT(J79,1))</f>
        <v>P</v>
      </c>
      <c r="S79" s="22" t="str">
        <f>_xlfn.XLOOKUP($R79,'[1]Career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79" s="22" t="str">
        <f>J79</f>
        <v>P2</v>
      </c>
      <c r="U79" s="40" t="str">
        <f t="shared" si="3"/>
        <v>P2</v>
      </c>
      <c r="V79" s="22" t="str">
        <f>_xlfn.XLOOKUP(T79,'[1]Career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79" s="41" t="str">
        <f>J79&amp;"-"&amp;G79</f>
        <v>P2-09</v>
      </c>
      <c r="X79" s="42" t="str">
        <f>G79</f>
        <v>09</v>
      </c>
      <c r="Y79" s="22" t="str">
        <f>_xlfn.XLOOKUP(W79,'[1]Career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79" s="43" t="str">
        <f>IFERROR(O79&amp;" - "&amp;G79,"--")</f>
        <v>Senior Specialist Electrical (Equipment) Engineering - 09</v>
      </c>
      <c r="AA79" s="44" t="str">
        <f>_xlfn.XLOOKUP($H79,'[1]SIG Qualifications Input'!$D:$D,'[1]SIG Qualifications Input'!$H:$H)</f>
        <v>University degree or equivalent and 2-4 years of work experience or equivalent</v>
      </c>
    </row>
    <row r="80" spans="1:27" ht="183" thickBot="1" x14ac:dyDescent="0.2">
      <c r="A80" s="34" t="str">
        <f>_xlfn.XLOOKUP(C80,'[1]SIG Job Families &amp; Descriptions'!F:F,'[1]SIG Job Families &amp; Descriptions'!B:B)</f>
        <v>Engineering</v>
      </c>
      <c r="B80" s="34" t="str">
        <f>_xlfn.XLOOKUP(C80,'[1]SIG Job Families &amp; Descriptions'!F:F,'[1]SIG Job Families &amp; Descriptions'!D:D)</f>
        <v xml:space="preserve">Maintenance Engineering </v>
      </c>
      <c r="C80" s="34" t="s">
        <v>57</v>
      </c>
      <c r="D80" s="30" t="str">
        <f t="shared" si="2"/>
        <v>AZE</v>
      </c>
      <c r="E80" s="31" t="str">
        <f>_xlfn.XLOOKUP(C80,'[1]SIG Job Families &amp; Descriptions'!F:F,'[1]SIG Job Families &amp; Descriptions'!A:A)</f>
        <v>AZE050</v>
      </c>
      <c r="F80" s="32" t="s">
        <v>29</v>
      </c>
      <c r="G80" s="33" t="s">
        <v>35</v>
      </c>
      <c r="H80" s="34" t="str">
        <f>F80&amp;"-"&amp;G80</f>
        <v>Management-11</v>
      </c>
      <c r="I80" s="35" t="str">
        <f>IF(ISERROR(_xlfn.XLOOKUP(H80,'[1]SIG Level Structure'!D:D,'[1]SIG Level Structure'!D:D)),"0","1")</f>
        <v>1</v>
      </c>
      <c r="J80" s="36" t="str">
        <f>_xlfn.XLOOKUP($H80,'[1]SIG Level Structure'!$D:$D,'[1]SIG Level Structure'!F:F)</f>
        <v>M1</v>
      </c>
      <c r="K80" s="37" t="str">
        <f>E80&amp;"-"&amp;J80&amp;"-"&amp;G80</f>
        <v>AZE050-M1-11</v>
      </c>
      <c r="L80" s="37" t="str">
        <f>IFERROR(D80&amp;"-"&amp;LEFT(J80,1),"--")</f>
        <v>AZE-M</v>
      </c>
      <c r="M80" s="37" t="str">
        <f>VLOOKUP(L80,'[1]Compatible JC'!$A:$A,1,FALSE)</f>
        <v>AZE-M</v>
      </c>
      <c r="N80" s="37" t="str">
        <f>IFERROR(_xlfn.XLOOKUP(H80,'[1]SIG Level Structure'!D:D,'[1]SIG Level Structure'!C:C),"--")</f>
        <v>Supervisor</v>
      </c>
      <c r="O80" s="38" t="str">
        <f>IFERROR(TRIM(N80&amp;" "&amp;C80),"--")</f>
        <v>Supervisor Electrical (Equipment) Engineering</v>
      </c>
      <c r="P80" s="22" t="str">
        <f>_xlfn.XLOOKUP(E80,'[1]SIG Job Families &amp; Descriptions'!A:A,'[1]SIG Job Families &amp; Descriptions'!G:G)</f>
        <v>Performs preventive maintenance and repairs on equipment and systems (e.g., mechanical, electrical). 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v>
      </c>
      <c r="Q80" s="39" t="str">
        <f>_xlfn.XLOOKUP(E80,'[1]2022 GI Position Descriptions'!E:E,'[1]2022 GI Position Descriptions'!G:G)</f>
        <v>Plans and implements the design, manufacture, installation and/or maintenance of electrical systems and apparatus, such as electric motors, machinery controls, lighting, wiring and power systems/devices, for the generation, transmission and control of electric power</v>
      </c>
      <c r="R80" s="22" t="str">
        <f>IF(LEFT(J80,1)="E","EX",LEFT(J80,1))</f>
        <v>M</v>
      </c>
      <c r="S80" s="22" t="str">
        <f>_xlfn.XLOOKUP($R80,'[1]Career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80" s="22" t="str">
        <f>J80</f>
        <v>M1</v>
      </c>
      <c r="U80" s="40" t="str">
        <f t="shared" si="3"/>
        <v>M1</v>
      </c>
      <c r="V80" s="22" t="str">
        <f>_xlfn.XLOOKUP(T80,'[1]Career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80" s="41" t="str">
        <f>J80&amp;"-"&amp;G80</f>
        <v>M1-11</v>
      </c>
      <c r="X80" s="42" t="str">
        <f>G80</f>
        <v>11</v>
      </c>
      <c r="Y80" s="22" t="str">
        <f>_xlfn.XLOOKUP(W80,'[1]Career Bands &amp; Levels'!A:A,'[1]Career Bands &amp; Levels'!C:C,"No Grade Differentiator")</f>
        <v xml:space="preserve">●	Accountable for the results of a large and/or moderately complex support or production operations team including subordinate work leaders		
●	Applies acquired expertise to analyze and solve problems without clear precedent		
●	Provides input on resource planning and policy development		
●	Coaches team members on performance, completes employee performance evaluations and recommends pay actions		</v>
      </c>
      <c r="Z80" s="43" t="str">
        <f>IFERROR(O80&amp;" - "&amp;G80,"--")</f>
        <v>Supervisor Electrical (Equipment) Engineering - 11</v>
      </c>
      <c r="AA80" s="44" t="str">
        <f>_xlfn.XLOOKUP($H80,'[1]SIG Qualifications Input'!$D:$D,'[1]SIG Qualifications Input'!$H:$H)</f>
        <v>University degree or equivalent and 5-7 years of work experience or equivalent
Experienced in application of management techniques
Experience in operationally managing a mixed-level team</v>
      </c>
    </row>
    <row r="81" spans="1:27" ht="141" thickBot="1" x14ac:dyDescent="0.2">
      <c r="A81" s="34" t="str">
        <f>_xlfn.XLOOKUP(C81,'[1]SIG Job Families &amp; Descriptions'!F:F,'[1]SIG Job Families &amp; Descriptions'!B:B)</f>
        <v>Engineering</v>
      </c>
      <c r="B81" s="34" t="str">
        <f>_xlfn.XLOOKUP(C81,'[1]SIG Job Families &amp; Descriptions'!F:F,'[1]SIG Job Families &amp; Descriptions'!D:D)</f>
        <v xml:space="preserve">Maintenance Engineering </v>
      </c>
      <c r="C81" s="34" t="s">
        <v>57</v>
      </c>
      <c r="D81" s="30" t="str">
        <f t="shared" si="2"/>
        <v>AZE</v>
      </c>
      <c r="E81" s="31" t="str">
        <f>_xlfn.XLOOKUP(C81,'[1]SIG Job Families &amp; Descriptions'!F:F,'[1]SIG Job Families &amp; Descriptions'!A:A)</f>
        <v>AZE050</v>
      </c>
      <c r="F81" s="32" t="s">
        <v>50</v>
      </c>
      <c r="G81" s="33" t="s">
        <v>36</v>
      </c>
      <c r="H81" s="34" t="str">
        <f>F81&amp;"-"&amp;G81</f>
        <v>Operations-10</v>
      </c>
      <c r="I81" s="35" t="str">
        <f>IF(ISERROR(_xlfn.XLOOKUP(H81,'[1]SIG Level Structure'!D:D,'[1]SIG Level Structure'!D:D)),"0","1")</f>
        <v>1</v>
      </c>
      <c r="J81" s="36" t="str">
        <f>_xlfn.XLOOKUP($H81,'[1]SIG Level Structure'!$D:$D,'[1]SIG Level Structure'!F:F)</f>
        <v>T4</v>
      </c>
      <c r="K81" s="37" t="str">
        <f>E81&amp;"-"&amp;J81&amp;"-"&amp;G81</f>
        <v>AZE050-T4-10</v>
      </c>
      <c r="L81" s="37" t="str">
        <f>IFERROR(D81&amp;"-"&amp;LEFT(J81,1),"--")</f>
        <v>AZE-T</v>
      </c>
      <c r="M81" s="37" t="e">
        <f>VLOOKUP(L81,'[1]Compatible JC'!$A:$A,1,FALSE)</f>
        <v>#N/A</v>
      </c>
      <c r="N81" s="37" t="str">
        <f>IFERROR(_xlfn.XLOOKUP(H81,'[1]SIG Level Structure'!D:D,'[1]SIG Level Structure'!C:C),"--")</f>
        <v>Senior Technician</v>
      </c>
      <c r="O81" s="38" t="str">
        <f>IFERROR(TRIM(N81&amp;" "&amp;C81),"--")</f>
        <v>Senior Technician Electrical (Equipment) Engineering</v>
      </c>
      <c r="P81" s="22" t="str">
        <f>_xlfn.XLOOKUP(E81,'[1]SIG Job Families &amp; Descriptions'!A:A,'[1]SIG Job Families &amp; Descriptions'!G:G)</f>
        <v>Performs preventive maintenance and repairs on equipment and systems (e.g., mechanical, electrical). 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v>
      </c>
      <c r="Q81" s="39" t="str">
        <f>_xlfn.XLOOKUP(E81,'[1]2022 GI Position Descriptions'!E:E,'[1]2022 GI Position Descriptions'!G:G)</f>
        <v>Plans and implements the design, manufacture, installation and/or maintenance of electrical systems and apparatus, such as electric motors, machinery controls, lighting, wiring and power systems/devices, for the generation, transmission and control of electric power</v>
      </c>
      <c r="R81" s="22" t="str">
        <f>IF(LEFT(J81,1)="E","EX",LEFT(J81,1))</f>
        <v>T</v>
      </c>
      <c r="S81" s="22" t="str">
        <f>_xlfn.XLOOKUP($R81,'[1]Career Bands &amp; Levels'!A:A,'[1]Career Bands &amp; Levels'!C:C)</f>
        <v>● Performs specialized technical tasks required to support operations (e.g., IT development, research support, skilled trade)
● Requires vocational training or the equivalent experience and may require external certification but typically does not require a university degree</v>
      </c>
      <c r="T81" s="22" t="str">
        <f>J81</f>
        <v>T4</v>
      </c>
      <c r="U81" s="40" t="str">
        <f t="shared" si="3"/>
        <v>T4</v>
      </c>
      <c r="V81" s="22" t="str">
        <f>_xlfn.XLOOKUP(T81,'[1]Career Bands &amp; Levels'!A:A,'[1]Career Bands &amp; Levels'!C:C)</f>
        <v xml:space="preserve">●	Has advanced and specialized expertise, typically developed through a combination of job-related training and considerable work experience		
●	Proposes improvements to processes		
●	May act as a lead, coordinating and facilitating the work of others but is not a supervisor		
●	Works autonomously within established procedures and practices		
●	Spends a majority of working time performing the same work processes and activities as employees on team		</v>
      </c>
      <c r="W81" s="41" t="str">
        <f>J81&amp;"-"&amp;G81</f>
        <v>T4-10</v>
      </c>
      <c r="X81" s="42" t="str">
        <f>G81</f>
        <v>10</v>
      </c>
      <c r="Y81" s="22" t="str">
        <f>_xlfn.XLOOKUP(W81,'[1]Career Bands &amp; Levels'!A:A,'[1]Career Bands &amp; Levels'!C:C,"No Grade Differentiator")</f>
        <v xml:space="preserve">●	Performs a variety of the most complex tasks and/or may lead one or more teams		
●	Analyzes the most complex technical problems and delivers solutions where precedent may not exist		</v>
      </c>
      <c r="Z81" s="43" t="str">
        <f>IFERROR(O81&amp;" - "&amp;G81,"--")</f>
        <v>Senior Technician Electrical (Equipment) Engineering - 10</v>
      </c>
      <c r="AA81" s="44" t="str">
        <f>_xlfn.XLOOKUP($H81,'[1]SIG Qualifications Input'!$D:$D,'[1]SIG Qualifications Input'!$H:$H)</f>
        <v>Typically an Associate’s degree or 2 to 4 years of vocational technical training preferred. HS diploma or equivalent required. Specialized skill training/certification often required to meet specific needs. Deep and specialized practical experience required, often more then 10 years.</v>
      </c>
    </row>
    <row r="82" spans="1:27" ht="141" thickBot="1" x14ac:dyDescent="0.2">
      <c r="A82" s="34" t="str">
        <f>_xlfn.XLOOKUP(C82,'[1]SIG Job Families &amp; Descriptions'!F:F,'[1]SIG Job Families &amp; Descriptions'!B:B)</f>
        <v>Engineering</v>
      </c>
      <c r="B82" s="34" t="str">
        <f>_xlfn.XLOOKUP(C82,'[1]SIG Job Families &amp; Descriptions'!F:F,'[1]SIG Job Families &amp; Descriptions'!D:D)</f>
        <v xml:space="preserve">Maintenance Engineering </v>
      </c>
      <c r="C82" s="34" t="s">
        <v>57</v>
      </c>
      <c r="D82" s="30" t="str">
        <f t="shared" si="2"/>
        <v>AZE</v>
      </c>
      <c r="E82" s="31" t="str">
        <f>_xlfn.XLOOKUP(C82,'[1]SIG Job Families &amp; Descriptions'!F:F,'[1]SIG Job Families &amp; Descriptions'!A:A)</f>
        <v>AZE050</v>
      </c>
      <c r="F82" s="32" t="s">
        <v>50</v>
      </c>
      <c r="G82" s="33" t="s">
        <v>37</v>
      </c>
      <c r="H82" s="34" t="str">
        <f>F82&amp;"-"&amp;G82</f>
        <v>Operations-09</v>
      </c>
      <c r="I82" s="35" t="str">
        <f>IF(ISERROR(_xlfn.XLOOKUP(H82,'[1]SIG Level Structure'!D:D,'[1]SIG Level Structure'!D:D)),"0","1")</f>
        <v>1</v>
      </c>
      <c r="J82" s="36" t="str">
        <f>_xlfn.XLOOKUP($H82,'[1]SIG Level Structure'!$D:$D,'[1]SIG Level Structure'!F:F)</f>
        <v>T4</v>
      </c>
      <c r="K82" s="37" t="str">
        <f>E82&amp;"-"&amp;J82&amp;"-"&amp;G82</f>
        <v>AZE050-T4-09</v>
      </c>
      <c r="L82" s="37" t="str">
        <f>IFERROR(D82&amp;"-"&amp;LEFT(J82,1),"--")</f>
        <v>AZE-T</v>
      </c>
      <c r="M82" s="37" t="e">
        <f>VLOOKUP(L82,'[1]Compatible JC'!$A:$A,1,FALSE)</f>
        <v>#N/A</v>
      </c>
      <c r="N82" s="37" t="str">
        <f>IFERROR(_xlfn.XLOOKUP(H82,'[1]SIG Level Structure'!D:D,'[1]SIG Level Structure'!C:C),"--")</f>
        <v>Technician</v>
      </c>
      <c r="O82" s="38" t="str">
        <f>IFERROR(TRIM(N82&amp;" "&amp;C82),"--")</f>
        <v>Technician Electrical (Equipment) Engineering</v>
      </c>
      <c r="P82" s="22" t="str">
        <f>_xlfn.XLOOKUP(E82,'[1]SIG Job Families &amp; Descriptions'!A:A,'[1]SIG Job Families &amp; Descriptions'!G:G)</f>
        <v>Performs preventive maintenance and repairs on equipment and systems (e.g., mechanical, electrical). 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v>
      </c>
      <c r="Q82" s="39" t="str">
        <f>_xlfn.XLOOKUP(E82,'[1]2022 GI Position Descriptions'!E:E,'[1]2022 GI Position Descriptions'!G:G)</f>
        <v>Plans and implements the design, manufacture, installation and/or maintenance of electrical systems and apparatus, such as electric motors, machinery controls, lighting, wiring and power systems/devices, for the generation, transmission and control of electric power</v>
      </c>
      <c r="R82" s="22" t="str">
        <f>IF(LEFT(J82,1)="E","EX",LEFT(J82,1))</f>
        <v>T</v>
      </c>
      <c r="S82" s="22" t="str">
        <f>_xlfn.XLOOKUP($R82,'[1]Career Bands &amp; Levels'!A:A,'[1]Career Bands &amp; Levels'!C:C)</f>
        <v>● Performs specialized technical tasks required to support operations (e.g., IT development, research support, skilled trade)
● Requires vocational training or the equivalent experience and may require external certification but typically does not require a university degree</v>
      </c>
      <c r="T82" s="22" t="str">
        <f>J82</f>
        <v>T4</v>
      </c>
      <c r="U82" s="40" t="str">
        <f t="shared" si="3"/>
        <v>T4</v>
      </c>
      <c r="V82" s="22" t="str">
        <f>_xlfn.XLOOKUP(T82,'[1]Career Bands &amp; Levels'!A:A,'[1]Career Bands &amp; Levels'!C:C)</f>
        <v xml:space="preserve">●	Has advanced and specialized expertise, typically developed through a combination of job-related training and considerable work experience		
●	Proposes improvements to processes		
●	May act as a lead, coordinating and facilitating the work of others but is not a supervisor		
●	Works autonomously within established procedures and practices		
●	Spends a majority of working time performing the same work processes and activities as employees on team		</v>
      </c>
      <c r="W82" s="41" t="str">
        <f>J82&amp;"-"&amp;G82</f>
        <v>T4-09</v>
      </c>
      <c r="X82" s="42" t="str">
        <f>G82</f>
        <v>09</v>
      </c>
      <c r="Y82" s="22" t="str">
        <f>_xlfn.XLOOKUP(W82,'[1]Career Bands &amp; Levels'!A:A,'[1]Career Bands &amp; Levels'!C:C,"No Grade Differentiator")</f>
        <v xml:space="preserve">●	Performs a variety of complex tasks and/or may lead a team in the performance of a variety of tasks that are often routine		
●	Solves complex problems of a recurring nature		</v>
      </c>
      <c r="Z82" s="43" t="str">
        <f>IFERROR(O82&amp;" - "&amp;G82,"--")</f>
        <v>Technician Electrical (Equipment) Engineering - 09</v>
      </c>
      <c r="AA82" s="44" t="str">
        <f>_xlfn.XLOOKUP($H82,'[1]SIG Qualifications Input'!$D:$D,'[1]SIG Qualifications Input'!$H:$H)</f>
        <v>Typically an Associate’s degree or 2 to 4 years of vocational technical training preferred. HS diploma or equivalent required. Specialized skill training/certification often required to meet specific needs. Up to 8 years of experience.</v>
      </c>
    </row>
    <row r="83" spans="1:27" ht="141" thickBot="1" x14ac:dyDescent="0.2">
      <c r="A83" s="34" t="str">
        <f>_xlfn.XLOOKUP(C83,'[1]SIG Job Families &amp; Descriptions'!F:F,'[1]SIG Job Families &amp; Descriptions'!B:B)</f>
        <v>Engineering</v>
      </c>
      <c r="B83" s="34" t="str">
        <f>_xlfn.XLOOKUP(C83,'[1]SIG Job Families &amp; Descriptions'!F:F,'[1]SIG Job Families &amp; Descriptions'!D:D)</f>
        <v xml:space="preserve">Maintenance Engineering </v>
      </c>
      <c r="C83" s="34" t="s">
        <v>57</v>
      </c>
      <c r="D83" s="30" t="str">
        <f t="shared" si="2"/>
        <v>AZE</v>
      </c>
      <c r="E83" s="31" t="str">
        <f>_xlfn.XLOOKUP(C83,'[1]SIG Job Families &amp; Descriptions'!F:F,'[1]SIG Job Families &amp; Descriptions'!A:A)</f>
        <v>AZE050</v>
      </c>
      <c r="F83" s="32" t="s">
        <v>51</v>
      </c>
      <c r="G83" s="33" t="s">
        <v>43</v>
      </c>
      <c r="H83" s="34" t="str">
        <f>F83&amp;"-"&amp;G83</f>
        <v>Operations / Technician-08</v>
      </c>
      <c r="I83" s="35" t="str">
        <f>IF(ISERROR(_xlfn.XLOOKUP(H83,'[1]SIG Level Structure'!D:D,'[1]SIG Level Structure'!D:D)),"0","1")</f>
        <v>1</v>
      </c>
      <c r="J83" s="36" t="str">
        <f>_xlfn.XLOOKUP($H83,'[1]SIG Level Structure'!$D:$D,'[1]SIG Level Structure'!F:F)</f>
        <v>T3</v>
      </c>
      <c r="K83" s="37" t="str">
        <f>E83&amp;"-"&amp;J83&amp;"-"&amp;G83</f>
        <v>AZE050-T3-08</v>
      </c>
      <c r="L83" s="37" t="str">
        <f>IFERROR(D83&amp;"-"&amp;LEFT(J83,1),"--")</f>
        <v>AZE-T</v>
      </c>
      <c r="M83" s="37" t="e">
        <f>VLOOKUP(L83,'[1]Compatible JC'!$A:$A,1,FALSE)</f>
        <v>#N/A</v>
      </c>
      <c r="N83" s="37" t="str">
        <f>IFERROR(_xlfn.XLOOKUP(H83,'[1]SIG Level Structure'!D:D,'[1]SIG Level Structure'!C:C),"--")</f>
        <v>Technician</v>
      </c>
      <c r="O83" s="38" t="str">
        <f>IFERROR(TRIM(N83&amp;" "&amp;C83),"--")</f>
        <v>Technician Electrical (Equipment) Engineering</v>
      </c>
      <c r="P83" s="22" t="str">
        <f>_xlfn.XLOOKUP(E83,'[1]SIG Job Families &amp; Descriptions'!A:A,'[1]SIG Job Families &amp; Descriptions'!G:G)</f>
        <v>Performs preventive maintenance and repairs on equipment and systems (e.g., mechanical, electrical). 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v>
      </c>
      <c r="Q83" s="39" t="str">
        <f>_xlfn.XLOOKUP(E83,'[1]2022 GI Position Descriptions'!E:E,'[1]2022 GI Position Descriptions'!G:G)</f>
        <v>Plans and implements the design, manufacture, installation and/or maintenance of electrical systems and apparatus, such as electric motors, machinery controls, lighting, wiring and power systems/devices, for the generation, transmission and control of electric power</v>
      </c>
      <c r="R83" s="22" t="str">
        <f>IF(LEFT(J83,1)="E","EX",LEFT(J83,1))</f>
        <v>T</v>
      </c>
      <c r="S83" s="22" t="str">
        <f>_xlfn.XLOOKUP($R83,'[1]Career Bands &amp; Levels'!A:A,'[1]Career Bands &amp; Levels'!C:C)</f>
        <v>● Performs specialized technical tasks required to support operations (e.g., IT development, research support, skilled trade)
● Requires vocational training or the equivalent experience and may require external certification but typically does not require a university degree</v>
      </c>
      <c r="T83" s="22" t="str">
        <f>J83</f>
        <v>T3</v>
      </c>
      <c r="U83" s="40" t="str">
        <f t="shared" si="3"/>
        <v>T3</v>
      </c>
      <c r="V83" s="22" t="str">
        <f>_xlfn.XLOOKUP(T83,'[1]Career Bands &amp; Levels'!A:A,'[1]Career Bands &amp; Levels'!C:C)</f>
        <v xml:space="preserve">●	Has full proficiency in a range of technical processes or procedures (or deep skills in a single area) through job-related training and considerable work experience		
●	Completes a variety of atypical assignments		
●	Works within defined technical processes and procedures or methodologies and may help determine the appropriate approach for new assignments		
●	Works with a limited degree of supervision, with oversight focused only on complex new assignments		
●	Acts as an informal resource for colleagues with less experience		</v>
      </c>
      <c r="W83" s="41" t="str">
        <f>J83&amp;"-"&amp;G83</f>
        <v>T3-08</v>
      </c>
      <c r="X83" s="42" t="str">
        <f>G83</f>
        <v>08</v>
      </c>
      <c r="Y83" s="22" t="str">
        <f>_xlfn.XLOOKUP(W83,'[1]Career Bands &amp; Levels'!A:A,'[1]Career Bands &amp; Levels'!C:C,"No Grade Differentiator")</f>
        <v xml:space="preserve">●	Performs highly complex and varied tasks		
●	Typically has specialized external certification		
●	Guides and supports junior team members; may assist in their formal orientation and training		</v>
      </c>
      <c r="Z83" s="43" t="str">
        <f>IFERROR(O83&amp;" - "&amp;G83,"--")</f>
        <v>Technician Electrical (Equipment) Engineering - 08</v>
      </c>
      <c r="AA83" s="44" t="str">
        <f>_xlfn.XLOOKUP($H83,'[1]SIG Qualifications Input'!$D:$D,'[1]SIG Qualifications Input'!$H:$H)</f>
        <v>Typically an Associate’s degree or 2 to 4 years of vocational technical training preferred. HS diploma or equivalent required. Specialized skill training/certification often required to meet specific needs. Up to 8 years of experience.</v>
      </c>
    </row>
    <row r="84" spans="1:27" ht="141" thickBot="1" x14ac:dyDescent="0.2">
      <c r="A84" s="34" t="str">
        <f>_xlfn.XLOOKUP(C84,'[1]SIG Job Families &amp; Descriptions'!F:F,'[1]SIG Job Families &amp; Descriptions'!B:B)</f>
        <v>Engineering</v>
      </c>
      <c r="B84" s="34" t="str">
        <f>_xlfn.XLOOKUP(C84,'[1]SIG Job Families &amp; Descriptions'!F:F,'[1]SIG Job Families &amp; Descriptions'!D:D)</f>
        <v xml:space="preserve">Maintenance Engineering </v>
      </c>
      <c r="C84" s="34" t="s">
        <v>57</v>
      </c>
      <c r="D84" s="30" t="str">
        <f t="shared" si="2"/>
        <v>AZE</v>
      </c>
      <c r="E84" s="31" t="str">
        <f>_xlfn.XLOOKUP(C84,'[1]SIG Job Families &amp; Descriptions'!F:F,'[1]SIG Job Families &amp; Descriptions'!A:A)</f>
        <v>AZE050</v>
      </c>
      <c r="F84" s="32" t="s">
        <v>51</v>
      </c>
      <c r="G84" s="33" t="s">
        <v>52</v>
      </c>
      <c r="H84" s="34" t="str">
        <f>F84&amp;"-"&amp;G84</f>
        <v>Operations / Technician-07</v>
      </c>
      <c r="I84" s="35" t="str">
        <f>IF(ISERROR(_xlfn.XLOOKUP(H84,'[1]SIG Level Structure'!D:D,'[1]SIG Level Structure'!D:D)),"0","1")</f>
        <v>1</v>
      </c>
      <c r="J84" s="36" t="str">
        <f>_xlfn.XLOOKUP($H84,'[1]SIG Level Structure'!$D:$D,'[1]SIG Level Structure'!F:F)</f>
        <v>T3</v>
      </c>
      <c r="K84" s="37" t="str">
        <f>E84&amp;"-"&amp;J84&amp;"-"&amp;G84</f>
        <v>AZE050-T3-07</v>
      </c>
      <c r="L84" s="37" t="str">
        <f>IFERROR(D84&amp;"-"&amp;LEFT(J84,1),"--")</f>
        <v>AZE-T</v>
      </c>
      <c r="M84" s="37" t="e">
        <f>VLOOKUP(L84,'[1]Compatible JC'!$A:$A,1,FALSE)</f>
        <v>#N/A</v>
      </c>
      <c r="N84" s="37" t="str">
        <f>IFERROR(_xlfn.XLOOKUP(H84,'[1]SIG Level Structure'!D:D,'[1]SIG Level Structure'!C:C),"--")</f>
        <v>Technician</v>
      </c>
      <c r="O84" s="38" t="str">
        <f>IFERROR(TRIM(N84&amp;" "&amp;C84),"--")</f>
        <v>Technician Electrical (Equipment) Engineering</v>
      </c>
      <c r="P84" s="22" t="str">
        <f>_xlfn.XLOOKUP(E84,'[1]SIG Job Families &amp; Descriptions'!A:A,'[1]SIG Job Families &amp; Descriptions'!G:G)</f>
        <v>Performs preventive maintenance and repairs on equipment and systems (e.g., mechanical, electrical). 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v>
      </c>
      <c r="Q84" s="39" t="str">
        <f>_xlfn.XLOOKUP(E84,'[1]2022 GI Position Descriptions'!E:E,'[1]2022 GI Position Descriptions'!G:G)</f>
        <v>Plans and implements the design, manufacture, installation and/or maintenance of electrical systems and apparatus, such as electric motors, machinery controls, lighting, wiring and power systems/devices, for the generation, transmission and control of electric power</v>
      </c>
      <c r="R84" s="22" t="str">
        <f>IF(LEFT(J84,1)="E","EX",LEFT(J84,1))</f>
        <v>T</v>
      </c>
      <c r="S84" s="22" t="str">
        <f>_xlfn.XLOOKUP($R84,'[1]Career Bands &amp; Levels'!A:A,'[1]Career Bands &amp; Levels'!C:C)</f>
        <v>● Performs specialized technical tasks required to support operations (e.g., IT development, research support, skilled trade)
● Requires vocational training or the equivalent experience and may require external certification but typically does not require a university degree</v>
      </c>
      <c r="T84" s="22" t="str">
        <f>J84</f>
        <v>T3</v>
      </c>
      <c r="U84" s="40" t="str">
        <f t="shared" si="3"/>
        <v>T3</v>
      </c>
      <c r="V84" s="22" t="str">
        <f>_xlfn.XLOOKUP(T84,'[1]Career Bands &amp; Levels'!A:A,'[1]Career Bands &amp; Levels'!C:C)</f>
        <v xml:space="preserve">●	Has full proficiency in a range of technical processes or procedures (or deep skills in a single area) through job-related training and considerable work experience		
●	Completes a variety of atypical assignments		
●	Works within defined technical processes and procedures or methodologies and may help determine the appropriate approach for new assignments		
●	Works with a limited degree of supervision, with oversight focused only on complex new assignments		
●	Acts as an informal resource for colleagues with less experience		</v>
      </c>
      <c r="W84" s="41" t="str">
        <f>J84&amp;"-"&amp;G84</f>
        <v>T3-07</v>
      </c>
      <c r="X84" s="42" t="str">
        <f>G84</f>
        <v>07</v>
      </c>
      <c r="Y84" s="22" t="str">
        <f>_xlfn.XLOOKUP(W84,'[1]Career Bands &amp; Levels'!A:A,'[1]Career Bands &amp; Levels'!C:C,"No Grade Differentiator")</f>
        <v xml:space="preserve">●	Performs moderately complex and varied tasks		
●	May have specialized external certification		
●	Guides junior team members		</v>
      </c>
      <c r="Z84" s="43" t="str">
        <f>IFERROR(O84&amp;" - "&amp;G84,"--")</f>
        <v>Technician Electrical (Equipment) Engineering - 07</v>
      </c>
      <c r="AA84" s="44" t="str">
        <f>_xlfn.XLOOKUP($H84,'[1]SIG Qualifications Input'!$D:$D,'[1]SIG Qualifications Input'!$H:$H)</f>
        <v>Typically an Associate’s degree or 2 to 4 years of vocational technical training preferred. HS diploma or equivalent required. Specialized skill training/certification often required to meet specific needs. Up to 8 years of experience.</v>
      </c>
    </row>
    <row r="85" spans="1:27" ht="141" thickBot="1" x14ac:dyDescent="0.2">
      <c r="A85" s="34" t="str">
        <f>_xlfn.XLOOKUP(C85,'[1]SIG Job Families &amp; Descriptions'!F:F,'[1]SIG Job Families &amp; Descriptions'!B:B)</f>
        <v>Engineering</v>
      </c>
      <c r="B85" s="34" t="str">
        <f>_xlfn.XLOOKUP(C85,'[1]SIG Job Families &amp; Descriptions'!F:F,'[1]SIG Job Families &amp; Descriptions'!D:D)</f>
        <v xml:space="preserve">Maintenance Engineering </v>
      </c>
      <c r="C85" s="34" t="s">
        <v>57</v>
      </c>
      <c r="D85" s="30" t="str">
        <f t="shared" si="2"/>
        <v>AZE</v>
      </c>
      <c r="E85" s="31" t="str">
        <f>_xlfn.XLOOKUP(C85,'[1]SIG Job Families &amp; Descriptions'!F:F,'[1]SIG Job Families &amp; Descriptions'!A:A)</f>
        <v>AZE050</v>
      </c>
      <c r="F85" s="32" t="s">
        <v>50</v>
      </c>
      <c r="G85" s="33" t="s">
        <v>53</v>
      </c>
      <c r="H85" s="34" t="str">
        <f>F85&amp;"-"&amp;G85</f>
        <v>Operations-06</v>
      </c>
      <c r="I85" s="35" t="str">
        <f>IF(ISERROR(_xlfn.XLOOKUP(H85,'[1]SIG Level Structure'!D:D,'[1]SIG Level Structure'!D:D)),"0","1")</f>
        <v>1</v>
      </c>
      <c r="J85" s="36" t="str">
        <f>_xlfn.XLOOKUP($H85,'[1]SIG Level Structure'!$D:$D,'[1]SIG Level Structure'!F:F)</f>
        <v>W3</v>
      </c>
      <c r="K85" s="37" t="str">
        <f>E85&amp;"-"&amp;J85&amp;"-"&amp;G85</f>
        <v>AZE050-W3-06</v>
      </c>
      <c r="L85" s="37" t="str">
        <f>IFERROR(D85&amp;"-"&amp;LEFT(J85,1),"--")</f>
        <v>AZE-W</v>
      </c>
      <c r="M85" s="37" t="e">
        <f>VLOOKUP(L85,'[1]Compatible JC'!$A:$A,1,FALSE)</f>
        <v>#N/A</v>
      </c>
      <c r="N85" s="37" t="str">
        <f>IFERROR(_xlfn.XLOOKUP(H85,'[1]SIG Level Structure'!D:D,'[1]SIG Level Structure'!C:C),"--")</f>
        <v>Operator</v>
      </c>
      <c r="O85" s="38" t="str">
        <f>IFERROR(TRIM(N85&amp;" "&amp;C85),"--")</f>
        <v>Operator Electrical (Equipment) Engineering</v>
      </c>
      <c r="P85" s="22" t="str">
        <f>_xlfn.XLOOKUP(E85,'[1]SIG Job Families &amp; Descriptions'!A:A,'[1]SIG Job Families &amp; Descriptions'!G:G)</f>
        <v>Performs preventive maintenance and repairs on equipment and systems (e.g., mechanical, electrical). 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v>
      </c>
      <c r="Q85" s="39" t="str">
        <f>_xlfn.XLOOKUP(E85,'[1]2022 GI Position Descriptions'!E:E,'[1]2022 GI Position Descriptions'!G:G)</f>
        <v>Plans and implements the design, manufacture, installation and/or maintenance of electrical systems and apparatus, such as electric motors, machinery controls, lighting, wiring and power systems/devices, for the generation, transmission and control of electric power</v>
      </c>
      <c r="R85" s="22" t="str">
        <f>IF(LEFT(J85,1)="E","EX",LEFT(J85,1))</f>
        <v>W</v>
      </c>
      <c r="S85" s="22" t="str">
        <f>_xlfn.XLOOKUP($R85,'[1]Career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85" s="22" t="str">
        <f>J85</f>
        <v>W3</v>
      </c>
      <c r="U85" s="40" t="str">
        <f t="shared" si="3"/>
        <v>W3</v>
      </c>
      <c r="V85" s="22" t="str">
        <f>_xlfn.XLOOKUP(T85,'[1]Career Bands &amp; Levels'!A:A,'[1]Career Bands &amp; Levels'!C:C)</f>
        <v xml:space="preserve">●	Has proficiency through job-related training and considerable work experience		
●	Completes work with a limited degree of supervision; regularly provides guidance to others with less experience		
●	May act as an informal resource for colleagues with less experience		</v>
      </c>
      <c r="W85" s="41" t="str">
        <f>J85&amp;"-"&amp;G85</f>
        <v>W3-06</v>
      </c>
      <c r="X85" s="42" t="str">
        <f>G85</f>
        <v>06</v>
      </c>
      <c r="Y85" s="22" t="str">
        <f>_xlfn.XLOOKUP(W85,'[1]Career Bands &amp; Levels'!A:A,'[1]Career Bands &amp; Levels'!C:C,"No Grade Differentiator")</f>
        <v>No Grade Differentiator</v>
      </c>
      <c r="Z85" s="43" t="str">
        <f>IFERROR(O85&amp;" - "&amp;G85,"--")</f>
        <v>Operator Electrical (Equipment) Engineering - 06</v>
      </c>
      <c r="AA85" s="44" t="str">
        <f>_xlfn.XLOOKUP($H85,'[1]SIG Qualifications Input'!$D:$D,'[1]SIG Qualifications Input'!$H:$H)</f>
        <v>Vocational training in e.g. manual or technical  field or equivalent work experience. 0-4 years of experience</v>
      </c>
    </row>
    <row r="86" spans="1:27" ht="141" thickBot="1" x14ac:dyDescent="0.2">
      <c r="A86" s="34" t="str">
        <f>_xlfn.XLOOKUP(C86,'[1]SIG Job Families &amp; Descriptions'!F:F,'[1]SIG Job Families &amp; Descriptions'!B:B)</f>
        <v>Engineering</v>
      </c>
      <c r="B86" s="34" t="str">
        <f>_xlfn.XLOOKUP(C86,'[1]SIG Job Families &amp; Descriptions'!F:F,'[1]SIG Job Families &amp; Descriptions'!D:D)</f>
        <v xml:space="preserve">Maintenance Engineering </v>
      </c>
      <c r="C86" s="34" t="s">
        <v>57</v>
      </c>
      <c r="D86" s="30" t="str">
        <f t="shared" si="2"/>
        <v>AZE</v>
      </c>
      <c r="E86" s="31" t="str">
        <f>_xlfn.XLOOKUP(C86,'[1]SIG Job Families &amp; Descriptions'!F:F,'[1]SIG Job Families &amp; Descriptions'!A:A)</f>
        <v>AZE050</v>
      </c>
      <c r="F86" s="32" t="s">
        <v>50</v>
      </c>
      <c r="G86" s="33" t="s">
        <v>54</v>
      </c>
      <c r="H86" s="34" t="str">
        <f>F86&amp;"-"&amp;G86</f>
        <v>Operations-05</v>
      </c>
      <c r="I86" s="35" t="str">
        <f>IF(ISERROR(_xlfn.XLOOKUP(H86,'[1]SIG Level Structure'!D:D,'[1]SIG Level Structure'!D:D)),"0","1")</f>
        <v>1</v>
      </c>
      <c r="J86" s="36" t="str">
        <f>_xlfn.XLOOKUP($H86,'[1]SIG Level Structure'!$D:$D,'[1]SIG Level Structure'!F:F)</f>
        <v>W2</v>
      </c>
      <c r="K86" s="37" t="str">
        <f>E86&amp;"-"&amp;J86&amp;"-"&amp;G86</f>
        <v>AZE050-W2-05</v>
      </c>
      <c r="L86" s="37" t="str">
        <f>IFERROR(D86&amp;"-"&amp;LEFT(J86,1),"--")</f>
        <v>AZE-W</v>
      </c>
      <c r="M86" s="37" t="e">
        <f>VLOOKUP(L86,'[1]Compatible JC'!$A:$A,1,FALSE)</f>
        <v>#N/A</v>
      </c>
      <c r="N86" s="37" t="str">
        <f>IFERROR(_xlfn.XLOOKUP(H86,'[1]SIG Level Structure'!D:D,'[1]SIG Level Structure'!C:C),"--")</f>
        <v>Operator</v>
      </c>
      <c r="O86" s="38" t="str">
        <f>IFERROR(TRIM(N86&amp;" "&amp;C86),"--")</f>
        <v>Operator Electrical (Equipment) Engineering</v>
      </c>
      <c r="P86" s="22" t="str">
        <f>_xlfn.XLOOKUP(E86,'[1]SIG Job Families &amp; Descriptions'!A:A,'[1]SIG Job Families &amp; Descriptions'!G:G)</f>
        <v>Performs preventive maintenance and repairs on equipment and systems (e.g., mechanical, electrical). 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v>
      </c>
      <c r="Q86" s="39" t="str">
        <f>_xlfn.XLOOKUP(E86,'[1]2022 GI Position Descriptions'!E:E,'[1]2022 GI Position Descriptions'!G:G)</f>
        <v>Plans and implements the design, manufacture, installation and/or maintenance of electrical systems and apparatus, such as electric motors, machinery controls, lighting, wiring and power systems/devices, for the generation, transmission and control of electric power</v>
      </c>
      <c r="R86" s="22" t="str">
        <f>IF(LEFT(J86,1)="E","EX",LEFT(J86,1))</f>
        <v>W</v>
      </c>
      <c r="S86" s="22" t="str">
        <f>_xlfn.XLOOKUP($R86,'[1]Career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86" s="22" t="str">
        <f>J86</f>
        <v>W2</v>
      </c>
      <c r="U86" s="40" t="str">
        <f t="shared" si="3"/>
        <v>W2</v>
      </c>
      <c r="V86" s="22" t="str">
        <f>_xlfn.XLOOKUP(T86,'[1]Career Bands &amp; Levels'!A:A,'[1]Career Bands &amp; Levels'!C:C)</f>
        <v xml:space="preserve">●	Has skills developed through formal training or work experience		
●	Works within established procedures and guidelines with limited ability to modify methods and approach		
●	Completes assigned tasks with a moderate degree of supervision		</v>
      </c>
      <c r="W86" s="41" t="str">
        <f>J86&amp;"-"&amp;G86</f>
        <v>W2-05</v>
      </c>
      <c r="X86" s="42" t="str">
        <f>G86</f>
        <v>05</v>
      </c>
      <c r="Y86" s="22" t="str">
        <f>_xlfn.XLOOKUP(W86,'[1]Career Bands &amp; Levels'!A:A,'[1]Career Bands &amp; Levels'!C:C,"No Grade Differentiator")</f>
        <v xml:space="preserve">●	Performs the full range of established procedures, and will typically be considered skilled through work experience		
●	Resolves routine issues without supervisory approval		</v>
      </c>
      <c r="Z86" s="43" t="str">
        <f>IFERROR(O86&amp;" - "&amp;G86,"--")</f>
        <v>Operator Electrical (Equipment) Engineering - 05</v>
      </c>
      <c r="AA86" s="44" t="str">
        <f>_xlfn.XLOOKUP($H86,'[1]SIG Qualifications Input'!$D:$D,'[1]SIG Qualifications Input'!$H:$H)</f>
        <v>Vocational training in e.g. manual or technical  field or equivalent work experience. 0-4 years of experience</v>
      </c>
    </row>
    <row r="87" spans="1:27" ht="141" thickBot="1" x14ac:dyDescent="0.2">
      <c r="A87" s="34" t="str">
        <f>_xlfn.XLOOKUP(C87,'[1]SIG Job Families &amp; Descriptions'!F:F,'[1]SIG Job Families &amp; Descriptions'!B:B)</f>
        <v>Engineering</v>
      </c>
      <c r="B87" s="34" t="str">
        <f>_xlfn.XLOOKUP(C87,'[1]SIG Job Families &amp; Descriptions'!F:F,'[1]SIG Job Families &amp; Descriptions'!D:D)</f>
        <v xml:space="preserve">Maintenance Engineering </v>
      </c>
      <c r="C87" s="34" t="s">
        <v>57</v>
      </c>
      <c r="D87" s="30" t="str">
        <f t="shared" si="2"/>
        <v>AZE</v>
      </c>
      <c r="E87" s="31" t="str">
        <f>_xlfn.XLOOKUP(C87,'[1]SIG Job Families &amp; Descriptions'!F:F,'[1]SIG Job Families &amp; Descriptions'!A:A)</f>
        <v>AZE050</v>
      </c>
      <c r="F87" s="32" t="s">
        <v>50</v>
      </c>
      <c r="G87" s="33" t="s">
        <v>55</v>
      </c>
      <c r="H87" s="34" t="str">
        <f>F87&amp;"-"&amp;G87</f>
        <v>Operations-04</v>
      </c>
      <c r="I87" s="35" t="str">
        <f>IF(ISERROR(_xlfn.XLOOKUP(H87,'[1]SIG Level Structure'!D:D,'[1]SIG Level Structure'!D:D)),"0","1")</f>
        <v>1</v>
      </c>
      <c r="J87" s="36" t="str">
        <f>_xlfn.XLOOKUP($H87,'[1]SIG Level Structure'!$D:$D,'[1]SIG Level Structure'!F:F)</f>
        <v>W2</v>
      </c>
      <c r="K87" s="37" t="str">
        <f>E87&amp;"-"&amp;J87&amp;"-"&amp;G87</f>
        <v>AZE050-W2-04</v>
      </c>
      <c r="L87" s="37" t="str">
        <f>IFERROR(D87&amp;"-"&amp;LEFT(J87,1),"--")</f>
        <v>AZE-W</v>
      </c>
      <c r="M87" s="37" t="e">
        <f>VLOOKUP(L87,'[1]Compatible JC'!$A:$A,1,FALSE)</f>
        <v>#N/A</v>
      </c>
      <c r="N87" s="37" t="str">
        <f>IFERROR(_xlfn.XLOOKUP(H87,'[1]SIG Level Structure'!D:D,'[1]SIG Level Structure'!C:C),"--")</f>
        <v>Operator</v>
      </c>
      <c r="O87" s="38" t="str">
        <f>IFERROR(TRIM(N87&amp;" "&amp;C87),"--")</f>
        <v>Operator Electrical (Equipment) Engineering</v>
      </c>
      <c r="P87" s="22" t="str">
        <f>_xlfn.XLOOKUP(E87,'[1]SIG Job Families &amp; Descriptions'!A:A,'[1]SIG Job Families &amp; Descriptions'!G:G)</f>
        <v>Performs preventive maintenance and repairs on equipment and systems (e.g., mechanical, electrical). 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v>
      </c>
      <c r="Q87" s="39" t="str">
        <f>_xlfn.XLOOKUP(E87,'[1]2022 GI Position Descriptions'!E:E,'[1]2022 GI Position Descriptions'!G:G)</f>
        <v>Plans and implements the design, manufacture, installation and/or maintenance of electrical systems and apparatus, such as electric motors, machinery controls, lighting, wiring and power systems/devices, for the generation, transmission and control of electric power</v>
      </c>
      <c r="R87" s="22" t="str">
        <f>IF(LEFT(J87,1)="E","EX",LEFT(J87,1))</f>
        <v>W</v>
      </c>
      <c r="S87" s="22" t="str">
        <f>_xlfn.XLOOKUP($R87,'[1]Career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87" s="22" t="str">
        <f>J87</f>
        <v>W2</v>
      </c>
      <c r="U87" s="40" t="str">
        <f t="shared" si="3"/>
        <v>W2</v>
      </c>
      <c r="V87" s="22" t="str">
        <f>_xlfn.XLOOKUP(T87,'[1]Career Bands &amp; Levels'!A:A,'[1]Career Bands &amp; Levels'!C:C)</f>
        <v xml:space="preserve">●	Has skills developed through formal training or work experience		
●	Works within established procedures and guidelines with limited ability to modify methods and approach		
●	Completes assigned tasks with a moderate degree of supervision		</v>
      </c>
      <c r="W87" s="41" t="str">
        <f>J87&amp;"-"&amp;G87</f>
        <v>W2-04</v>
      </c>
      <c r="X87" s="42" t="str">
        <f>G87</f>
        <v>04</v>
      </c>
      <c r="Y87" s="22" t="str">
        <f>_xlfn.XLOOKUP(W87,'[1]Career Bands &amp; Levels'!A:A,'[1]Career Bands &amp; Levels'!C:C,"No Grade Differentiator")</f>
        <v xml:space="preserve">●	Performs most established procedures and will typically be considered semi-skilled through work experience		
●	Resolves routine issues with senior staff or supervisory guidance and approval		</v>
      </c>
      <c r="Z87" s="43" t="str">
        <f>IFERROR(O87&amp;" - "&amp;G87,"--")</f>
        <v>Operator Electrical (Equipment) Engineering - 04</v>
      </c>
      <c r="AA87" s="44" t="str">
        <f>_xlfn.XLOOKUP($H87,'[1]SIG Qualifications Input'!$D:$D,'[1]SIG Qualifications Input'!$H:$H)</f>
        <v>Vocational training in e.g. manual or technical  field or equivalent work experience. 0-4 years of experience</v>
      </c>
    </row>
    <row r="88" spans="1:27" ht="183" thickBot="1" x14ac:dyDescent="0.2">
      <c r="A88" s="34" t="str">
        <f>_xlfn.XLOOKUP(C88,'[1]SIG Job Families &amp; Descriptions'!F:F,'[1]SIG Job Families &amp; Descriptions'!B:B)</f>
        <v>Engineering</v>
      </c>
      <c r="B88" s="34" t="str">
        <f>_xlfn.XLOOKUP(C88,'[1]SIG Job Families &amp; Descriptions'!F:F,'[1]SIG Job Families &amp; Descriptions'!D:D)</f>
        <v xml:space="preserve">Maintenance Engineering </v>
      </c>
      <c r="C88" s="34" t="s">
        <v>57</v>
      </c>
      <c r="D88" s="30" t="str">
        <f t="shared" si="2"/>
        <v>AZE</v>
      </c>
      <c r="E88" s="31" t="str">
        <f>_xlfn.XLOOKUP(C88,'[1]SIG Job Families &amp; Descriptions'!F:F,'[1]SIG Job Families &amp; Descriptions'!A:A)</f>
        <v>AZE050</v>
      </c>
      <c r="F88" s="32" t="s">
        <v>29</v>
      </c>
      <c r="G88" s="33" t="s">
        <v>36</v>
      </c>
      <c r="H88" s="34" t="str">
        <f>F88&amp;"-"&amp;G88</f>
        <v>Management-10</v>
      </c>
      <c r="I88" s="35" t="str">
        <f>IF(ISERROR(_xlfn.XLOOKUP(H88,'[1]SIG Level Structure'!D:D,'[1]SIG Level Structure'!D:D)),"0","1")</f>
        <v>1</v>
      </c>
      <c r="J88" s="36" t="str">
        <f>_xlfn.XLOOKUP($H88,'[1]SIG Level Structure'!$D:$D,'[1]SIG Level Structure'!F:F)</f>
        <v>M1</v>
      </c>
      <c r="K88" s="37" t="str">
        <f>E88&amp;"-"&amp;J88&amp;"-"&amp;G88</f>
        <v>AZE050-M1-10</v>
      </c>
      <c r="L88" s="37" t="str">
        <f>IFERROR(D88&amp;"-"&amp;LEFT(J88,1),"--")</f>
        <v>AZE-M</v>
      </c>
      <c r="M88" s="37" t="str">
        <f>VLOOKUP(L88,'[1]Compatible JC'!$A:$A,1,FALSE)</f>
        <v>AZE-M</v>
      </c>
      <c r="N88" s="37" t="str">
        <f>IFERROR(_xlfn.XLOOKUP(H88,'[1]SIG Level Structure'!D:D,'[1]SIG Level Structure'!C:C),"--")</f>
        <v>Supervisor</v>
      </c>
      <c r="O88" s="38" t="str">
        <f>IFERROR(TRIM(N88&amp;" "&amp;C88),"--")</f>
        <v>Supervisor Electrical (Equipment) Engineering</v>
      </c>
      <c r="P88" s="22" t="str">
        <f>_xlfn.XLOOKUP(E88,'[1]SIG Job Families &amp; Descriptions'!A:A,'[1]SIG Job Families &amp; Descriptions'!G:G)</f>
        <v>Performs preventive maintenance and repairs on equipment and systems (e.g., mechanical, electrical). Evaluates and recommends equipment improvements to improve availability, capability and yield. Performs equipment failure analyses (including preventive and unscheduled maintenance). Troubleshoots and diagnoses equipment problems. Prepares technical reports to document equipment modifications and equipment maintenance procedures.</v>
      </c>
      <c r="Q88" s="39" t="str">
        <f>_xlfn.XLOOKUP(E88,'[1]2022 GI Position Descriptions'!E:E,'[1]2022 GI Position Descriptions'!G:G)</f>
        <v>Plans and implements the design, manufacture, installation and/or maintenance of electrical systems and apparatus, such as electric motors, machinery controls, lighting, wiring and power systems/devices, for the generation, transmission and control of electric power</v>
      </c>
      <c r="R88" s="22" t="str">
        <f>IF(LEFT(J88,1)="E","EX",LEFT(J88,1))</f>
        <v>M</v>
      </c>
      <c r="S88" s="22" t="str">
        <f>_xlfn.XLOOKUP($R88,'[1]Career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88" s="22" t="str">
        <f>J88</f>
        <v>M1</v>
      </c>
      <c r="U88" s="40" t="str">
        <f t="shared" si="3"/>
        <v>M1</v>
      </c>
      <c r="V88" s="22" t="str">
        <f>_xlfn.XLOOKUP(T88,'[1]Career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88" s="41" t="str">
        <f>J88&amp;"-"&amp;G88</f>
        <v>M1-10</v>
      </c>
      <c r="X88" s="42" t="str">
        <f>G88</f>
        <v>10</v>
      </c>
      <c r="Y88" s="22" t="str">
        <f>_xlfn.XLOOKUP(W88,'[1]Career Bands &amp; Levels'!A:A,'[1]Career Bands &amp; Levels'!C:C,"No Grade Differentiator")</f>
        <v xml:space="preserve">●	Accountable for the results of medium-sized routine support or production operations teams		
●	Solves problems based on practice and precedent		
●	Trains team members and provides input to employee performance evaluations		</v>
      </c>
      <c r="Z88" s="43" t="str">
        <f>IFERROR(O88&amp;" - "&amp;G88,"--")</f>
        <v>Supervisor Electrical (Equipment) Engineering - 10</v>
      </c>
      <c r="AA88" s="44" t="str">
        <f>_xlfn.XLOOKUP($H88,'[1]SIG Qualifications Input'!$D:$D,'[1]SIG Qualifications Input'!$H:$H)</f>
        <v>University degree or equivalent and 5-7 years of work experience or equivalent
Experienced in application of management techniques
Experience in operationally managing a mixed-level team</v>
      </c>
    </row>
    <row r="89" spans="1:27" ht="183" thickBot="1" x14ac:dyDescent="0.2">
      <c r="A89" s="34" t="str">
        <f>_xlfn.XLOOKUP(C89,'[1]SIG Job Families &amp; Descriptions'!F:F,'[1]SIG Job Families &amp; Descriptions'!B:B)</f>
        <v>Engineering</v>
      </c>
      <c r="B89" s="34" t="str">
        <f>_xlfn.XLOOKUP(C89,'[1]SIG Job Families &amp; Descriptions'!F:F,'[1]SIG Job Families &amp; Descriptions'!D:D)</f>
        <v>Process Engineering</v>
      </c>
      <c r="C89" s="34" t="s">
        <v>58</v>
      </c>
      <c r="D89" s="30" t="str">
        <f t="shared" si="2"/>
        <v>AZE</v>
      </c>
      <c r="E89" s="31" t="str">
        <f>_xlfn.XLOOKUP(C89,'[1]SIG Job Families &amp; Descriptions'!F:F,'[1]SIG Job Families &amp; Descriptions'!A:A)</f>
        <v>AZE060</v>
      </c>
      <c r="F89" s="32" t="s">
        <v>29</v>
      </c>
      <c r="G89" s="33" t="s">
        <v>33</v>
      </c>
      <c r="H89" s="34" t="str">
        <f>F89&amp;"-"&amp;G89</f>
        <v>Management-13</v>
      </c>
      <c r="I89" s="35" t="str">
        <f>IF(ISERROR(_xlfn.XLOOKUP(H89,'[1]SIG Level Structure'!D:D,'[1]SIG Level Structure'!D:D)),"0","1")</f>
        <v>1</v>
      </c>
      <c r="J89" s="36" t="str">
        <f>_xlfn.XLOOKUP($H89,'[1]SIG Level Structure'!$D:$D,'[1]SIG Level Structure'!F:F)</f>
        <v>M2</v>
      </c>
      <c r="K89" s="37" t="str">
        <f>E89&amp;"-"&amp;J89&amp;"-"&amp;G89</f>
        <v>AZE060-M2-13</v>
      </c>
      <c r="L89" s="37" t="str">
        <f>IFERROR(D89&amp;"-"&amp;LEFT(J89,1),"--")</f>
        <v>AZE-M</v>
      </c>
      <c r="M89" s="37" t="str">
        <f>VLOOKUP(L89,'[1]Compatible JC'!$A:$A,1,FALSE)</f>
        <v>AZE-M</v>
      </c>
      <c r="N89" s="37" t="str">
        <f>IFERROR(_xlfn.XLOOKUP(H89,'[1]SIG Level Structure'!D:D,'[1]SIG Level Structure'!C:C),"--")</f>
        <v>Manager</v>
      </c>
      <c r="O89" s="38" t="str">
        <f>IFERROR(TRIM(N89&amp;" "&amp;C89),"--")</f>
        <v>Manager Process Engineering</v>
      </c>
      <c r="P89" s="22" t="str">
        <f>_xlfn.XLOOKUP(E89,'[1]SIG Job Families &amp; Descriptions'!A:A,'[1]SIG Job Families &amp; Descriptions'!G:G)</f>
        <v>Develops and modifies process formulations, methods and controls to meet quality standards. Recommends and implements improvements, modifications or additions to document work. Reviews product development requirements for compatibility with processing methods to determine costs and schedules. Integrates equipment and material capabilities to meet process module target specifications and technology target specifications.</v>
      </c>
      <c r="Q89" s="39" t="str">
        <f>_xlfn.XLOOKUP(E89,'[1]2022 GI Position Descriptions'!E:E,'[1]2022 GI Position Descriptions'!G:G)</f>
        <v>Develops and modifies process formulations, methods and controls to meet quality standards | Recommends and implements improvements, modifications or additions to document work | Reviews product development requirements for compatibility with processing methods to determine costs and schedules | Integrates equipment and material capabilities to meet process module target specifications and technology target specifications</v>
      </c>
      <c r="R89" s="22" t="str">
        <f>IF(LEFT(J89,1)="E","EX",LEFT(J89,1))</f>
        <v>M</v>
      </c>
      <c r="S89" s="22" t="str">
        <f>_xlfn.XLOOKUP($R89,'[1]Career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89" s="22" t="str">
        <f>J89</f>
        <v>M2</v>
      </c>
      <c r="U89" s="40" t="str">
        <f t="shared" si="3"/>
        <v>M2</v>
      </c>
      <c r="V89" s="22" t="str">
        <f>_xlfn.XLOOKUP(T89,'[1]Career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89" s="41" t="str">
        <f>J89&amp;"-"&amp;G89</f>
        <v>M2-13</v>
      </c>
      <c r="X89" s="42" t="str">
        <f>G89</f>
        <v>13</v>
      </c>
      <c r="Y89" s="22" t="str">
        <f>_xlfn.XLOOKUP(W89,'[1]Career Bands &amp; Levels'!A:A,'[1]Career Bands &amp; Levels'!C:C,"No Grade Differentiator")</f>
        <v>●	Accountable for the budget, performance and results of a medium-sized team or multiple small teams of employees		
●	Exercises full management authority, including performance reviews, pay decisions, recruitment, discipline, termination and other personnel actions		
●	Addresses issues with impact beyond own team based on knowledge of related disciplines</v>
      </c>
      <c r="Z89" s="43" t="str">
        <f>IFERROR(O89&amp;" - "&amp;G89,"--")</f>
        <v>Manager Process Engineering - 13</v>
      </c>
      <c r="AA89" s="44" t="str">
        <f>_xlfn.XLOOKUP($H89,'[1]SIG Qualifications Input'!$D:$D,'[1]SIG Qualifications Input'!$H:$H)</f>
        <v>University degree or equivalent and 7-10 years of work experience or equivalent
Experience in managing mixed-level team(s) of professionals and subordinate managers</v>
      </c>
    </row>
    <row r="90" spans="1:27" ht="183" thickBot="1" x14ac:dyDescent="0.2">
      <c r="A90" s="34" t="str">
        <f>_xlfn.XLOOKUP(C90,'[1]SIG Job Families &amp; Descriptions'!F:F,'[1]SIG Job Families &amp; Descriptions'!B:B)</f>
        <v>Engineering</v>
      </c>
      <c r="B90" s="34" t="str">
        <f>_xlfn.XLOOKUP(C90,'[1]SIG Job Families &amp; Descriptions'!F:F,'[1]SIG Job Families &amp; Descriptions'!D:D)</f>
        <v>Process Engineering</v>
      </c>
      <c r="C90" s="34" t="s">
        <v>58</v>
      </c>
      <c r="D90" s="30" t="str">
        <f t="shared" si="2"/>
        <v>AZE</v>
      </c>
      <c r="E90" s="31" t="str">
        <f>_xlfn.XLOOKUP(C90,'[1]SIG Job Families &amp; Descriptions'!F:F,'[1]SIG Job Families &amp; Descriptions'!A:A)</f>
        <v>AZE060</v>
      </c>
      <c r="F90" s="32" t="s">
        <v>29</v>
      </c>
      <c r="G90" s="33" t="s">
        <v>34</v>
      </c>
      <c r="H90" s="34" t="str">
        <f>F90&amp;"-"&amp;G90</f>
        <v>Management-12</v>
      </c>
      <c r="I90" s="35" t="str">
        <f>IF(ISERROR(_xlfn.XLOOKUP(H90,'[1]SIG Level Structure'!D:D,'[1]SIG Level Structure'!D:D)),"0","1")</f>
        <v>1</v>
      </c>
      <c r="J90" s="36" t="str">
        <f>_xlfn.XLOOKUP($H90,'[1]SIG Level Structure'!$D:$D,'[1]SIG Level Structure'!F:F)</f>
        <v>M2</v>
      </c>
      <c r="K90" s="37" t="str">
        <f>E90&amp;"-"&amp;J90&amp;"-"&amp;G90</f>
        <v>AZE060-M2-12</v>
      </c>
      <c r="L90" s="37" t="str">
        <f>IFERROR(D90&amp;"-"&amp;LEFT(J90,1),"--")</f>
        <v>AZE-M</v>
      </c>
      <c r="M90" s="37" t="str">
        <f>VLOOKUP(L90,'[1]Compatible JC'!$A:$A,1,FALSE)</f>
        <v>AZE-M</v>
      </c>
      <c r="N90" s="37" t="str">
        <f>IFERROR(_xlfn.XLOOKUP(H90,'[1]SIG Level Structure'!D:D,'[1]SIG Level Structure'!C:C),"--")</f>
        <v>Manager</v>
      </c>
      <c r="O90" s="38" t="str">
        <f>IFERROR(TRIM(N90&amp;" "&amp;C90),"--")</f>
        <v>Manager Process Engineering</v>
      </c>
      <c r="P90" s="22" t="str">
        <f>_xlfn.XLOOKUP(E90,'[1]SIG Job Families &amp; Descriptions'!A:A,'[1]SIG Job Families &amp; Descriptions'!G:G)</f>
        <v>Develops and modifies process formulations, methods and controls to meet quality standards. Recommends and implements improvements, modifications or additions to document work. Reviews product development requirements for compatibility with processing methods to determine costs and schedules. Integrates equipment and material capabilities to meet process module target specifications and technology target specifications.</v>
      </c>
      <c r="Q90" s="39" t="str">
        <f>_xlfn.XLOOKUP(E90,'[1]2022 GI Position Descriptions'!E:E,'[1]2022 GI Position Descriptions'!G:G)</f>
        <v>Develops and modifies process formulations, methods and controls to meet quality standards | Recommends and implements improvements, modifications or additions to document work | Reviews product development requirements for compatibility with processing methods to determine costs and schedules | Integrates equipment and material capabilities to meet process module target specifications and technology target specifications</v>
      </c>
      <c r="R90" s="22" t="str">
        <f>IF(LEFT(J90,1)="E","EX",LEFT(J90,1))</f>
        <v>M</v>
      </c>
      <c r="S90" s="22" t="str">
        <f>_xlfn.XLOOKUP($R90,'[1]Career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90" s="22" t="str">
        <f>J90</f>
        <v>M2</v>
      </c>
      <c r="U90" s="40" t="str">
        <f t="shared" si="3"/>
        <v>M2</v>
      </c>
      <c r="V90" s="22" t="str">
        <f>_xlfn.XLOOKUP(T90,'[1]Career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90" s="41" t="str">
        <f>J90&amp;"-"&amp;G90</f>
        <v>M2-12</v>
      </c>
      <c r="X90" s="42" t="str">
        <f>G90</f>
        <v>12</v>
      </c>
      <c r="Y90" s="22" t="str">
        <f>_xlfn.XLOOKUP(W90,'[1]Career Bands &amp; Levels'!A:A,'[1]Career Bands &amp; Levels'!C:C,"No Grade Differentiator")</f>
        <v xml:space="preserve">●	Accountable for results of a small team of employees		
●	Exercises limited management authority; sets employee performance objectives, conducts performance reviews and recommends pay actions		
●	Defines team operating standards and ensures essential procedures are followed based on knowledge of own discipline		</v>
      </c>
      <c r="Z90" s="43" t="str">
        <f>IFERROR(O90&amp;" - "&amp;G90,"--")</f>
        <v>Manager Process Engineering - 12</v>
      </c>
      <c r="AA90" s="44" t="str">
        <f>_xlfn.XLOOKUP($H90,'[1]SIG Qualifications Input'!$D:$D,'[1]SIG Qualifications Input'!$H:$H)</f>
        <v>University degree or equivalent and 7-10 years of work experience or equivalent
Experience in managing mixed-level team(s) of professionals and subordinate managers</v>
      </c>
    </row>
    <row r="91" spans="1:27" ht="169" thickBot="1" x14ac:dyDescent="0.2">
      <c r="A91" s="34" t="str">
        <f>_xlfn.XLOOKUP(C91,'[1]SIG Job Families &amp; Descriptions'!F:F,'[1]SIG Job Families &amp; Descriptions'!B:B)</f>
        <v>Engineering</v>
      </c>
      <c r="B91" s="34" t="str">
        <f>_xlfn.XLOOKUP(C91,'[1]SIG Job Families &amp; Descriptions'!F:F,'[1]SIG Job Families &amp; Descriptions'!D:D)</f>
        <v>Process Engineering</v>
      </c>
      <c r="C91" s="34" t="s">
        <v>58</v>
      </c>
      <c r="D91" s="30" t="str">
        <f t="shared" si="2"/>
        <v>AZE</v>
      </c>
      <c r="E91" s="31" t="str">
        <f>_xlfn.XLOOKUP(C91,'[1]SIG Job Families &amp; Descriptions'!F:F,'[1]SIG Job Families &amp; Descriptions'!A:A)</f>
        <v>AZE060</v>
      </c>
      <c r="F91" s="32" t="s">
        <v>32</v>
      </c>
      <c r="G91" s="33" t="s">
        <v>34</v>
      </c>
      <c r="H91" s="34" t="str">
        <f>F91&amp;"-"&amp;G91</f>
        <v>Professional-12</v>
      </c>
      <c r="I91" s="35" t="str">
        <f>IF(ISERROR(_xlfn.XLOOKUP(H91,'[1]SIG Level Structure'!D:D,'[1]SIG Level Structure'!D:D)),"0","1")</f>
        <v>1</v>
      </c>
      <c r="J91" s="36" t="str">
        <f>_xlfn.XLOOKUP($H91,'[1]SIG Level Structure'!$D:$D,'[1]SIG Level Structure'!F:F)</f>
        <v>P3</v>
      </c>
      <c r="K91" s="37" t="str">
        <f>E91&amp;"-"&amp;J91&amp;"-"&amp;G91</f>
        <v>AZE060-P3-12</v>
      </c>
      <c r="L91" s="37" t="str">
        <f>IFERROR(D91&amp;"-"&amp;LEFT(J91,1),"--")</f>
        <v>AZE-P</v>
      </c>
      <c r="M91" s="37" t="str">
        <f>VLOOKUP(L91,'[1]Compatible JC'!$A:$A,1,FALSE)</f>
        <v>AZE-P</v>
      </c>
      <c r="N91" s="37" t="str">
        <f>IFERROR(_xlfn.XLOOKUP(H91,'[1]SIG Level Structure'!D:D,'[1]SIG Level Structure'!C:C),"--")</f>
        <v>Expert</v>
      </c>
      <c r="O91" s="38" t="str">
        <f>IFERROR(TRIM(N91&amp;" "&amp;C91),"--")</f>
        <v>Expert Process Engineering</v>
      </c>
      <c r="P91" s="22" t="str">
        <f>_xlfn.XLOOKUP(E91,'[1]SIG Job Families &amp; Descriptions'!A:A,'[1]SIG Job Families &amp; Descriptions'!G:G)</f>
        <v>Develops and modifies process formulations, methods and controls to meet quality standards. Recommends and implements improvements, modifications or additions to document work. Reviews product development requirements for compatibility with processing methods to determine costs and schedules. Integrates equipment and material capabilities to meet process module target specifications and technology target specifications.</v>
      </c>
      <c r="Q91" s="39" t="str">
        <f>_xlfn.XLOOKUP(E91,'[1]2022 GI Position Descriptions'!E:E,'[1]2022 GI Position Descriptions'!G:G)</f>
        <v>Develops and modifies process formulations, methods and controls to meet quality standards | Recommends and implements improvements, modifications or additions to document work | Reviews product development requirements for compatibility with processing methods to determine costs and schedules | Integrates equipment and material capabilities to meet process module target specifications and technology target specifications</v>
      </c>
      <c r="R91" s="22" t="str">
        <f>IF(LEFT(J91,1)="E","EX",LEFT(J91,1))</f>
        <v>P</v>
      </c>
      <c r="S91" s="22" t="str">
        <f>_xlfn.XLOOKUP($R91,'[1]Career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91" s="22" t="str">
        <f>J91</f>
        <v>P3</v>
      </c>
      <c r="U91" s="40" t="str">
        <f t="shared" si="3"/>
        <v>P3</v>
      </c>
      <c r="V91" s="22" t="str">
        <f>_xlfn.XLOOKUP(T91,'[1]Career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91" s="41" t="str">
        <f>J91&amp;"-"&amp;G91</f>
        <v>P3-12</v>
      </c>
      <c r="X91" s="42" t="str">
        <f>G91</f>
        <v>12</v>
      </c>
      <c r="Y91" s="22" t="str">
        <f>_xlfn.XLOOKUP(W91,'[1]Career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91" s="43" t="str">
        <f>IFERROR(O91&amp;" - "&amp;G91,"--")</f>
        <v>Expert Process Engineering - 12</v>
      </c>
      <c r="AA91" s="44" t="str">
        <f>_xlfn.XLOOKUP($H91,'[1]SIG Qualifications Input'!$D:$D,'[1]SIG Qualifications Input'!$H:$H)</f>
        <v>University degree or equivalent and 4-8 years of work experience or equivalent, 
Initial experience in functionally leading (sub-) projects</v>
      </c>
    </row>
    <row r="92" spans="1:27" ht="169" thickBot="1" x14ac:dyDescent="0.2">
      <c r="A92" s="34" t="str">
        <f>_xlfn.XLOOKUP(C92,'[1]SIG Job Families &amp; Descriptions'!F:F,'[1]SIG Job Families &amp; Descriptions'!B:B)</f>
        <v>Engineering</v>
      </c>
      <c r="B92" s="34" t="str">
        <f>_xlfn.XLOOKUP(C92,'[1]SIG Job Families &amp; Descriptions'!F:F,'[1]SIG Job Families &amp; Descriptions'!D:D)</f>
        <v>Process Engineering</v>
      </c>
      <c r="C92" s="34" t="s">
        <v>58</v>
      </c>
      <c r="D92" s="30" t="str">
        <f t="shared" si="2"/>
        <v>AZE</v>
      </c>
      <c r="E92" s="31" t="str">
        <f>_xlfn.XLOOKUP(C92,'[1]SIG Job Families &amp; Descriptions'!F:F,'[1]SIG Job Families &amp; Descriptions'!A:A)</f>
        <v>AZE060</v>
      </c>
      <c r="F92" s="32" t="s">
        <v>32</v>
      </c>
      <c r="G92" s="33" t="s">
        <v>35</v>
      </c>
      <c r="H92" s="34" t="str">
        <f>F92&amp;"-"&amp;G92</f>
        <v>Professional-11</v>
      </c>
      <c r="I92" s="35" t="str">
        <f>IF(ISERROR(_xlfn.XLOOKUP(H92,'[1]SIG Level Structure'!D:D,'[1]SIG Level Structure'!D:D)),"0","1")</f>
        <v>1</v>
      </c>
      <c r="J92" s="36" t="str">
        <f>_xlfn.XLOOKUP($H92,'[1]SIG Level Structure'!$D:$D,'[1]SIG Level Structure'!F:F)</f>
        <v>P3</v>
      </c>
      <c r="K92" s="37" t="str">
        <f>E92&amp;"-"&amp;J92&amp;"-"&amp;G92</f>
        <v>AZE060-P3-11</v>
      </c>
      <c r="L92" s="37" t="str">
        <f>IFERROR(D92&amp;"-"&amp;LEFT(J92,1),"--")</f>
        <v>AZE-P</v>
      </c>
      <c r="M92" s="37" t="str">
        <f>VLOOKUP(L92,'[1]Compatible JC'!$A:$A,1,FALSE)</f>
        <v>AZE-P</v>
      </c>
      <c r="N92" s="37" t="str">
        <f>IFERROR(_xlfn.XLOOKUP(H92,'[1]SIG Level Structure'!D:D,'[1]SIG Level Structure'!C:C),"--")</f>
        <v>Expert</v>
      </c>
      <c r="O92" s="38" t="str">
        <f>IFERROR(TRIM(N92&amp;" "&amp;C92),"--")</f>
        <v>Expert Process Engineering</v>
      </c>
      <c r="P92" s="22" t="str">
        <f>_xlfn.XLOOKUP(E92,'[1]SIG Job Families &amp; Descriptions'!A:A,'[1]SIG Job Families &amp; Descriptions'!G:G)</f>
        <v>Develops and modifies process formulations, methods and controls to meet quality standards. Recommends and implements improvements, modifications or additions to document work. Reviews product development requirements for compatibility with processing methods to determine costs and schedules. Integrates equipment and material capabilities to meet process module target specifications and technology target specifications.</v>
      </c>
      <c r="Q92" s="39" t="str">
        <f>_xlfn.XLOOKUP(E92,'[1]2022 GI Position Descriptions'!E:E,'[1]2022 GI Position Descriptions'!G:G)</f>
        <v>Develops and modifies process formulations, methods and controls to meet quality standards | Recommends and implements improvements, modifications or additions to document work | Reviews product development requirements for compatibility with processing methods to determine costs and schedules | Integrates equipment and material capabilities to meet process module target specifications and technology target specifications</v>
      </c>
      <c r="R92" s="22" t="str">
        <f>IF(LEFT(J92,1)="E","EX",LEFT(J92,1))</f>
        <v>P</v>
      </c>
      <c r="S92" s="22" t="str">
        <f>_xlfn.XLOOKUP($R92,'[1]Career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92" s="22" t="str">
        <f>J92</f>
        <v>P3</v>
      </c>
      <c r="U92" s="40" t="str">
        <f t="shared" si="3"/>
        <v>P3</v>
      </c>
      <c r="V92" s="22" t="str">
        <f>_xlfn.XLOOKUP(T92,'[1]Career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92" s="41" t="str">
        <f>J92&amp;"-"&amp;G92</f>
        <v>P3-11</v>
      </c>
      <c r="X92" s="42" t="str">
        <f>G92</f>
        <v>11</v>
      </c>
      <c r="Y92" s="22" t="str">
        <f>_xlfn.XLOOKUP(W92,'[1]Career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92" s="43" t="str">
        <f>IFERROR(O92&amp;" - "&amp;G92,"--")</f>
        <v>Expert Process Engineering - 11</v>
      </c>
      <c r="AA92" s="44" t="str">
        <f>_xlfn.XLOOKUP($H92,'[1]SIG Qualifications Input'!$D:$D,'[1]SIG Qualifications Input'!$H:$H)</f>
        <v>University degree or equivalent and 4-8 years of work experience or equivalent, 
Initial experience in functionally leading (sub-) projects</v>
      </c>
    </row>
    <row r="93" spans="1:27" ht="169" thickBot="1" x14ac:dyDescent="0.2">
      <c r="A93" s="34" t="str">
        <f>_xlfn.XLOOKUP(C93,'[1]SIG Job Families &amp; Descriptions'!F:F,'[1]SIG Job Families &amp; Descriptions'!B:B)</f>
        <v>Engineering</v>
      </c>
      <c r="B93" s="34" t="str">
        <f>_xlfn.XLOOKUP(C93,'[1]SIG Job Families &amp; Descriptions'!F:F,'[1]SIG Job Families &amp; Descriptions'!D:D)</f>
        <v>Process Engineering</v>
      </c>
      <c r="C93" s="34" t="s">
        <v>58</v>
      </c>
      <c r="D93" s="30" t="str">
        <f t="shared" si="2"/>
        <v>AZE</v>
      </c>
      <c r="E93" s="31" t="str">
        <f>_xlfn.XLOOKUP(C93,'[1]SIG Job Families &amp; Descriptions'!F:F,'[1]SIG Job Families &amp; Descriptions'!A:A)</f>
        <v>AZE060</v>
      </c>
      <c r="F93" s="32" t="s">
        <v>32</v>
      </c>
      <c r="G93" s="33" t="s">
        <v>36</v>
      </c>
      <c r="H93" s="34" t="str">
        <f>F93&amp;"-"&amp;G93</f>
        <v>Professional-10</v>
      </c>
      <c r="I93" s="35" t="str">
        <f>IF(ISERROR(_xlfn.XLOOKUP(H93,'[1]SIG Level Structure'!D:D,'[1]SIG Level Structure'!D:D)),"0","1")</f>
        <v>1</v>
      </c>
      <c r="J93" s="36" t="str">
        <f>_xlfn.XLOOKUP($H93,'[1]SIG Level Structure'!$D:$D,'[1]SIG Level Structure'!F:F)</f>
        <v>P2</v>
      </c>
      <c r="K93" s="37" t="str">
        <f>E93&amp;"-"&amp;J93&amp;"-"&amp;G93</f>
        <v>AZE060-P2-10</v>
      </c>
      <c r="L93" s="37" t="str">
        <f>IFERROR(D93&amp;"-"&amp;LEFT(J93,1),"--")</f>
        <v>AZE-P</v>
      </c>
      <c r="M93" s="37" t="str">
        <f>VLOOKUP(L93,'[1]Compatible JC'!$A:$A,1,FALSE)</f>
        <v>AZE-P</v>
      </c>
      <c r="N93" s="37" t="str">
        <f>IFERROR(_xlfn.XLOOKUP(H93,'[1]SIG Level Structure'!D:D,'[1]SIG Level Structure'!C:C),"--")</f>
        <v>Senior Specialist</v>
      </c>
      <c r="O93" s="38" t="str">
        <f>IFERROR(TRIM(N93&amp;" "&amp;C93),"--")</f>
        <v>Senior Specialist Process Engineering</v>
      </c>
      <c r="P93" s="22" t="str">
        <f>_xlfn.XLOOKUP(E93,'[1]SIG Job Families &amp; Descriptions'!A:A,'[1]SIG Job Families &amp; Descriptions'!G:G)</f>
        <v>Develops and modifies process formulations, methods and controls to meet quality standards. Recommends and implements improvements, modifications or additions to document work. Reviews product development requirements for compatibility with processing methods to determine costs and schedules. Integrates equipment and material capabilities to meet process module target specifications and technology target specifications.</v>
      </c>
      <c r="Q93" s="39" t="str">
        <f>_xlfn.XLOOKUP(E93,'[1]2022 GI Position Descriptions'!E:E,'[1]2022 GI Position Descriptions'!G:G)</f>
        <v>Develops and modifies process formulations, methods and controls to meet quality standards | Recommends and implements improvements, modifications or additions to document work | Reviews product development requirements for compatibility with processing methods to determine costs and schedules | Integrates equipment and material capabilities to meet process module target specifications and technology target specifications</v>
      </c>
      <c r="R93" s="22" t="str">
        <f>IF(LEFT(J93,1)="E","EX",LEFT(J93,1))</f>
        <v>P</v>
      </c>
      <c r="S93" s="22" t="str">
        <f>_xlfn.XLOOKUP($R93,'[1]Career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93" s="22" t="str">
        <f>J93</f>
        <v>P2</v>
      </c>
      <c r="U93" s="40" t="str">
        <f t="shared" si="3"/>
        <v>P2</v>
      </c>
      <c r="V93" s="22" t="str">
        <f>_xlfn.XLOOKUP(T93,'[1]Career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93" s="41" t="str">
        <f>J93&amp;"-"&amp;G93</f>
        <v>P2-10</v>
      </c>
      <c r="X93" s="42" t="str">
        <f>G93</f>
        <v>10</v>
      </c>
      <c r="Y93" s="22" t="str">
        <f>_xlfn.XLOOKUP(W93,'[1]Career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93" s="43" t="str">
        <f>IFERROR(O93&amp;" - "&amp;G93,"--")</f>
        <v>Senior Specialist Process Engineering - 10</v>
      </c>
      <c r="AA93" s="44" t="str">
        <f>_xlfn.XLOOKUP($H93,'[1]SIG Qualifications Input'!$D:$D,'[1]SIG Qualifications Input'!$H:$H)</f>
        <v>University degree or equivalent and 2-4 years of work experience or equivalent</v>
      </c>
    </row>
    <row r="94" spans="1:27" ht="169" thickBot="1" x14ac:dyDescent="0.2">
      <c r="A94" s="34" t="str">
        <f>_xlfn.XLOOKUP(C94,'[1]SIG Job Families &amp; Descriptions'!F:F,'[1]SIG Job Families &amp; Descriptions'!B:B)</f>
        <v>Engineering</v>
      </c>
      <c r="B94" s="34" t="str">
        <f>_xlfn.XLOOKUP(C94,'[1]SIG Job Families &amp; Descriptions'!F:F,'[1]SIG Job Families &amp; Descriptions'!D:D)</f>
        <v>Process Engineering</v>
      </c>
      <c r="C94" s="34" t="s">
        <v>58</v>
      </c>
      <c r="D94" s="30" t="str">
        <f t="shared" si="2"/>
        <v>AZE</v>
      </c>
      <c r="E94" s="31" t="str">
        <f>_xlfn.XLOOKUP(C94,'[1]SIG Job Families &amp; Descriptions'!F:F,'[1]SIG Job Families &amp; Descriptions'!A:A)</f>
        <v>AZE060</v>
      </c>
      <c r="F94" s="32" t="s">
        <v>32</v>
      </c>
      <c r="G94" s="33" t="s">
        <v>37</v>
      </c>
      <c r="H94" s="34" t="str">
        <f>F94&amp;"-"&amp;G94</f>
        <v>Professional-09</v>
      </c>
      <c r="I94" s="35" t="str">
        <f>IF(ISERROR(_xlfn.XLOOKUP(H94,'[1]SIG Level Structure'!D:D,'[1]SIG Level Structure'!D:D)),"0","1")</f>
        <v>1</v>
      </c>
      <c r="J94" s="36" t="str">
        <f>_xlfn.XLOOKUP($H94,'[1]SIG Level Structure'!$D:$D,'[1]SIG Level Structure'!F:F)</f>
        <v>P2</v>
      </c>
      <c r="K94" s="37" t="str">
        <f>E94&amp;"-"&amp;J94&amp;"-"&amp;G94</f>
        <v>AZE060-P2-09</v>
      </c>
      <c r="L94" s="37" t="str">
        <f>IFERROR(D94&amp;"-"&amp;LEFT(J94,1),"--")</f>
        <v>AZE-P</v>
      </c>
      <c r="M94" s="37" t="str">
        <f>VLOOKUP(L94,'[1]Compatible JC'!$A:$A,1,FALSE)</f>
        <v>AZE-P</v>
      </c>
      <c r="N94" s="37" t="str">
        <f>IFERROR(_xlfn.XLOOKUP(H94,'[1]SIG Level Structure'!D:D,'[1]SIG Level Structure'!C:C),"--")</f>
        <v>Senior Specialist</v>
      </c>
      <c r="O94" s="38" t="str">
        <f>IFERROR(TRIM(N94&amp;" "&amp;C94),"--")</f>
        <v>Senior Specialist Process Engineering</v>
      </c>
      <c r="P94" s="22" t="str">
        <f>_xlfn.XLOOKUP(E94,'[1]SIG Job Families &amp; Descriptions'!A:A,'[1]SIG Job Families &amp; Descriptions'!G:G)</f>
        <v>Develops and modifies process formulations, methods and controls to meet quality standards. Recommends and implements improvements, modifications or additions to document work. Reviews product development requirements for compatibility with processing methods to determine costs and schedules. Integrates equipment and material capabilities to meet process module target specifications and technology target specifications.</v>
      </c>
      <c r="Q94" s="39" t="str">
        <f>_xlfn.XLOOKUP(E94,'[1]2022 GI Position Descriptions'!E:E,'[1]2022 GI Position Descriptions'!G:G)</f>
        <v>Develops and modifies process formulations, methods and controls to meet quality standards | Recommends and implements improvements, modifications or additions to document work | Reviews product development requirements for compatibility with processing methods to determine costs and schedules | Integrates equipment and material capabilities to meet process module target specifications and technology target specifications</v>
      </c>
      <c r="R94" s="22" t="str">
        <f>IF(LEFT(J94,1)="E","EX",LEFT(J94,1))</f>
        <v>P</v>
      </c>
      <c r="S94" s="22" t="str">
        <f>_xlfn.XLOOKUP($R94,'[1]Career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94" s="22" t="str">
        <f>J94</f>
        <v>P2</v>
      </c>
      <c r="U94" s="40" t="str">
        <f t="shared" si="3"/>
        <v>P2</v>
      </c>
      <c r="V94" s="22" t="str">
        <f>_xlfn.XLOOKUP(T94,'[1]Career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94" s="41" t="str">
        <f>J94&amp;"-"&amp;G94</f>
        <v>P2-09</v>
      </c>
      <c r="X94" s="42" t="str">
        <f>G94</f>
        <v>09</v>
      </c>
      <c r="Y94" s="22" t="str">
        <f>_xlfn.XLOOKUP(W94,'[1]Career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94" s="43" t="str">
        <f>IFERROR(O94&amp;" - "&amp;G94,"--")</f>
        <v>Senior Specialist Process Engineering - 09</v>
      </c>
      <c r="AA94" s="44" t="str">
        <f>_xlfn.XLOOKUP($H94,'[1]SIG Qualifications Input'!$D:$D,'[1]SIG Qualifications Input'!$H:$H)</f>
        <v>University degree or equivalent and 2-4 years of work experience or equivalent</v>
      </c>
    </row>
    <row r="95" spans="1:27" ht="183" thickBot="1" x14ac:dyDescent="0.2">
      <c r="A95" s="34" t="str">
        <f>_xlfn.XLOOKUP(C95,'[1]SIG Job Families &amp; Descriptions'!F:F,'[1]SIG Job Families &amp; Descriptions'!B:B)</f>
        <v>Engineering</v>
      </c>
      <c r="B95" s="34" t="str">
        <f>_xlfn.XLOOKUP(C95,'[1]SIG Job Families &amp; Descriptions'!F:F,'[1]SIG Job Families &amp; Descriptions'!D:D)</f>
        <v>Project Engineering</v>
      </c>
      <c r="C95" s="34" t="s">
        <v>59</v>
      </c>
      <c r="D95" s="30" t="str">
        <f t="shared" si="2"/>
        <v>APM</v>
      </c>
      <c r="E95" s="31" t="str">
        <f>_xlfn.XLOOKUP(C95,'[1]SIG Job Families &amp; Descriptions'!F:F,'[1]SIG Job Families &amp; Descriptions'!A:A)</f>
        <v>APM030</v>
      </c>
      <c r="F95" s="32" t="s">
        <v>60</v>
      </c>
      <c r="G95" s="33" t="s">
        <v>40</v>
      </c>
      <c r="H95" s="34" t="str">
        <f>F95&amp;"-"&amp;G95</f>
        <v>Projects-16</v>
      </c>
      <c r="I95" s="35" t="str">
        <f>IF(ISERROR(_xlfn.XLOOKUP(H95,'[1]SIG Level Structure'!D:D,'[1]SIG Level Structure'!D:D)),"0","1")</f>
        <v>1</v>
      </c>
      <c r="J95" s="36" t="str">
        <f>_xlfn.XLOOKUP($H95,'[1]SIG Level Structure'!$D:$D,'[1]SIG Level Structure'!F:F)</f>
        <v>M4</v>
      </c>
      <c r="K95" s="37" t="str">
        <f>E95&amp;"-"&amp;J95&amp;"-"&amp;G95</f>
        <v>APM030-M4-16</v>
      </c>
      <c r="L95" s="37" t="str">
        <f>IFERROR(D95&amp;"-"&amp;LEFT(J95,1),"--")</f>
        <v>APM-M</v>
      </c>
      <c r="M95" s="37" t="str">
        <f>VLOOKUP(L95,'[1]Compatible JC'!$A:$A,1,FALSE)</f>
        <v>APM-M</v>
      </c>
      <c r="N95" s="37" t="str">
        <f>IFERROR(_xlfn.XLOOKUP(H95,'[1]SIG Level Structure'!D:D,'[1]SIG Level Structure'!C:C),"--")</f>
        <v>Program Manager</v>
      </c>
      <c r="O95" s="38" t="str">
        <f>IFERROR(TRIM(N95&amp;" "&amp;C95),"--")</f>
        <v>Program Manager Project Engineering</v>
      </c>
      <c r="P95" s="22" t="str">
        <f>_xlfn.XLOOKUP(E95,'[1]SIG Job Families &amp; Descriptions'!A:A,'[1]SIG Job Families &amp; Descriptions'!G:G)</f>
        <v xml:space="preserve">Leads or coordinates project planning, resourcing, staffing, progress reporting, people management and troubleshooting for engineering projects. Ensures project results meet requirements regarding technical quality, reliability, schedule and cost. </v>
      </c>
      <c r="Q95" s="39" t="str">
        <f>_xlfn.XLOOKUP(E95,'[1]2022 GI Position Descriptions'!E:E,'[1]2022 GI Position Descriptions'!G:G)</f>
        <v>Leads or coordinates project planning, resourcing, staffing, progress reporting, people management and troubleshooting for engineering projects | Ensures project results meet requirements regarding technical quality, reliability, schedule and cost</v>
      </c>
      <c r="R95" s="22" t="str">
        <f>IF(LEFT(J95,1)="E","EX",LEFT(J95,1))</f>
        <v>M</v>
      </c>
      <c r="S95" s="22" t="str">
        <f>_xlfn.XLOOKUP($R95,'[1]Career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95" s="22" t="str">
        <f>J95</f>
        <v>M4</v>
      </c>
      <c r="U95" s="40" t="str">
        <f t="shared" si="3"/>
        <v>M4</v>
      </c>
      <c r="V95" s="22" t="str">
        <f>_xlfn.XLOOKUP(T95,'[1]Career Bands &amp; Levels'!A:A,'[1]Career Bands &amp; Levels'!C:C)</f>
        <v xml:space="preserve">●	Provides leadership and direction through Senior Managers and Managers		
●	Has accountability for the performance and results of:		
	●	A large, strategically important discipline in an extremely large market; and/or	
	●	Related disciplines or a medium-sized function in a large market or medium-sized division; and/or	
	●	A medium-sized discipline or department in a major region	
●	Adapts and executes functional or departmental business plans and contributes to the development of functional or departmental strategies		
●	Decisions are guided by functional or major operational segment strategies and priorities		</v>
      </c>
      <c r="W95" s="41" t="str">
        <f>J95&amp;"-"&amp;G95</f>
        <v>M4-16</v>
      </c>
      <c r="X95" s="42" t="str">
        <f>G95</f>
        <v>16</v>
      </c>
      <c r="Y95" s="22" t="str">
        <f>_xlfn.XLOOKUP(W95,'[1]Career Bands &amp; Levels'!A:A,'[1]Career Bands &amp; Levels'!C:C,"No Grade Differentiator")</f>
        <v>No Grade Differentiator</v>
      </c>
      <c r="Z95" s="43" t="str">
        <f>IFERROR(O95&amp;" - "&amp;G95,"--")</f>
        <v>Program Manager Project Engineering - 16</v>
      </c>
      <c r="AA95" s="44" t="str">
        <f>_xlfn.XLOOKUP($H95,'[1]SIG Qualifications Input'!$D:$D,'[1]SIG Qualifications Input'!$H:$H)</f>
        <v>University degree or equivalent and 10+ years of work experience or equivalent, 
Very experienced in functionally leading cross-functional projects</v>
      </c>
    </row>
    <row r="96" spans="1:27" ht="183" thickBot="1" x14ac:dyDescent="0.2">
      <c r="A96" s="34" t="str">
        <f>_xlfn.XLOOKUP(C96,'[1]SIG Job Families &amp; Descriptions'!F:F,'[1]SIG Job Families &amp; Descriptions'!B:B)</f>
        <v>Engineering</v>
      </c>
      <c r="B96" s="34" t="str">
        <f>_xlfn.XLOOKUP(C96,'[1]SIG Job Families &amp; Descriptions'!F:F,'[1]SIG Job Families &amp; Descriptions'!D:D)</f>
        <v>Project Engineering</v>
      </c>
      <c r="C96" s="34" t="s">
        <v>59</v>
      </c>
      <c r="D96" s="30" t="str">
        <f t="shared" si="2"/>
        <v>APM</v>
      </c>
      <c r="E96" s="31" t="str">
        <f>_xlfn.XLOOKUP(C96,'[1]SIG Job Families &amp; Descriptions'!F:F,'[1]SIG Job Families &amp; Descriptions'!A:A)</f>
        <v>APM030</v>
      </c>
      <c r="F96" s="32" t="s">
        <v>60</v>
      </c>
      <c r="G96" s="33" t="s">
        <v>30</v>
      </c>
      <c r="H96" s="34" t="str">
        <f>F96&amp;"-"&amp;G96</f>
        <v>Projects-15</v>
      </c>
      <c r="I96" s="35" t="str">
        <f>IF(ISERROR(_xlfn.XLOOKUP(H96,'[1]SIG Level Structure'!D:D,'[1]SIG Level Structure'!D:D)),"0","1")</f>
        <v>1</v>
      </c>
      <c r="J96" s="36" t="str">
        <f>_xlfn.XLOOKUP($H96,'[1]SIG Level Structure'!$D:$D,'[1]SIG Level Structure'!F:F)</f>
        <v>M3</v>
      </c>
      <c r="K96" s="37" t="str">
        <f>E96&amp;"-"&amp;J96&amp;"-"&amp;G96</f>
        <v>APM030-M3-15</v>
      </c>
      <c r="L96" s="37" t="str">
        <f>IFERROR(D96&amp;"-"&amp;LEFT(J96,1),"--")</f>
        <v>APM-M</v>
      </c>
      <c r="M96" s="37" t="str">
        <f>VLOOKUP(L96,'[1]Compatible JC'!$A:$A,1,FALSE)</f>
        <v>APM-M</v>
      </c>
      <c r="N96" s="37" t="str">
        <f>IFERROR(_xlfn.XLOOKUP(H96,'[1]SIG Level Structure'!D:D,'[1]SIG Level Structure'!C:C),"--")</f>
        <v>Program Manager</v>
      </c>
      <c r="O96" s="38" t="str">
        <f>IFERROR(TRIM(N96&amp;" "&amp;C96),"--")</f>
        <v>Program Manager Project Engineering</v>
      </c>
      <c r="P96" s="22" t="str">
        <f>_xlfn.XLOOKUP(E96,'[1]SIG Job Families &amp; Descriptions'!A:A,'[1]SIG Job Families &amp; Descriptions'!G:G)</f>
        <v xml:space="preserve">Leads or coordinates project planning, resourcing, staffing, progress reporting, people management and troubleshooting for engineering projects. Ensures project results meet requirements regarding technical quality, reliability, schedule and cost. </v>
      </c>
      <c r="Q96" s="39" t="str">
        <f>_xlfn.XLOOKUP(E96,'[1]2022 GI Position Descriptions'!E:E,'[1]2022 GI Position Descriptions'!G:G)</f>
        <v>Leads or coordinates project planning, resourcing, staffing, progress reporting, people management and troubleshooting for engineering projects | Ensures project results meet requirements regarding technical quality, reliability, schedule and cost</v>
      </c>
      <c r="R96" s="22" t="str">
        <f>IF(LEFT(J96,1)="E","EX",LEFT(J96,1))</f>
        <v>M</v>
      </c>
      <c r="S96" s="22" t="str">
        <f>_xlfn.XLOOKUP($R96,'[1]Career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96" s="22" t="str">
        <f>J96</f>
        <v>M3</v>
      </c>
      <c r="U96" s="40" t="str">
        <f t="shared" si="3"/>
        <v>M3</v>
      </c>
      <c r="V96" s="22" t="str">
        <f>_xlfn.XLOOKUP(T96,'[1]Career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96" s="41" t="str">
        <f>J96&amp;"-"&amp;G96</f>
        <v>M3-15</v>
      </c>
      <c r="X96" s="42" t="str">
        <f>G96</f>
        <v>15</v>
      </c>
      <c r="Y96" s="22" t="str">
        <f>_xlfn.XLOOKUP(W96,'[1]Career Bands &amp; Levels'!A:A,'[1]Career Bands &amp; Levels'!C:C,"No Grade Differentiator")</f>
        <v xml:space="preserve">●	Looks beyond existing methodologies and own discipline to define and resolve complex problems
●	Develops plans and delivers results in fast-changing businesses and/or regulatory environments
●	Provides input to functional or departmental strategy		
●	Manages large, potentially diverse teams of managers and/or senior professionals		
		</v>
      </c>
      <c r="Z96" s="43" t="str">
        <f>IFERROR(O96&amp;" - "&amp;G96,"--")</f>
        <v>Program Manager Project Engineering - 15</v>
      </c>
      <c r="AA96" s="44" t="str">
        <f>_xlfn.XLOOKUP($H96,'[1]SIG Qualifications Input'!$D:$D,'[1]SIG Qualifications Input'!$H:$H)</f>
        <v>University degree or equivalent and 10+ years of work experience or equivalent, 
Very experienced in functionally leading cross-functional projects</v>
      </c>
    </row>
    <row r="97" spans="1:27" ht="183" thickBot="1" x14ac:dyDescent="0.2">
      <c r="A97" s="34" t="str">
        <f>_xlfn.XLOOKUP(C97,'[1]SIG Job Families &amp; Descriptions'!F:F,'[1]SIG Job Families &amp; Descriptions'!B:B)</f>
        <v>Engineering</v>
      </c>
      <c r="B97" s="34" t="str">
        <f>_xlfn.XLOOKUP(C97,'[1]SIG Job Families &amp; Descriptions'!F:F,'[1]SIG Job Families &amp; Descriptions'!D:D)</f>
        <v>Project Engineering</v>
      </c>
      <c r="C97" s="34" t="s">
        <v>59</v>
      </c>
      <c r="D97" s="30" t="str">
        <f t="shared" si="2"/>
        <v>APM</v>
      </c>
      <c r="E97" s="31" t="str">
        <f>_xlfn.XLOOKUP(C97,'[1]SIG Job Families &amp; Descriptions'!F:F,'[1]SIG Job Families &amp; Descriptions'!A:A)</f>
        <v>APM030</v>
      </c>
      <c r="F97" s="32" t="s">
        <v>60</v>
      </c>
      <c r="G97" s="33" t="s">
        <v>31</v>
      </c>
      <c r="H97" s="34" t="str">
        <f>F97&amp;"-"&amp;G97</f>
        <v>Projects-14</v>
      </c>
      <c r="I97" s="35" t="str">
        <f>IF(ISERROR(_xlfn.XLOOKUP(H97,'[1]SIG Level Structure'!D:D,'[1]SIG Level Structure'!D:D)),"0","1")</f>
        <v>1</v>
      </c>
      <c r="J97" s="36" t="str">
        <f>_xlfn.XLOOKUP($H97,'[1]SIG Level Structure'!$D:$D,'[1]SIG Level Structure'!F:F)</f>
        <v>M3</v>
      </c>
      <c r="K97" s="37" t="str">
        <f>E97&amp;"-"&amp;J97&amp;"-"&amp;G97</f>
        <v>APM030-M3-14</v>
      </c>
      <c r="L97" s="37" t="str">
        <f>IFERROR(D97&amp;"-"&amp;LEFT(J97,1),"--")</f>
        <v>APM-M</v>
      </c>
      <c r="M97" s="37" t="str">
        <f>VLOOKUP(L97,'[1]Compatible JC'!$A:$A,1,FALSE)</f>
        <v>APM-M</v>
      </c>
      <c r="N97" s="37" t="str">
        <f>IFERROR(_xlfn.XLOOKUP(H97,'[1]SIG Level Structure'!D:D,'[1]SIG Level Structure'!C:C),"--")</f>
        <v>Senior Project Manager</v>
      </c>
      <c r="O97" s="38" t="str">
        <f>IFERROR(TRIM(N97&amp;" "&amp;C97),"--")</f>
        <v>Senior Project Manager Project Engineering</v>
      </c>
      <c r="P97" s="22" t="str">
        <f>_xlfn.XLOOKUP(E97,'[1]SIG Job Families &amp; Descriptions'!A:A,'[1]SIG Job Families &amp; Descriptions'!G:G)</f>
        <v xml:space="preserve">Leads or coordinates project planning, resourcing, staffing, progress reporting, people management and troubleshooting for engineering projects. Ensures project results meet requirements regarding technical quality, reliability, schedule and cost. </v>
      </c>
      <c r="Q97" s="39" t="str">
        <f>_xlfn.XLOOKUP(E97,'[1]2022 GI Position Descriptions'!E:E,'[1]2022 GI Position Descriptions'!G:G)</f>
        <v>Leads or coordinates project planning, resourcing, staffing, progress reporting, people management and troubleshooting for engineering projects | Ensures project results meet requirements regarding technical quality, reliability, schedule and cost</v>
      </c>
      <c r="R97" s="22" t="str">
        <f>IF(LEFT(J97,1)="E","EX",LEFT(J97,1))</f>
        <v>M</v>
      </c>
      <c r="S97" s="22" t="str">
        <f>_xlfn.XLOOKUP($R97,'[1]Career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97" s="22" t="str">
        <f>J97</f>
        <v>M3</v>
      </c>
      <c r="U97" s="40" t="str">
        <f t="shared" si="3"/>
        <v>M3</v>
      </c>
      <c r="V97" s="22" t="str">
        <f>_xlfn.XLOOKUP(T97,'[1]Career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97" s="41" t="str">
        <f>J97&amp;"-"&amp;G97</f>
        <v>M3-14</v>
      </c>
      <c r="X97" s="42" t="str">
        <f>G97</f>
        <v>14</v>
      </c>
      <c r="Y97" s="22" t="str">
        <f>_xlfn.XLOOKUP(W97,'[1]Career Bands &amp; Levels'!A:A,'[1]Career Bands &amp; Levels'!C:C,"No Grade Differentiator")</f>
        <v xml:space="preserve">●	Identifies applications of functional knowledge and existing methodologies to complex problems	
●	Manages large teams of professionals and/or junior managers		
		</v>
      </c>
      <c r="Z97" s="43" t="str">
        <f>IFERROR(O97&amp;" - "&amp;G97,"--")</f>
        <v>Senior Project Manager Project Engineering - 14</v>
      </c>
      <c r="AA97" s="44" t="str">
        <f>_xlfn.XLOOKUP($H97,'[1]SIG Qualifications Input'!$D:$D,'[1]SIG Qualifications Input'!$H:$H)</f>
        <v>University degree or equivalent and 8-10 years of work experience or equivalent, 
Experience in functionally leading (sub-)projects / teams</v>
      </c>
    </row>
    <row r="98" spans="1:27" ht="169" thickBot="1" x14ac:dyDescent="0.2">
      <c r="A98" s="34" t="str">
        <f>_xlfn.XLOOKUP(C98,'[1]SIG Job Families &amp; Descriptions'!F:F,'[1]SIG Job Families &amp; Descriptions'!B:B)</f>
        <v>Engineering</v>
      </c>
      <c r="B98" s="34" t="str">
        <f>_xlfn.XLOOKUP(C98,'[1]SIG Job Families &amp; Descriptions'!F:F,'[1]SIG Job Families &amp; Descriptions'!D:D)</f>
        <v>Project Engineering</v>
      </c>
      <c r="C98" s="34" t="s">
        <v>59</v>
      </c>
      <c r="D98" s="30" t="str">
        <f t="shared" si="2"/>
        <v>APM</v>
      </c>
      <c r="E98" s="31" t="str">
        <f>_xlfn.XLOOKUP(C98,'[1]SIG Job Families &amp; Descriptions'!F:F,'[1]SIG Job Families &amp; Descriptions'!A:A)</f>
        <v>APM030</v>
      </c>
      <c r="F98" s="32" t="s">
        <v>60</v>
      </c>
      <c r="G98" s="33" t="s">
        <v>33</v>
      </c>
      <c r="H98" s="34" t="str">
        <f>F98&amp;"-"&amp;G98</f>
        <v>Projects-13</v>
      </c>
      <c r="I98" s="35" t="str">
        <f>IF(ISERROR(_xlfn.XLOOKUP(H98,'[1]SIG Level Structure'!D:D,'[1]SIG Level Structure'!D:D)),"0","1")</f>
        <v>1</v>
      </c>
      <c r="J98" s="36" t="str">
        <f>_xlfn.XLOOKUP($H98,'[1]SIG Level Structure'!$D:$D,'[1]SIG Level Structure'!F:F)</f>
        <v>P4</v>
      </c>
      <c r="K98" s="37" t="str">
        <f>E98&amp;"-"&amp;J98&amp;"-"&amp;G98</f>
        <v>APM030-P4-13</v>
      </c>
      <c r="L98" s="37" t="str">
        <f>IFERROR(D98&amp;"-"&amp;LEFT(J98,1),"--")</f>
        <v>APM-P</v>
      </c>
      <c r="M98" s="37" t="str">
        <f>VLOOKUP(L98,'[1]Compatible JC'!$A:$A,1,FALSE)</f>
        <v>APM-P</v>
      </c>
      <c r="N98" s="37" t="str">
        <f>IFERROR(_xlfn.XLOOKUP(H98,'[1]SIG Level Structure'!D:D,'[1]SIG Level Structure'!C:C),"--")</f>
        <v>Senior Project Manager</v>
      </c>
      <c r="O98" s="38" t="str">
        <f>IFERROR(TRIM(N98&amp;" "&amp;C98),"--")</f>
        <v>Senior Project Manager Project Engineering</v>
      </c>
      <c r="P98" s="22" t="str">
        <f>_xlfn.XLOOKUP(E98,'[1]SIG Job Families &amp; Descriptions'!A:A,'[1]SIG Job Families &amp; Descriptions'!G:G)</f>
        <v xml:space="preserve">Leads or coordinates project planning, resourcing, staffing, progress reporting, people management and troubleshooting for engineering projects. Ensures project results meet requirements regarding technical quality, reliability, schedule and cost. </v>
      </c>
      <c r="Q98" s="39" t="str">
        <f>_xlfn.XLOOKUP(E98,'[1]2022 GI Position Descriptions'!E:E,'[1]2022 GI Position Descriptions'!G:G)</f>
        <v>Leads or coordinates project planning, resourcing, staffing, progress reporting, people management and troubleshooting for engineering projects | Ensures project results meet requirements regarding technical quality, reliability, schedule and cost</v>
      </c>
      <c r="R98" s="22" t="str">
        <f>IF(LEFT(J98,1)="E","EX",LEFT(J98,1))</f>
        <v>P</v>
      </c>
      <c r="S98" s="22" t="str">
        <f>_xlfn.XLOOKUP($R98,'[1]Career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98" s="22" t="str">
        <f>J98</f>
        <v>P4</v>
      </c>
      <c r="U98" s="40" t="str">
        <f t="shared" si="3"/>
        <v>P4</v>
      </c>
      <c r="V98" s="22" t="str">
        <f>_xlfn.XLOOKUP(T98,'[1]Career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98" s="41" t="str">
        <f>J98&amp;"-"&amp;G98</f>
        <v>P4-13</v>
      </c>
      <c r="X98" s="42" t="str">
        <f>G98</f>
        <v>13</v>
      </c>
      <c r="Y98" s="22" t="str">
        <f>_xlfn.XLOOKUP(W98,'[1]Career Bands &amp; Levels'!A:A,'[1]Career Bands &amp; Levels'!C:C,"No Grade Differentiator")</f>
        <v xml:space="preserve">●	Guides others in resolving complex issues in specialized area based on existing solutions and procedures		
●	Serves as an expert within own discipline		
●	May lead function teams or projects and serves as a best practices/quality resource		
●	Trains/mentors junior staff		</v>
      </c>
      <c r="Z98" s="43" t="str">
        <f>IFERROR(O98&amp;" - "&amp;G98,"--")</f>
        <v>Senior Project Manager Project Engineering - 13</v>
      </c>
      <c r="AA98" s="44" t="str">
        <f>_xlfn.XLOOKUP($H98,'[1]SIG Qualifications Input'!$D:$D,'[1]SIG Qualifications Input'!$H:$H)</f>
        <v>University degree or equivalent and 8-10 years of work experience or equivalent, 
Experience in functionally leading (sub-)projects / teams</v>
      </c>
    </row>
    <row r="99" spans="1:27" ht="169" thickBot="1" x14ac:dyDescent="0.2">
      <c r="A99" s="34" t="str">
        <f>_xlfn.XLOOKUP(C99,'[1]SIG Job Families &amp; Descriptions'!F:F,'[1]SIG Job Families &amp; Descriptions'!B:B)</f>
        <v>Engineering</v>
      </c>
      <c r="B99" s="34" t="str">
        <f>_xlfn.XLOOKUP(C99,'[1]SIG Job Families &amp; Descriptions'!F:F,'[1]SIG Job Families &amp; Descriptions'!D:D)</f>
        <v>Project Engineering</v>
      </c>
      <c r="C99" s="34" t="s">
        <v>59</v>
      </c>
      <c r="D99" s="30" t="str">
        <f t="shared" si="2"/>
        <v>APM</v>
      </c>
      <c r="E99" s="31" t="str">
        <f>_xlfn.XLOOKUP(C99,'[1]SIG Job Families &amp; Descriptions'!F:F,'[1]SIG Job Families &amp; Descriptions'!A:A)</f>
        <v>APM030</v>
      </c>
      <c r="F99" s="32" t="s">
        <v>60</v>
      </c>
      <c r="G99" s="33" t="s">
        <v>34</v>
      </c>
      <c r="H99" s="34" t="str">
        <f>F99&amp;"-"&amp;G99</f>
        <v>Projects-12</v>
      </c>
      <c r="I99" s="35" t="str">
        <f>IF(ISERROR(_xlfn.XLOOKUP(H99,'[1]SIG Level Structure'!D:D,'[1]SIG Level Structure'!D:D)),"0","1")</f>
        <v>1</v>
      </c>
      <c r="J99" s="36" t="str">
        <f>_xlfn.XLOOKUP($H99,'[1]SIG Level Structure'!$D:$D,'[1]SIG Level Structure'!F:F)</f>
        <v>P3</v>
      </c>
      <c r="K99" s="37" t="str">
        <f>E99&amp;"-"&amp;J99&amp;"-"&amp;G99</f>
        <v>APM030-P3-12</v>
      </c>
      <c r="L99" s="37" t="str">
        <f>IFERROR(D99&amp;"-"&amp;LEFT(J99,1),"--")</f>
        <v>APM-P</v>
      </c>
      <c r="M99" s="37" t="str">
        <f>VLOOKUP(L99,'[1]Compatible JC'!$A:$A,1,FALSE)</f>
        <v>APM-P</v>
      </c>
      <c r="N99" s="37" t="str">
        <f>IFERROR(_xlfn.XLOOKUP(H99,'[1]SIG Level Structure'!D:D,'[1]SIG Level Structure'!C:C),"--")</f>
        <v>Project Manager</v>
      </c>
      <c r="O99" s="38" t="str">
        <f>IFERROR(TRIM(N99&amp;" "&amp;C99),"--")</f>
        <v>Project Manager Project Engineering</v>
      </c>
      <c r="P99" s="22" t="str">
        <f>_xlfn.XLOOKUP(E99,'[1]SIG Job Families &amp; Descriptions'!A:A,'[1]SIG Job Families &amp; Descriptions'!G:G)</f>
        <v xml:space="preserve">Leads or coordinates project planning, resourcing, staffing, progress reporting, people management and troubleshooting for engineering projects. Ensures project results meet requirements regarding technical quality, reliability, schedule and cost. </v>
      </c>
      <c r="Q99" s="39" t="str">
        <f>_xlfn.XLOOKUP(E99,'[1]2022 GI Position Descriptions'!E:E,'[1]2022 GI Position Descriptions'!G:G)</f>
        <v>Leads or coordinates project planning, resourcing, staffing, progress reporting, people management and troubleshooting for engineering projects | Ensures project results meet requirements regarding technical quality, reliability, schedule and cost</v>
      </c>
      <c r="R99" s="22" t="str">
        <f>IF(LEFT(J99,1)="E","EX",LEFT(J99,1))</f>
        <v>P</v>
      </c>
      <c r="S99" s="22" t="str">
        <f>_xlfn.XLOOKUP($R99,'[1]Career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99" s="22" t="str">
        <f>J99</f>
        <v>P3</v>
      </c>
      <c r="U99" s="40" t="str">
        <f t="shared" si="3"/>
        <v>P3</v>
      </c>
      <c r="V99" s="22" t="str">
        <f>_xlfn.XLOOKUP(T99,'[1]Career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99" s="41" t="str">
        <f>J99&amp;"-"&amp;G99</f>
        <v>P3-12</v>
      </c>
      <c r="X99" s="42" t="str">
        <f>G99</f>
        <v>12</v>
      </c>
      <c r="Y99" s="22" t="str">
        <f>_xlfn.XLOOKUP(W99,'[1]Career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99" s="43" t="str">
        <f>IFERROR(O99&amp;" - "&amp;G99,"--")</f>
        <v>Project Manager Project Engineering - 12</v>
      </c>
      <c r="AA99" s="44" t="str">
        <f>_xlfn.XLOOKUP($H99,'[1]SIG Qualifications Input'!$D:$D,'[1]SIG Qualifications Input'!$H:$H)</f>
        <v>University degree or equivalent and 4-8 years of work experience or equivalent, 
Initial experience in functionally leading (sub-) projects</v>
      </c>
    </row>
    <row r="100" spans="1:27" ht="169" thickBot="1" x14ac:dyDescent="0.2">
      <c r="A100" s="34" t="str">
        <f>_xlfn.XLOOKUP(C100,'[1]SIG Job Families &amp; Descriptions'!F:F,'[1]SIG Job Families &amp; Descriptions'!B:B)</f>
        <v>Engineering</v>
      </c>
      <c r="B100" s="34" t="str">
        <f>_xlfn.XLOOKUP(C100,'[1]SIG Job Families &amp; Descriptions'!F:F,'[1]SIG Job Families &amp; Descriptions'!D:D)</f>
        <v>Project Engineering</v>
      </c>
      <c r="C100" s="34" t="s">
        <v>59</v>
      </c>
      <c r="D100" s="30" t="str">
        <f t="shared" si="2"/>
        <v>APM</v>
      </c>
      <c r="E100" s="31" t="str">
        <f>_xlfn.XLOOKUP(C100,'[1]SIG Job Families &amp; Descriptions'!F:F,'[1]SIG Job Families &amp; Descriptions'!A:A)</f>
        <v>APM030</v>
      </c>
      <c r="F100" s="32" t="s">
        <v>60</v>
      </c>
      <c r="G100" s="33" t="s">
        <v>35</v>
      </c>
      <c r="H100" s="34" t="str">
        <f>F100&amp;"-"&amp;G100</f>
        <v>Projects-11</v>
      </c>
      <c r="I100" s="35" t="str">
        <f>IF(ISERROR(_xlfn.XLOOKUP(H100,'[1]SIG Level Structure'!D:D,'[1]SIG Level Structure'!D:D)),"0","1")</f>
        <v>1</v>
      </c>
      <c r="J100" s="36" t="str">
        <f>_xlfn.XLOOKUP($H100,'[1]SIG Level Structure'!$D:$D,'[1]SIG Level Structure'!F:F)</f>
        <v>P3</v>
      </c>
      <c r="K100" s="37" t="str">
        <f>E100&amp;"-"&amp;J100&amp;"-"&amp;G100</f>
        <v>APM030-P3-11</v>
      </c>
      <c r="L100" s="37" t="str">
        <f>IFERROR(D100&amp;"-"&amp;LEFT(J100,1),"--")</f>
        <v>APM-P</v>
      </c>
      <c r="M100" s="37" t="str">
        <f>VLOOKUP(L100,'[1]Compatible JC'!$A:$A,1,FALSE)</f>
        <v>APM-P</v>
      </c>
      <c r="N100" s="37" t="str">
        <f>IFERROR(_xlfn.XLOOKUP(H100,'[1]SIG Level Structure'!D:D,'[1]SIG Level Structure'!C:C),"--")</f>
        <v>Project Manager</v>
      </c>
      <c r="O100" s="38" t="str">
        <f>IFERROR(TRIM(N100&amp;" "&amp;C100),"--")</f>
        <v>Project Manager Project Engineering</v>
      </c>
      <c r="P100" s="22" t="str">
        <f>_xlfn.XLOOKUP(E100,'[1]SIG Job Families &amp; Descriptions'!A:A,'[1]SIG Job Families &amp; Descriptions'!G:G)</f>
        <v xml:space="preserve">Leads or coordinates project planning, resourcing, staffing, progress reporting, people management and troubleshooting for engineering projects. Ensures project results meet requirements regarding technical quality, reliability, schedule and cost. </v>
      </c>
      <c r="Q100" s="39" t="str">
        <f>_xlfn.XLOOKUP(E100,'[1]2022 GI Position Descriptions'!E:E,'[1]2022 GI Position Descriptions'!G:G)</f>
        <v>Leads or coordinates project planning, resourcing, staffing, progress reporting, people management and troubleshooting for engineering projects | Ensures project results meet requirements regarding technical quality, reliability, schedule and cost</v>
      </c>
      <c r="R100" s="22" t="str">
        <f>IF(LEFT(J100,1)="E","EX",LEFT(J100,1))</f>
        <v>P</v>
      </c>
      <c r="S100" s="22" t="str">
        <f>_xlfn.XLOOKUP($R100,'[1]Career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00" s="22" t="str">
        <f>J100</f>
        <v>P3</v>
      </c>
      <c r="U100" s="40" t="str">
        <f t="shared" si="3"/>
        <v>P3</v>
      </c>
      <c r="V100" s="22" t="str">
        <f>_xlfn.XLOOKUP(T100,'[1]Career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100" s="41" t="str">
        <f>J100&amp;"-"&amp;G100</f>
        <v>P3-11</v>
      </c>
      <c r="X100" s="42" t="str">
        <f>G100</f>
        <v>11</v>
      </c>
      <c r="Y100" s="22" t="str">
        <f>_xlfn.XLOOKUP(W100,'[1]Career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100" s="43" t="str">
        <f>IFERROR(O100&amp;" - "&amp;G100,"--")</f>
        <v>Project Manager Project Engineering - 11</v>
      </c>
      <c r="AA100" s="44" t="str">
        <f>_xlfn.XLOOKUP($H100,'[1]SIG Qualifications Input'!$D:$D,'[1]SIG Qualifications Input'!$H:$H)</f>
        <v>University degree or equivalent and 4-8 years of work experience or equivalent, 
Initial experience in functionally leading (sub-) projects</v>
      </c>
    </row>
    <row r="101" spans="1:27" ht="169" thickBot="1" x14ac:dyDescent="0.2">
      <c r="A101" s="34" t="str">
        <f>_xlfn.XLOOKUP(C101,'[1]SIG Job Families &amp; Descriptions'!F:F,'[1]SIG Job Families &amp; Descriptions'!B:B)</f>
        <v>Engineering</v>
      </c>
      <c r="B101" s="34" t="str">
        <f>_xlfn.XLOOKUP(C101,'[1]SIG Job Families &amp; Descriptions'!F:F,'[1]SIG Job Families &amp; Descriptions'!D:D)</f>
        <v>Project Engineering</v>
      </c>
      <c r="C101" s="34" t="s">
        <v>59</v>
      </c>
      <c r="D101" s="30" t="str">
        <f t="shared" si="2"/>
        <v>APM</v>
      </c>
      <c r="E101" s="31" t="str">
        <f>_xlfn.XLOOKUP(C101,'[1]SIG Job Families &amp; Descriptions'!F:F,'[1]SIG Job Families &amp; Descriptions'!A:A)</f>
        <v>APM030</v>
      </c>
      <c r="F101" s="32" t="s">
        <v>60</v>
      </c>
      <c r="G101" s="33" t="s">
        <v>36</v>
      </c>
      <c r="H101" s="34" t="str">
        <f>F101&amp;"-"&amp;G101</f>
        <v>Projects-10</v>
      </c>
      <c r="I101" s="35" t="str">
        <f>IF(ISERROR(_xlfn.XLOOKUP(H101,'[1]SIG Level Structure'!D:D,'[1]SIG Level Structure'!D:D)),"0","1")</f>
        <v>1</v>
      </c>
      <c r="J101" s="36" t="str">
        <f>_xlfn.XLOOKUP($H101,'[1]SIG Level Structure'!$D:$D,'[1]SIG Level Structure'!F:F)</f>
        <v>P2</v>
      </c>
      <c r="K101" s="37" t="str">
        <f>E101&amp;"-"&amp;J101&amp;"-"&amp;G101</f>
        <v>APM030-P2-10</v>
      </c>
      <c r="L101" s="37" t="str">
        <f>IFERROR(D101&amp;"-"&amp;LEFT(J101,1),"--")</f>
        <v>APM-P</v>
      </c>
      <c r="M101" s="37" t="str">
        <f>VLOOKUP(L101,'[1]Compatible JC'!$A:$A,1,FALSE)</f>
        <v>APM-P</v>
      </c>
      <c r="N101" s="37" t="str">
        <f>IFERROR(_xlfn.XLOOKUP(H101,'[1]SIG Level Structure'!D:D,'[1]SIG Level Structure'!C:C),"--")</f>
        <v>Senior Project Coordinator</v>
      </c>
      <c r="O101" s="38" t="str">
        <f>IFERROR(TRIM(N101&amp;" "&amp;C101),"--")</f>
        <v>Senior Project Coordinator Project Engineering</v>
      </c>
      <c r="P101" s="22" t="str">
        <f>_xlfn.XLOOKUP(E101,'[1]SIG Job Families &amp; Descriptions'!A:A,'[1]SIG Job Families &amp; Descriptions'!G:G)</f>
        <v xml:space="preserve">Leads or coordinates project planning, resourcing, staffing, progress reporting, people management and troubleshooting for engineering projects. Ensures project results meet requirements regarding technical quality, reliability, schedule and cost. </v>
      </c>
      <c r="Q101" s="39" t="str">
        <f>_xlfn.XLOOKUP(E101,'[1]2022 GI Position Descriptions'!E:E,'[1]2022 GI Position Descriptions'!G:G)</f>
        <v>Leads or coordinates project planning, resourcing, staffing, progress reporting, people management and troubleshooting for engineering projects | Ensures project results meet requirements regarding technical quality, reliability, schedule and cost</v>
      </c>
      <c r="R101" s="22" t="str">
        <f>IF(LEFT(J101,1)="E","EX",LEFT(J101,1))</f>
        <v>P</v>
      </c>
      <c r="S101" s="22" t="str">
        <f>_xlfn.XLOOKUP($R101,'[1]Career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01" s="22" t="str">
        <f>J101</f>
        <v>P2</v>
      </c>
      <c r="U101" s="40" t="str">
        <f t="shared" si="3"/>
        <v>P2</v>
      </c>
      <c r="V101" s="22" t="str">
        <f>_xlfn.XLOOKUP(T101,'[1]Career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101" s="41" t="str">
        <f>J101&amp;"-"&amp;G101</f>
        <v>P2-10</v>
      </c>
      <c r="X101" s="42" t="str">
        <f>G101</f>
        <v>10</v>
      </c>
      <c r="Y101" s="22" t="str">
        <f>_xlfn.XLOOKUP(W101,'[1]Career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101" s="43" t="str">
        <f>IFERROR(O101&amp;" - "&amp;G101,"--")</f>
        <v>Senior Project Coordinator Project Engineering - 10</v>
      </c>
      <c r="AA101" s="44" t="str">
        <f>_xlfn.XLOOKUP($H101,'[1]SIG Qualifications Input'!$D:$D,'[1]SIG Qualifications Input'!$H:$H)</f>
        <v>University degree or equivalent and 2-4 years of work experience or equivalent</v>
      </c>
    </row>
    <row r="102" spans="1:27" ht="169" thickBot="1" x14ac:dyDescent="0.2">
      <c r="A102" s="34" t="str">
        <f>_xlfn.XLOOKUP(C102,'[1]SIG Job Families &amp; Descriptions'!F:F,'[1]SIG Job Families &amp; Descriptions'!B:B)</f>
        <v>Engineering</v>
      </c>
      <c r="B102" s="34" t="str">
        <f>_xlfn.XLOOKUP(C102,'[1]SIG Job Families &amp; Descriptions'!F:F,'[1]SIG Job Families &amp; Descriptions'!D:D)</f>
        <v>Project Engineering</v>
      </c>
      <c r="C102" s="34" t="s">
        <v>59</v>
      </c>
      <c r="D102" s="30" t="str">
        <f t="shared" si="2"/>
        <v>APM</v>
      </c>
      <c r="E102" s="31" t="str">
        <f>_xlfn.XLOOKUP(C102,'[1]SIG Job Families &amp; Descriptions'!F:F,'[1]SIG Job Families &amp; Descriptions'!A:A)</f>
        <v>APM030</v>
      </c>
      <c r="F102" s="32" t="s">
        <v>60</v>
      </c>
      <c r="G102" s="33" t="s">
        <v>37</v>
      </c>
      <c r="H102" s="34" t="str">
        <f>F102&amp;"-"&amp;G102</f>
        <v>Projects-09</v>
      </c>
      <c r="I102" s="35" t="str">
        <f>IF(ISERROR(_xlfn.XLOOKUP(H102,'[1]SIG Level Structure'!D:D,'[1]SIG Level Structure'!D:D)),"0","1")</f>
        <v>1</v>
      </c>
      <c r="J102" s="36" t="str">
        <f>_xlfn.XLOOKUP($H102,'[1]SIG Level Structure'!$D:$D,'[1]SIG Level Structure'!F:F)</f>
        <v>P2</v>
      </c>
      <c r="K102" s="37" t="str">
        <f>E102&amp;"-"&amp;J102&amp;"-"&amp;G102</f>
        <v>APM030-P2-09</v>
      </c>
      <c r="L102" s="37" t="str">
        <f>IFERROR(D102&amp;"-"&amp;LEFT(J102,1),"--")</f>
        <v>APM-P</v>
      </c>
      <c r="M102" s="37" t="str">
        <f>VLOOKUP(L102,'[1]Compatible JC'!$A:$A,1,FALSE)</f>
        <v>APM-P</v>
      </c>
      <c r="N102" s="37" t="str">
        <f>IFERROR(_xlfn.XLOOKUP(H102,'[1]SIG Level Structure'!D:D,'[1]SIG Level Structure'!C:C),"--")</f>
        <v>Senior Project Coordinator</v>
      </c>
      <c r="O102" s="38" t="str">
        <f>IFERROR(TRIM(N102&amp;" "&amp;C102),"--")</f>
        <v>Senior Project Coordinator Project Engineering</v>
      </c>
      <c r="P102" s="22" t="str">
        <f>_xlfn.XLOOKUP(E102,'[1]SIG Job Families &amp; Descriptions'!A:A,'[1]SIG Job Families &amp; Descriptions'!G:G)</f>
        <v xml:space="preserve">Leads or coordinates project planning, resourcing, staffing, progress reporting, people management and troubleshooting for engineering projects. Ensures project results meet requirements regarding technical quality, reliability, schedule and cost. </v>
      </c>
      <c r="Q102" s="39" t="str">
        <f>_xlfn.XLOOKUP(E102,'[1]2022 GI Position Descriptions'!E:E,'[1]2022 GI Position Descriptions'!G:G)</f>
        <v>Leads or coordinates project planning, resourcing, staffing, progress reporting, people management and troubleshooting for engineering projects | Ensures project results meet requirements regarding technical quality, reliability, schedule and cost</v>
      </c>
      <c r="R102" s="22" t="str">
        <f>IF(LEFT(J102,1)="E","EX",LEFT(J102,1))</f>
        <v>P</v>
      </c>
      <c r="S102" s="22" t="str">
        <f>_xlfn.XLOOKUP($R102,'[1]Career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02" s="22" t="str">
        <f>J102</f>
        <v>P2</v>
      </c>
      <c r="U102" s="40" t="str">
        <f t="shared" si="3"/>
        <v>P2</v>
      </c>
      <c r="V102" s="22" t="str">
        <f>_xlfn.XLOOKUP(T102,'[1]Career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102" s="41" t="str">
        <f>J102&amp;"-"&amp;G102</f>
        <v>P2-09</v>
      </c>
      <c r="X102" s="42" t="str">
        <f>G102</f>
        <v>09</v>
      </c>
      <c r="Y102" s="22" t="str">
        <f>_xlfn.XLOOKUP(W102,'[1]Career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102" s="43" t="str">
        <f>IFERROR(O102&amp;" - "&amp;G102,"--")</f>
        <v>Senior Project Coordinator Project Engineering - 09</v>
      </c>
      <c r="AA102" s="44" t="str">
        <f>_xlfn.XLOOKUP($H102,'[1]SIG Qualifications Input'!$D:$D,'[1]SIG Qualifications Input'!$H:$H)</f>
        <v>University degree or equivalent and 2-4 years of work experience or equivalent</v>
      </c>
    </row>
    <row r="103" spans="1:27" ht="169" thickBot="1" x14ac:dyDescent="0.2">
      <c r="A103" s="34" t="str">
        <f>_xlfn.XLOOKUP(C103,'[1]SIG Job Families &amp; Descriptions'!F:F,'[1]SIG Job Families &amp; Descriptions'!B:B)</f>
        <v>Engineering</v>
      </c>
      <c r="B103" s="34" t="str">
        <f>_xlfn.XLOOKUP(C103,'[1]SIG Job Families &amp; Descriptions'!F:F,'[1]SIG Job Families &amp; Descriptions'!D:D)</f>
        <v>Project Engineering</v>
      </c>
      <c r="C103" s="34" t="s">
        <v>59</v>
      </c>
      <c r="D103" s="30" t="str">
        <f t="shared" si="2"/>
        <v>APM</v>
      </c>
      <c r="E103" s="31" t="str">
        <f>_xlfn.XLOOKUP(C103,'[1]SIG Job Families &amp; Descriptions'!F:F,'[1]SIG Job Families &amp; Descriptions'!A:A)</f>
        <v>APM030</v>
      </c>
      <c r="F103" s="32" t="s">
        <v>60</v>
      </c>
      <c r="G103" s="33" t="s">
        <v>43</v>
      </c>
      <c r="H103" s="34" t="str">
        <f>F103&amp;"-"&amp;G103</f>
        <v>Projects-08</v>
      </c>
      <c r="I103" s="35" t="str">
        <f>IF(ISERROR(_xlfn.XLOOKUP(H103,'[1]SIG Level Structure'!D:D,'[1]SIG Level Structure'!D:D)),"0","1")</f>
        <v>1</v>
      </c>
      <c r="J103" s="36" t="str">
        <f>_xlfn.XLOOKUP($H103,'[1]SIG Level Structure'!$D:$D,'[1]SIG Level Structure'!F:F)</f>
        <v>P1</v>
      </c>
      <c r="K103" s="37" t="str">
        <f>E103&amp;"-"&amp;J103&amp;"-"&amp;G103</f>
        <v>APM030-P1-08</v>
      </c>
      <c r="L103" s="37" t="str">
        <f>IFERROR(D103&amp;"-"&amp;LEFT(J103,1),"--")</f>
        <v>APM-P</v>
      </c>
      <c r="M103" s="37" t="str">
        <f>VLOOKUP(L103,'[1]Compatible JC'!$A:$A,1,FALSE)</f>
        <v>APM-P</v>
      </c>
      <c r="N103" s="37" t="str">
        <f>IFERROR(_xlfn.XLOOKUP(H103,'[1]SIG Level Structure'!D:D,'[1]SIG Level Structure'!C:C),"--")</f>
        <v>Project Coordinator</v>
      </c>
      <c r="O103" s="38" t="str">
        <f>IFERROR(TRIM(N103&amp;" "&amp;C103),"--")</f>
        <v>Project Coordinator Project Engineering</v>
      </c>
      <c r="P103" s="22" t="str">
        <f>_xlfn.XLOOKUP(E103,'[1]SIG Job Families &amp; Descriptions'!A:A,'[1]SIG Job Families &amp; Descriptions'!G:G)</f>
        <v xml:space="preserve">Leads or coordinates project planning, resourcing, staffing, progress reporting, people management and troubleshooting for engineering projects. Ensures project results meet requirements regarding technical quality, reliability, schedule and cost. </v>
      </c>
      <c r="Q103" s="39" t="str">
        <f>_xlfn.XLOOKUP(E103,'[1]2022 GI Position Descriptions'!E:E,'[1]2022 GI Position Descriptions'!G:G)</f>
        <v>Leads or coordinates project planning, resourcing, staffing, progress reporting, people management and troubleshooting for engineering projects | Ensures project results meet requirements regarding technical quality, reliability, schedule and cost</v>
      </c>
      <c r="R103" s="22" t="str">
        <f>IF(LEFT(J103,1)="E","EX",LEFT(J103,1))</f>
        <v>P</v>
      </c>
      <c r="S103" s="22" t="str">
        <f>_xlfn.XLOOKUP($R103,'[1]Career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03" s="22" t="str">
        <f>J103</f>
        <v>P1</v>
      </c>
      <c r="U103" s="40" t="str">
        <f t="shared" si="3"/>
        <v>P1</v>
      </c>
      <c r="V103" s="22" t="str">
        <f>_xlfn.XLOOKUP(T103,'[1]Career Bands &amp; Levels'!A:A,'[1]Career Bands &amp; Levels'!C:C)</f>
        <v xml:space="preserve">●	Performs routine assignments in the entry level of the Professional Career Band		
●	Typically requires a college or university degree or the equivalent work experience and has conceptual knowledge of fundamental theories, principles and practices 		
●	Has no discretion to vary from established procedures by performing structured work assignments		
●	Uses existing procedures to solve routine or standard problems		
●	Receives instruction, guidance and direction from more senior level roles		</v>
      </c>
      <c r="W103" s="41" t="str">
        <f>J103&amp;"-"&amp;G103</f>
        <v>P1-08</v>
      </c>
      <c r="X103" s="42" t="str">
        <f>G103</f>
        <v>08</v>
      </c>
      <c r="Y103" s="22" t="str">
        <f>_xlfn.XLOOKUP(W103,'[1]Career Bands &amp; Levels'!A:A,'[1]Career Bands &amp; Levels'!C:C,"No Grade Differentiator")</f>
        <v>No Grade Differentiator</v>
      </c>
      <c r="Z103" s="43" t="str">
        <f>IFERROR(O103&amp;" - "&amp;G103,"--")</f>
        <v>Project Coordinator Project Engineering - 08</v>
      </c>
      <c r="AA103" s="44" t="str">
        <f>_xlfn.XLOOKUP($H103,'[1]SIG Qualifications Input'!$D:$D,'[1]SIG Qualifications Input'!$H:$H)</f>
        <v>University degree or equivalent and 0-1 year of work experience or equivalent</v>
      </c>
    </row>
    <row r="104" spans="1:27" ht="183" thickBot="1" x14ac:dyDescent="0.2">
      <c r="A104" s="34" t="str">
        <f>_xlfn.XLOOKUP(C104,'[1]SIG Job Families &amp; Descriptions'!F:F,'[1]SIG Job Families &amp; Descriptions'!B:B)</f>
        <v>Engineering</v>
      </c>
      <c r="B104" s="34" t="str">
        <f>_xlfn.XLOOKUP(C104,'[1]SIG Job Families &amp; Descriptions'!F:F,'[1]SIG Job Families &amp; Descriptions'!D:D)</f>
        <v>Project Engineering</v>
      </c>
      <c r="C104" s="34" t="s">
        <v>59</v>
      </c>
      <c r="D104" s="30" t="str">
        <f t="shared" si="2"/>
        <v>APM</v>
      </c>
      <c r="E104" s="31" t="str">
        <f>_xlfn.XLOOKUP(C104,'[1]SIG Job Families &amp; Descriptions'!F:F,'[1]SIG Job Families &amp; Descriptions'!A:A)</f>
        <v>APM030</v>
      </c>
      <c r="F104" s="32" t="s">
        <v>60</v>
      </c>
      <c r="G104" s="33" t="s">
        <v>40</v>
      </c>
      <c r="H104" s="34" t="str">
        <f>F104&amp;"-"&amp;G104</f>
        <v>Projects-16</v>
      </c>
      <c r="I104" s="35" t="str">
        <f>IF(ISERROR(_xlfn.XLOOKUP(H104,'[1]SIG Level Structure'!D:D,'[1]SIG Level Structure'!D:D)),"0","1")</f>
        <v>1</v>
      </c>
      <c r="J104" s="36" t="str">
        <f>_xlfn.XLOOKUP($H104,'[1]SIG Level Structure'!$D:$D,'[1]SIG Level Structure'!F:F)</f>
        <v>M4</v>
      </c>
      <c r="K104" s="37" t="str">
        <f>E104&amp;"-"&amp;J104&amp;"-"&amp;G104</f>
        <v>APM030-M4-16</v>
      </c>
      <c r="L104" s="37" t="str">
        <f>IFERROR(D104&amp;"-"&amp;LEFT(J104,1),"--")</f>
        <v>APM-M</v>
      </c>
      <c r="M104" s="37" t="str">
        <f>VLOOKUP(L104,'[1]Compatible JC'!$A:$A,1,FALSE)</f>
        <v>APM-M</v>
      </c>
      <c r="N104" s="37" t="str">
        <f>IFERROR(_xlfn.XLOOKUP(H104,'[1]SIG Level Structure'!D:D,'[1]SIG Level Structure'!C:C),"--")</f>
        <v>Program Manager</v>
      </c>
      <c r="O104" s="38" t="str">
        <f>IFERROR(TRIM(N104&amp;" "&amp;C104),"--")</f>
        <v>Program Manager Project Engineering</v>
      </c>
      <c r="P104" s="22" t="str">
        <f>_xlfn.XLOOKUP(E104,'[1]SIG Job Families &amp; Descriptions'!A:A,'[1]SIG Job Families &amp; Descriptions'!G:G)</f>
        <v xml:space="preserve">Leads or coordinates project planning, resourcing, staffing, progress reporting, people management and troubleshooting for engineering projects. Ensures project results meet requirements regarding technical quality, reliability, schedule and cost. </v>
      </c>
      <c r="Q104" s="39" t="str">
        <f>_xlfn.XLOOKUP(E104,'[1]2022 GI Position Descriptions'!E:E,'[1]2022 GI Position Descriptions'!G:G)</f>
        <v>Leads or coordinates project planning, resourcing, staffing, progress reporting, people management and troubleshooting for engineering projects | Ensures project results meet requirements regarding technical quality, reliability, schedule and cost</v>
      </c>
      <c r="R104" s="22" t="str">
        <f>IF(LEFT(J104,1)="E","EX",LEFT(J104,1))</f>
        <v>M</v>
      </c>
      <c r="S104" s="22" t="str">
        <f>_xlfn.XLOOKUP($R104,'[1]Career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104" s="22" t="str">
        <f>J104</f>
        <v>M4</v>
      </c>
      <c r="U104" s="40" t="str">
        <f t="shared" si="3"/>
        <v>M4</v>
      </c>
      <c r="V104" s="22" t="str">
        <f>_xlfn.XLOOKUP(T104,'[1]Career Bands &amp; Levels'!A:A,'[1]Career Bands &amp; Levels'!C:C)</f>
        <v xml:space="preserve">●	Provides leadership and direction through Senior Managers and Managers		
●	Has accountability for the performance and results of:		
	●	A large, strategically important discipline in an extremely large market; and/or	
	●	Related disciplines or a medium-sized function in a large market or medium-sized division; and/or	
	●	A medium-sized discipline or department in a major region	
●	Adapts and executes functional or departmental business plans and contributes to the development of functional or departmental strategies		
●	Decisions are guided by functional or major operational segment strategies and priorities		</v>
      </c>
      <c r="W104" s="41" t="str">
        <f>J104&amp;"-"&amp;G104</f>
        <v>M4-16</v>
      </c>
      <c r="X104" s="42" t="str">
        <f>G104</f>
        <v>16</v>
      </c>
      <c r="Y104" s="22" t="str">
        <f>_xlfn.XLOOKUP(W104,'[1]Career Bands &amp; Levels'!A:A,'[1]Career Bands &amp; Levels'!C:C,"No Grade Differentiator")</f>
        <v>No Grade Differentiator</v>
      </c>
      <c r="Z104" s="43" t="str">
        <f>IFERROR(O104&amp;" - "&amp;G104,"--")</f>
        <v>Program Manager Project Engineering - 16</v>
      </c>
      <c r="AA104" s="44" t="str">
        <f>_xlfn.XLOOKUP($H104,'[1]SIG Qualifications Input'!$D:$D,'[1]SIG Qualifications Input'!$H:$H)</f>
        <v>University degree or equivalent and 10+ years of work experience or equivalent, 
Very experienced in functionally leading cross-functional projects</v>
      </c>
    </row>
    <row r="105" spans="1:27" ht="183" thickBot="1" x14ac:dyDescent="0.2">
      <c r="A105" s="34" t="str">
        <f>_xlfn.XLOOKUP(C105,'[1]SIG Job Families &amp; Descriptions'!F:F,'[1]SIG Job Families &amp; Descriptions'!B:B)</f>
        <v>Engineering</v>
      </c>
      <c r="B105" s="34" t="str">
        <f>_xlfn.XLOOKUP(C105,'[1]SIG Job Families &amp; Descriptions'!F:F,'[1]SIG Job Families &amp; Descriptions'!D:D)</f>
        <v>Project Engineering</v>
      </c>
      <c r="C105" s="34" t="s">
        <v>59</v>
      </c>
      <c r="D105" s="30" t="str">
        <f t="shared" si="2"/>
        <v>APM</v>
      </c>
      <c r="E105" s="31" t="str">
        <f>_xlfn.XLOOKUP(C105,'[1]SIG Job Families &amp; Descriptions'!F:F,'[1]SIG Job Families &amp; Descriptions'!A:A)</f>
        <v>APM030</v>
      </c>
      <c r="F105" s="32" t="s">
        <v>60</v>
      </c>
      <c r="G105" s="33" t="s">
        <v>30</v>
      </c>
      <c r="H105" s="34" t="str">
        <f>F105&amp;"-"&amp;G105</f>
        <v>Projects-15</v>
      </c>
      <c r="I105" s="35" t="str">
        <f>IF(ISERROR(_xlfn.XLOOKUP(H105,'[1]SIG Level Structure'!D:D,'[1]SIG Level Structure'!D:D)),"0","1")</f>
        <v>1</v>
      </c>
      <c r="J105" s="36" t="str">
        <f>_xlfn.XLOOKUP($H105,'[1]SIG Level Structure'!$D:$D,'[1]SIG Level Structure'!F:F)</f>
        <v>M3</v>
      </c>
      <c r="K105" s="37" t="str">
        <f>E105&amp;"-"&amp;J105&amp;"-"&amp;G105</f>
        <v>APM030-M3-15</v>
      </c>
      <c r="L105" s="37" t="str">
        <f>IFERROR(D105&amp;"-"&amp;LEFT(J105,1),"--")</f>
        <v>APM-M</v>
      </c>
      <c r="M105" s="37" t="str">
        <f>VLOOKUP(L105,'[1]Compatible JC'!$A:$A,1,FALSE)</f>
        <v>APM-M</v>
      </c>
      <c r="N105" s="37" t="str">
        <f>IFERROR(_xlfn.XLOOKUP(H105,'[1]SIG Level Structure'!D:D,'[1]SIG Level Structure'!C:C),"--")</f>
        <v>Program Manager</v>
      </c>
      <c r="O105" s="38" t="str">
        <f>IFERROR(TRIM(N105&amp;" "&amp;C105),"--")</f>
        <v>Program Manager Project Engineering</v>
      </c>
      <c r="P105" s="22" t="str">
        <f>_xlfn.XLOOKUP(E105,'[1]SIG Job Families &amp; Descriptions'!A:A,'[1]SIG Job Families &amp; Descriptions'!G:G)</f>
        <v xml:space="preserve">Leads or coordinates project planning, resourcing, staffing, progress reporting, people management and troubleshooting for engineering projects. Ensures project results meet requirements regarding technical quality, reliability, schedule and cost. </v>
      </c>
      <c r="Q105" s="39" t="str">
        <f>_xlfn.XLOOKUP(E105,'[1]2022 GI Position Descriptions'!E:E,'[1]2022 GI Position Descriptions'!G:G)</f>
        <v>Leads or coordinates project planning, resourcing, staffing, progress reporting, people management and troubleshooting for engineering projects | Ensures project results meet requirements regarding technical quality, reliability, schedule and cost</v>
      </c>
      <c r="R105" s="22" t="str">
        <f>IF(LEFT(J105,1)="E","EX",LEFT(J105,1))</f>
        <v>M</v>
      </c>
      <c r="S105" s="22" t="str">
        <f>_xlfn.XLOOKUP($R105,'[1]Career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105" s="22" t="str">
        <f>J105</f>
        <v>M3</v>
      </c>
      <c r="U105" s="40" t="str">
        <f t="shared" si="3"/>
        <v>M3</v>
      </c>
      <c r="V105" s="22" t="str">
        <f>_xlfn.XLOOKUP(T105,'[1]Career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105" s="41" t="str">
        <f>J105&amp;"-"&amp;G105</f>
        <v>M3-15</v>
      </c>
      <c r="X105" s="42" t="str">
        <f>G105</f>
        <v>15</v>
      </c>
      <c r="Y105" s="22" t="str">
        <f>_xlfn.XLOOKUP(W105,'[1]Career Bands &amp; Levels'!A:A,'[1]Career Bands &amp; Levels'!C:C,"No Grade Differentiator")</f>
        <v xml:space="preserve">●	Looks beyond existing methodologies and own discipline to define and resolve complex problems
●	Develops plans and delivers results in fast-changing businesses and/or regulatory environments
●	Provides input to functional or departmental strategy		
●	Manages large, potentially diverse teams of managers and/or senior professionals		
		</v>
      </c>
      <c r="Z105" s="43" t="str">
        <f>IFERROR(O105&amp;" - "&amp;G105,"--")</f>
        <v>Program Manager Project Engineering - 15</v>
      </c>
      <c r="AA105" s="44" t="str">
        <f>_xlfn.XLOOKUP($H105,'[1]SIG Qualifications Input'!$D:$D,'[1]SIG Qualifications Input'!$H:$H)</f>
        <v>University degree or equivalent and 10+ years of work experience or equivalent, 
Very experienced in functionally leading cross-functional projects</v>
      </c>
    </row>
    <row r="106" spans="1:27" ht="183" thickBot="1" x14ac:dyDescent="0.2">
      <c r="A106" s="34" t="str">
        <f>_xlfn.XLOOKUP(C106,'[1]SIG Job Families &amp; Descriptions'!F:F,'[1]SIG Job Families &amp; Descriptions'!B:B)</f>
        <v>Engineering</v>
      </c>
      <c r="B106" s="34" t="str">
        <f>_xlfn.XLOOKUP(C106,'[1]SIG Job Families &amp; Descriptions'!F:F,'[1]SIG Job Families &amp; Descriptions'!D:D)</f>
        <v>Project Engineering</v>
      </c>
      <c r="C106" s="34" t="s">
        <v>59</v>
      </c>
      <c r="D106" s="30" t="str">
        <f t="shared" si="2"/>
        <v>APM</v>
      </c>
      <c r="E106" s="31" t="str">
        <f>_xlfn.XLOOKUP(C106,'[1]SIG Job Families &amp; Descriptions'!F:F,'[1]SIG Job Families &amp; Descriptions'!A:A)</f>
        <v>APM030</v>
      </c>
      <c r="F106" s="32" t="s">
        <v>60</v>
      </c>
      <c r="G106" s="33" t="s">
        <v>31</v>
      </c>
      <c r="H106" s="34" t="str">
        <f>F106&amp;"-"&amp;G106</f>
        <v>Projects-14</v>
      </c>
      <c r="I106" s="35" t="str">
        <f>IF(ISERROR(_xlfn.XLOOKUP(H106,'[1]SIG Level Structure'!D:D,'[1]SIG Level Structure'!D:D)),"0","1")</f>
        <v>1</v>
      </c>
      <c r="J106" s="36" t="str">
        <f>_xlfn.XLOOKUP($H106,'[1]SIG Level Structure'!$D:$D,'[1]SIG Level Structure'!F:F)</f>
        <v>M3</v>
      </c>
      <c r="K106" s="37" t="str">
        <f>E106&amp;"-"&amp;J106&amp;"-"&amp;G106</f>
        <v>APM030-M3-14</v>
      </c>
      <c r="L106" s="37" t="str">
        <f>IFERROR(D106&amp;"-"&amp;LEFT(J106,1),"--")</f>
        <v>APM-M</v>
      </c>
      <c r="M106" s="37" t="str">
        <f>VLOOKUP(L106,'[1]Compatible JC'!$A:$A,1,FALSE)</f>
        <v>APM-M</v>
      </c>
      <c r="N106" s="37" t="str">
        <f>IFERROR(_xlfn.XLOOKUP(H106,'[1]SIG Level Structure'!D:D,'[1]SIG Level Structure'!C:C),"--")</f>
        <v>Senior Project Manager</v>
      </c>
      <c r="O106" s="38" t="str">
        <f>IFERROR(TRIM(N106&amp;" "&amp;C106),"--")</f>
        <v>Senior Project Manager Project Engineering</v>
      </c>
      <c r="P106" s="22" t="str">
        <f>_xlfn.XLOOKUP(E106,'[1]SIG Job Families &amp; Descriptions'!A:A,'[1]SIG Job Families &amp; Descriptions'!G:G)</f>
        <v xml:space="preserve">Leads or coordinates project planning, resourcing, staffing, progress reporting, people management and troubleshooting for engineering projects. Ensures project results meet requirements regarding technical quality, reliability, schedule and cost. </v>
      </c>
      <c r="Q106" s="39" t="str">
        <f>_xlfn.XLOOKUP(E106,'[1]2022 GI Position Descriptions'!E:E,'[1]2022 GI Position Descriptions'!G:G)</f>
        <v>Leads or coordinates project planning, resourcing, staffing, progress reporting, people management and troubleshooting for engineering projects | Ensures project results meet requirements regarding technical quality, reliability, schedule and cost</v>
      </c>
      <c r="R106" s="22" t="str">
        <f>IF(LEFT(J106,1)="E","EX",LEFT(J106,1))</f>
        <v>M</v>
      </c>
      <c r="S106" s="22" t="str">
        <f>_xlfn.XLOOKUP($R106,'[1]Career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106" s="22" t="str">
        <f>J106</f>
        <v>M3</v>
      </c>
      <c r="U106" s="40" t="str">
        <f t="shared" si="3"/>
        <v>M3</v>
      </c>
      <c r="V106" s="22" t="str">
        <f>_xlfn.XLOOKUP(T106,'[1]Career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106" s="41" t="str">
        <f>J106&amp;"-"&amp;G106</f>
        <v>M3-14</v>
      </c>
      <c r="X106" s="42" t="str">
        <f>G106</f>
        <v>14</v>
      </c>
      <c r="Y106" s="22" t="str">
        <f>_xlfn.XLOOKUP(W106,'[1]Career Bands &amp; Levels'!A:A,'[1]Career Bands &amp; Levels'!C:C,"No Grade Differentiator")</f>
        <v xml:space="preserve">●	Identifies applications of functional knowledge and existing methodologies to complex problems	
●	Manages large teams of professionals and/or junior managers		
		</v>
      </c>
      <c r="Z106" s="43" t="str">
        <f>IFERROR(O106&amp;" - "&amp;G106,"--")</f>
        <v>Senior Project Manager Project Engineering - 14</v>
      </c>
      <c r="AA106" s="44" t="str">
        <f>_xlfn.XLOOKUP($H106,'[1]SIG Qualifications Input'!$D:$D,'[1]SIG Qualifications Input'!$H:$H)</f>
        <v>University degree or equivalent and 8-10 years of work experience or equivalent, 
Experience in functionally leading (sub-)projects / teams</v>
      </c>
    </row>
    <row r="107" spans="1:27" ht="169" thickBot="1" x14ac:dyDescent="0.2">
      <c r="A107" s="34" t="str">
        <f>_xlfn.XLOOKUP(C107,'[1]SIG Job Families &amp; Descriptions'!F:F,'[1]SIG Job Families &amp; Descriptions'!B:B)</f>
        <v>Engineering</v>
      </c>
      <c r="B107" s="34" t="str">
        <f>_xlfn.XLOOKUP(C107,'[1]SIG Job Families &amp; Descriptions'!F:F,'[1]SIG Job Families &amp; Descriptions'!D:D)</f>
        <v>Project Engineering</v>
      </c>
      <c r="C107" s="34" t="s">
        <v>59</v>
      </c>
      <c r="D107" s="30" t="str">
        <f t="shared" si="2"/>
        <v>APM</v>
      </c>
      <c r="E107" s="31" t="str">
        <f>_xlfn.XLOOKUP(C107,'[1]SIG Job Families &amp; Descriptions'!F:F,'[1]SIG Job Families &amp; Descriptions'!A:A)</f>
        <v>APM030</v>
      </c>
      <c r="F107" s="32" t="s">
        <v>60</v>
      </c>
      <c r="G107" s="33" t="s">
        <v>33</v>
      </c>
      <c r="H107" s="34" t="str">
        <f>F107&amp;"-"&amp;G107</f>
        <v>Projects-13</v>
      </c>
      <c r="I107" s="35" t="str">
        <f>IF(ISERROR(_xlfn.XLOOKUP(H107,'[1]SIG Level Structure'!D:D,'[1]SIG Level Structure'!D:D)),"0","1")</f>
        <v>1</v>
      </c>
      <c r="J107" s="36" t="str">
        <f>_xlfn.XLOOKUP($H107,'[1]SIG Level Structure'!$D:$D,'[1]SIG Level Structure'!F:F)</f>
        <v>P4</v>
      </c>
      <c r="K107" s="37" t="str">
        <f>E107&amp;"-"&amp;J107&amp;"-"&amp;G107</f>
        <v>APM030-P4-13</v>
      </c>
      <c r="L107" s="37" t="str">
        <f>IFERROR(D107&amp;"-"&amp;LEFT(J107,1),"--")</f>
        <v>APM-P</v>
      </c>
      <c r="M107" s="37" t="str">
        <f>VLOOKUP(L107,'[1]Compatible JC'!$A:$A,1,FALSE)</f>
        <v>APM-P</v>
      </c>
      <c r="N107" s="37" t="str">
        <f>IFERROR(_xlfn.XLOOKUP(H107,'[1]SIG Level Structure'!D:D,'[1]SIG Level Structure'!C:C),"--")</f>
        <v>Senior Project Manager</v>
      </c>
      <c r="O107" s="38" t="str">
        <f>IFERROR(TRIM(N107&amp;" "&amp;C107),"--")</f>
        <v>Senior Project Manager Project Engineering</v>
      </c>
      <c r="P107" s="22" t="str">
        <f>_xlfn.XLOOKUP(E107,'[1]SIG Job Families &amp; Descriptions'!A:A,'[1]SIG Job Families &amp; Descriptions'!G:G)</f>
        <v xml:space="preserve">Leads or coordinates project planning, resourcing, staffing, progress reporting, people management and troubleshooting for engineering projects. Ensures project results meet requirements regarding technical quality, reliability, schedule and cost. </v>
      </c>
      <c r="Q107" s="39" t="str">
        <f>_xlfn.XLOOKUP(E107,'[1]2022 GI Position Descriptions'!E:E,'[1]2022 GI Position Descriptions'!G:G)</f>
        <v>Leads or coordinates project planning, resourcing, staffing, progress reporting, people management and troubleshooting for engineering projects | Ensures project results meet requirements regarding technical quality, reliability, schedule and cost</v>
      </c>
      <c r="R107" s="22" t="str">
        <f>IF(LEFT(J107,1)="E","EX",LEFT(J107,1))</f>
        <v>P</v>
      </c>
      <c r="S107" s="22" t="str">
        <f>_xlfn.XLOOKUP($R107,'[1]Career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07" s="22" t="str">
        <f>J107</f>
        <v>P4</v>
      </c>
      <c r="U107" s="40" t="str">
        <f t="shared" si="3"/>
        <v>P4</v>
      </c>
      <c r="V107" s="22" t="str">
        <f>_xlfn.XLOOKUP(T107,'[1]Career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107" s="41" t="str">
        <f>J107&amp;"-"&amp;G107</f>
        <v>P4-13</v>
      </c>
      <c r="X107" s="42" t="str">
        <f>G107</f>
        <v>13</v>
      </c>
      <c r="Y107" s="22" t="str">
        <f>_xlfn.XLOOKUP(W107,'[1]Career Bands &amp; Levels'!A:A,'[1]Career Bands &amp; Levels'!C:C,"No Grade Differentiator")</f>
        <v xml:space="preserve">●	Guides others in resolving complex issues in specialized area based on existing solutions and procedures		
●	Serves as an expert within own discipline		
●	May lead function teams or projects and serves as a best practices/quality resource		
●	Trains/mentors junior staff		</v>
      </c>
      <c r="Z107" s="43" t="str">
        <f>IFERROR(O107&amp;" - "&amp;G107,"--")</f>
        <v>Senior Project Manager Project Engineering - 13</v>
      </c>
      <c r="AA107" s="44" t="str">
        <f>_xlfn.XLOOKUP($H107,'[1]SIG Qualifications Input'!$D:$D,'[1]SIG Qualifications Input'!$H:$H)</f>
        <v>University degree or equivalent and 8-10 years of work experience or equivalent, 
Experience in functionally leading (sub-)projects / teams</v>
      </c>
    </row>
    <row r="108" spans="1:27" ht="169" thickBot="1" x14ac:dyDescent="0.2">
      <c r="A108" s="34" t="str">
        <f>_xlfn.XLOOKUP(C108,'[1]SIG Job Families &amp; Descriptions'!F:F,'[1]SIG Job Families &amp; Descriptions'!B:B)</f>
        <v>Engineering</v>
      </c>
      <c r="B108" s="34" t="str">
        <f>_xlfn.XLOOKUP(C108,'[1]SIG Job Families &amp; Descriptions'!F:F,'[1]SIG Job Families &amp; Descriptions'!D:D)</f>
        <v>Project Engineering</v>
      </c>
      <c r="C108" s="34" t="s">
        <v>59</v>
      </c>
      <c r="D108" s="30" t="str">
        <f t="shared" si="2"/>
        <v>APM</v>
      </c>
      <c r="E108" s="31" t="str">
        <f>_xlfn.XLOOKUP(C108,'[1]SIG Job Families &amp; Descriptions'!F:F,'[1]SIG Job Families &amp; Descriptions'!A:A)</f>
        <v>APM030</v>
      </c>
      <c r="F108" s="32" t="s">
        <v>60</v>
      </c>
      <c r="G108" s="33" t="s">
        <v>34</v>
      </c>
      <c r="H108" s="34" t="str">
        <f>F108&amp;"-"&amp;G108</f>
        <v>Projects-12</v>
      </c>
      <c r="I108" s="35" t="str">
        <f>IF(ISERROR(_xlfn.XLOOKUP(H108,'[1]SIG Level Structure'!D:D,'[1]SIG Level Structure'!D:D)),"0","1")</f>
        <v>1</v>
      </c>
      <c r="J108" s="36" t="str">
        <f>_xlfn.XLOOKUP($H108,'[1]SIG Level Structure'!$D:$D,'[1]SIG Level Structure'!F:F)</f>
        <v>P3</v>
      </c>
      <c r="K108" s="37" t="str">
        <f>E108&amp;"-"&amp;J108&amp;"-"&amp;G108</f>
        <v>APM030-P3-12</v>
      </c>
      <c r="L108" s="37" t="str">
        <f>IFERROR(D108&amp;"-"&amp;LEFT(J108,1),"--")</f>
        <v>APM-P</v>
      </c>
      <c r="M108" s="37" t="str">
        <f>VLOOKUP(L108,'[1]Compatible JC'!$A:$A,1,FALSE)</f>
        <v>APM-P</v>
      </c>
      <c r="N108" s="37" t="str">
        <f>IFERROR(_xlfn.XLOOKUP(H108,'[1]SIG Level Structure'!D:D,'[1]SIG Level Structure'!C:C),"--")</f>
        <v>Project Manager</v>
      </c>
      <c r="O108" s="38" t="str">
        <f>IFERROR(TRIM(N108&amp;" "&amp;C108),"--")</f>
        <v>Project Manager Project Engineering</v>
      </c>
      <c r="P108" s="22" t="str">
        <f>_xlfn.XLOOKUP(E108,'[1]SIG Job Families &amp; Descriptions'!A:A,'[1]SIG Job Families &amp; Descriptions'!G:G)</f>
        <v xml:space="preserve">Leads or coordinates project planning, resourcing, staffing, progress reporting, people management and troubleshooting for engineering projects. Ensures project results meet requirements regarding technical quality, reliability, schedule and cost. </v>
      </c>
      <c r="Q108" s="39" t="str">
        <f>_xlfn.XLOOKUP(E108,'[1]2022 GI Position Descriptions'!E:E,'[1]2022 GI Position Descriptions'!G:G)</f>
        <v>Leads or coordinates project planning, resourcing, staffing, progress reporting, people management and troubleshooting for engineering projects | Ensures project results meet requirements regarding technical quality, reliability, schedule and cost</v>
      </c>
      <c r="R108" s="22" t="str">
        <f>IF(LEFT(J108,1)="E","EX",LEFT(J108,1))</f>
        <v>P</v>
      </c>
      <c r="S108" s="22" t="str">
        <f>_xlfn.XLOOKUP($R108,'[1]Career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08" s="22" t="str">
        <f>J108</f>
        <v>P3</v>
      </c>
      <c r="U108" s="40" t="str">
        <f t="shared" si="3"/>
        <v>P3</v>
      </c>
      <c r="V108" s="22" t="str">
        <f>_xlfn.XLOOKUP(T108,'[1]Career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108" s="41" t="str">
        <f>J108&amp;"-"&amp;G108</f>
        <v>P3-12</v>
      </c>
      <c r="X108" s="42" t="str">
        <f>G108</f>
        <v>12</v>
      </c>
      <c r="Y108" s="22" t="str">
        <f>_xlfn.XLOOKUP(W108,'[1]Career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108" s="43" t="str">
        <f>IFERROR(O108&amp;" - "&amp;G108,"--")</f>
        <v>Project Manager Project Engineering - 12</v>
      </c>
      <c r="AA108" s="44" t="str">
        <f>_xlfn.XLOOKUP($H108,'[1]SIG Qualifications Input'!$D:$D,'[1]SIG Qualifications Input'!$H:$H)</f>
        <v>University degree or equivalent and 4-8 years of work experience or equivalent, 
Initial experience in functionally leading (sub-) projects</v>
      </c>
    </row>
    <row r="109" spans="1:27" ht="169" thickBot="1" x14ac:dyDescent="0.2">
      <c r="A109" s="34" t="str">
        <f>_xlfn.XLOOKUP(C109,'[1]SIG Job Families &amp; Descriptions'!F:F,'[1]SIG Job Families &amp; Descriptions'!B:B)</f>
        <v>Engineering</v>
      </c>
      <c r="B109" s="34" t="str">
        <f>_xlfn.XLOOKUP(C109,'[1]SIG Job Families &amp; Descriptions'!F:F,'[1]SIG Job Families &amp; Descriptions'!D:D)</f>
        <v>Project Engineering</v>
      </c>
      <c r="C109" s="34" t="s">
        <v>59</v>
      </c>
      <c r="D109" s="30" t="str">
        <f t="shared" si="2"/>
        <v>APM</v>
      </c>
      <c r="E109" s="31" t="str">
        <f>_xlfn.XLOOKUP(C109,'[1]SIG Job Families &amp; Descriptions'!F:F,'[1]SIG Job Families &amp; Descriptions'!A:A)</f>
        <v>APM030</v>
      </c>
      <c r="F109" s="32" t="s">
        <v>60</v>
      </c>
      <c r="G109" s="33" t="s">
        <v>35</v>
      </c>
      <c r="H109" s="34" t="str">
        <f>F109&amp;"-"&amp;G109</f>
        <v>Projects-11</v>
      </c>
      <c r="I109" s="35" t="str">
        <f>IF(ISERROR(_xlfn.XLOOKUP(H109,'[1]SIG Level Structure'!D:D,'[1]SIG Level Structure'!D:D)),"0","1")</f>
        <v>1</v>
      </c>
      <c r="J109" s="36" t="str">
        <f>_xlfn.XLOOKUP($H109,'[1]SIG Level Structure'!$D:$D,'[1]SIG Level Structure'!F:F)</f>
        <v>P3</v>
      </c>
      <c r="K109" s="37" t="str">
        <f>E109&amp;"-"&amp;J109&amp;"-"&amp;G109</f>
        <v>APM030-P3-11</v>
      </c>
      <c r="L109" s="37" t="str">
        <f>IFERROR(D109&amp;"-"&amp;LEFT(J109,1),"--")</f>
        <v>APM-P</v>
      </c>
      <c r="M109" s="37" t="str">
        <f>VLOOKUP(L109,'[1]Compatible JC'!$A:$A,1,FALSE)</f>
        <v>APM-P</v>
      </c>
      <c r="N109" s="37" t="str">
        <f>IFERROR(_xlfn.XLOOKUP(H109,'[1]SIG Level Structure'!D:D,'[1]SIG Level Structure'!C:C),"--")</f>
        <v>Project Manager</v>
      </c>
      <c r="O109" s="38" t="str">
        <f>IFERROR(TRIM(N109&amp;" "&amp;C109),"--")</f>
        <v>Project Manager Project Engineering</v>
      </c>
      <c r="P109" s="22" t="str">
        <f>_xlfn.XLOOKUP(E109,'[1]SIG Job Families &amp; Descriptions'!A:A,'[1]SIG Job Families &amp; Descriptions'!G:G)</f>
        <v xml:space="preserve">Leads or coordinates project planning, resourcing, staffing, progress reporting, people management and troubleshooting for engineering projects. Ensures project results meet requirements regarding technical quality, reliability, schedule and cost. </v>
      </c>
      <c r="Q109" s="39" t="str">
        <f>_xlfn.XLOOKUP(E109,'[1]2022 GI Position Descriptions'!E:E,'[1]2022 GI Position Descriptions'!G:G)</f>
        <v>Leads or coordinates project planning, resourcing, staffing, progress reporting, people management and troubleshooting for engineering projects | Ensures project results meet requirements regarding technical quality, reliability, schedule and cost</v>
      </c>
      <c r="R109" s="22" t="str">
        <f>IF(LEFT(J109,1)="E","EX",LEFT(J109,1))</f>
        <v>P</v>
      </c>
      <c r="S109" s="22" t="str">
        <f>_xlfn.XLOOKUP($R109,'[1]Career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09" s="22" t="str">
        <f>J109</f>
        <v>P3</v>
      </c>
      <c r="U109" s="40" t="str">
        <f t="shared" si="3"/>
        <v>P3</v>
      </c>
      <c r="V109" s="22" t="str">
        <f>_xlfn.XLOOKUP(T109,'[1]Career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109" s="41" t="str">
        <f>J109&amp;"-"&amp;G109</f>
        <v>P3-11</v>
      </c>
      <c r="X109" s="42" t="str">
        <f>G109</f>
        <v>11</v>
      </c>
      <c r="Y109" s="22" t="str">
        <f>_xlfn.XLOOKUP(W109,'[1]Career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109" s="43" t="str">
        <f>IFERROR(O109&amp;" - "&amp;G109,"--")</f>
        <v>Project Manager Project Engineering - 11</v>
      </c>
      <c r="AA109" s="44" t="str">
        <f>_xlfn.XLOOKUP($H109,'[1]SIG Qualifications Input'!$D:$D,'[1]SIG Qualifications Input'!$H:$H)</f>
        <v>University degree or equivalent and 4-8 years of work experience or equivalent, 
Initial experience in functionally leading (sub-) projects</v>
      </c>
    </row>
    <row r="110" spans="1:27" ht="169" thickBot="1" x14ac:dyDescent="0.2">
      <c r="A110" s="34" t="str">
        <f>_xlfn.XLOOKUP(C110,'[1]SIG Job Families &amp; Descriptions'!F:F,'[1]SIG Job Families &amp; Descriptions'!B:B)</f>
        <v>Engineering</v>
      </c>
      <c r="B110" s="34" t="str">
        <f>_xlfn.XLOOKUP(C110,'[1]SIG Job Families &amp; Descriptions'!F:F,'[1]SIG Job Families &amp; Descriptions'!D:D)</f>
        <v>Project Engineering</v>
      </c>
      <c r="C110" s="34" t="s">
        <v>59</v>
      </c>
      <c r="D110" s="30" t="str">
        <f t="shared" si="2"/>
        <v>APM</v>
      </c>
      <c r="E110" s="31" t="str">
        <f>_xlfn.XLOOKUP(C110,'[1]SIG Job Families &amp; Descriptions'!F:F,'[1]SIG Job Families &amp; Descriptions'!A:A)</f>
        <v>APM030</v>
      </c>
      <c r="F110" s="32" t="s">
        <v>60</v>
      </c>
      <c r="G110" s="33" t="s">
        <v>36</v>
      </c>
      <c r="H110" s="34" t="str">
        <f>F110&amp;"-"&amp;G110</f>
        <v>Projects-10</v>
      </c>
      <c r="I110" s="35" t="str">
        <f>IF(ISERROR(_xlfn.XLOOKUP(H110,'[1]SIG Level Structure'!D:D,'[1]SIG Level Structure'!D:D)),"0","1")</f>
        <v>1</v>
      </c>
      <c r="J110" s="36" t="str">
        <f>_xlfn.XLOOKUP($H110,'[1]SIG Level Structure'!$D:$D,'[1]SIG Level Structure'!F:F)</f>
        <v>P2</v>
      </c>
      <c r="K110" s="37" t="str">
        <f>E110&amp;"-"&amp;J110&amp;"-"&amp;G110</f>
        <v>APM030-P2-10</v>
      </c>
      <c r="L110" s="37" t="str">
        <f>IFERROR(D110&amp;"-"&amp;LEFT(J110,1),"--")</f>
        <v>APM-P</v>
      </c>
      <c r="M110" s="37" t="str">
        <f>VLOOKUP(L110,'[1]Compatible JC'!$A:$A,1,FALSE)</f>
        <v>APM-P</v>
      </c>
      <c r="N110" s="37" t="str">
        <f>IFERROR(_xlfn.XLOOKUP(H110,'[1]SIG Level Structure'!D:D,'[1]SIG Level Structure'!C:C),"--")</f>
        <v>Senior Project Coordinator</v>
      </c>
      <c r="O110" s="38" t="str">
        <f>IFERROR(TRIM(N110&amp;" "&amp;C110),"--")</f>
        <v>Senior Project Coordinator Project Engineering</v>
      </c>
      <c r="P110" s="22" t="str">
        <f>_xlfn.XLOOKUP(E110,'[1]SIG Job Families &amp; Descriptions'!A:A,'[1]SIG Job Families &amp; Descriptions'!G:G)</f>
        <v xml:space="preserve">Leads or coordinates project planning, resourcing, staffing, progress reporting, people management and troubleshooting for engineering projects. Ensures project results meet requirements regarding technical quality, reliability, schedule and cost. </v>
      </c>
      <c r="Q110" s="39" t="str">
        <f>_xlfn.XLOOKUP(E110,'[1]2022 GI Position Descriptions'!E:E,'[1]2022 GI Position Descriptions'!G:G)</f>
        <v>Leads or coordinates project planning, resourcing, staffing, progress reporting, people management and troubleshooting for engineering projects | Ensures project results meet requirements regarding technical quality, reliability, schedule and cost</v>
      </c>
      <c r="R110" s="22" t="str">
        <f>IF(LEFT(J110,1)="E","EX",LEFT(J110,1))</f>
        <v>P</v>
      </c>
      <c r="S110" s="22" t="str">
        <f>_xlfn.XLOOKUP($R110,'[1]Career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10" s="22" t="str">
        <f>J110</f>
        <v>P2</v>
      </c>
      <c r="U110" s="40" t="str">
        <f t="shared" si="3"/>
        <v>P2</v>
      </c>
      <c r="V110" s="22" t="str">
        <f>_xlfn.XLOOKUP(T110,'[1]Career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110" s="41" t="str">
        <f>J110&amp;"-"&amp;G110</f>
        <v>P2-10</v>
      </c>
      <c r="X110" s="42" t="str">
        <f>G110</f>
        <v>10</v>
      </c>
      <c r="Y110" s="22" t="str">
        <f>_xlfn.XLOOKUP(W110,'[1]Career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110" s="43" t="str">
        <f>IFERROR(O110&amp;" - "&amp;G110,"--")</f>
        <v>Senior Project Coordinator Project Engineering - 10</v>
      </c>
      <c r="AA110" s="44" t="str">
        <f>_xlfn.XLOOKUP($H110,'[1]SIG Qualifications Input'!$D:$D,'[1]SIG Qualifications Input'!$H:$H)</f>
        <v>University degree or equivalent and 2-4 years of work experience or equivalent</v>
      </c>
    </row>
    <row r="111" spans="1:27" ht="169" thickBot="1" x14ac:dyDescent="0.2">
      <c r="A111" s="34" t="str">
        <f>_xlfn.XLOOKUP(C111,'[1]SIG Job Families &amp; Descriptions'!F:F,'[1]SIG Job Families &amp; Descriptions'!B:B)</f>
        <v>Engineering</v>
      </c>
      <c r="B111" s="34" t="str">
        <f>_xlfn.XLOOKUP(C111,'[1]SIG Job Families &amp; Descriptions'!F:F,'[1]SIG Job Families &amp; Descriptions'!D:D)</f>
        <v>Project Engineering</v>
      </c>
      <c r="C111" s="34" t="s">
        <v>59</v>
      </c>
      <c r="D111" s="30" t="str">
        <f t="shared" si="2"/>
        <v>APM</v>
      </c>
      <c r="E111" s="31" t="str">
        <f>_xlfn.XLOOKUP(C111,'[1]SIG Job Families &amp; Descriptions'!F:F,'[1]SIG Job Families &amp; Descriptions'!A:A)</f>
        <v>APM030</v>
      </c>
      <c r="F111" s="32" t="s">
        <v>60</v>
      </c>
      <c r="G111" s="33" t="s">
        <v>37</v>
      </c>
      <c r="H111" s="34" t="str">
        <f>F111&amp;"-"&amp;G111</f>
        <v>Projects-09</v>
      </c>
      <c r="I111" s="35" t="str">
        <f>IF(ISERROR(_xlfn.XLOOKUP(H111,'[1]SIG Level Structure'!D:D,'[1]SIG Level Structure'!D:D)),"0","1")</f>
        <v>1</v>
      </c>
      <c r="J111" s="36" t="str">
        <f>_xlfn.XLOOKUP($H111,'[1]SIG Level Structure'!$D:$D,'[1]SIG Level Structure'!F:F)</f>
        <v>P2</v>
      </c>
      <c r="K111" s="37" t="str">
        <f>E111&amp;"-"&amp;J111&amp;"-"&amp;G111</f>
        <v>APM030-P2-09</v>
      </c>
      <c r="L111" s="37" t="str">
        <f>IFERROR(D111&amp;"-"&amp;LEFT(J111,1),"--")</f>
        <v>APM-P</v>
      </c>
      <c r="M111" s="37" t="str">
        <f>VLOOKUP(L111,'[1]Compatible JC'!$A:$A,1,FALSE)</f>
        <v>APM-P</v>
      </c>
      <c r="N111" s="37" t="str">
        <f>IFERROR(_xlfn.XLOOKUP(H111,'[1]SIG Level Structure'!D:D,'[1]SIG Level Structure'!C:C),"--")</f>
        <v>Senior Project Coordinator</v>
      </c>
      <c r="O111" s="38" t="str">
        <f>IFERROR(TRIM(N111&amp;" "&amp;C111),"--")</f>
        <v>Senior Project Coordinator Project Engineering</v>
      </c>
      <c r="P111" s="22" t="str">
        <f>_xlfn.XLOOKUP(E111,'[1]SIG Job Families &amp; Descriptions'!A:A,'[1]SIG Job Families &amp; Descriptions'!G:G)</f>
        <v xml:space="preserve">Leads or coordinates project planning, resourcing, staffing, progress reporting, people management and troubleshooting for engineering projects. Ensures project results meet requirements regarding technical quality, reliability, schedule and cost. </v>
      </c>
      <c r="Q111" s="39" t="str">
        <f>_xlfn.XLOOKUP(E111,'[1]2022 GI Position Descriptions'!E:E,'[1]2022 GI Position Descriptions'!G:G)</f>
        <v>Leads or coordinates project planning, resourcing, staffing, progress reporting, people management and troubleshooting for engineering projects | Ensures project results meet requirements regarding technical quality, reliability, schedule and cost</v>
      </c>
      <c r="R111" s="22" t="str">
        <f>IF(LEFT(J111,1)="E","EX",LEFT(J111,1))</f>
        <v>P</v>
      </c>
      <c r="S111" s="22" t="str">
        <f>_xlfn.XLOOKUP($R111,'[1]Career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11" s="22" t="str">
        <f>J111</f>
        <v>P2</v>
      </c>
      <c r="U111" s="40" t="str">
        <f t="shared" si="3"/>
        <v>P2</v>
      </c>
      <c r="V111" s="22" t="str">
        <f>_xlfn.XLOOKUP(T111,'[1]Career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111" s="41" t="str">
        <f>J111&amp;"-"&amp;G111</f>
        <v>P2-09</v>
      </c>
      <c r="X111" s="42" t="str">
        <f>G111</f>
        <v>09</v>
      </c>
      <c r="Y111" s="22" t="str">
        <f>_xlfn.XLOOKUP(W111,'[1]Career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111" s="43" t="str">
        <f>IFERROR(O111&amp;" - "&amp;G111,"--")</f>
        <v>Senior Project Coordinator Project Engineering - 09</v>
      </c>
      <c r="AA111" s="44" t="str">
        <f>_xlfn.XLOOKUP($H111,'[1]SIG Qualifications Input'!$D:$D,'[1]SIG Qualifications Input'!$H:$H)</f>
        <v>University degree or equivalent and 2-4 years of work experience or equivalent</v>
      </c>
    </row>
    <row r="112" spans="1:27" ht="169" thickBot="1" x14ac:dyDescent="0.2">
      <c r="A112" s="34" t="str">
        <f>_xlfn.XLOOKUP(C112,'[1]SIG Job Families &amp; Descriptions'!F:F,'[1]SIG Job Families &amp; Descriptions'!B:B)</f>
        <v>Engineering</v>
      </c>
      <c r="B112" s="34" t="str">
        <f>_xlfn.XLOOKUP(C112,'[1]SIG Job Families &amp; Descriptions'!F:F,'[1]SIG Job Families &amp; Descriptions'!D:D)</f>
        <v>Project Engineering</v>
      </c>
      <c r="C112" s="34" t="s">
        <v>59</v>
      </c>
      <c r="D112" s="30" t="str">
        <f t="shared" si="2"/>
        <v>APM</v>
      </c>
      <c r="E112" s="31" t="str">
        <f>_xlfn.XLOOKUP(C112,'[1]SIG Job Families &amp; Descriptions'!F:F,'[1]SIG Job Families &amp; Descriptions'!A:A)</f>
        <v>APM030</v>
      </c>
      <c r="F112" s="32" t="s">
        <v>60</v>
      </c>
      <c r="G112" s="33" t="s">
        <v>43</v>
      </c>
      <c r="H112" s="34" t="str">
        <f>F112&amp;"-"&amp;G112</f>
        <v>Projects-08</v>
      </c>
      <c r="I112" s="35" t="str">
        <f>IF(ISERROR(_xlfn.XLOOKUP(H112,'[1]SIG Level Structure'!D:D,'[1]SIG Level Structure'!D:D)),"0","1")</f>
        <v>1</v>
      </c>
      <c r="J112" s="36" t="str">
        <f>_xlfn.XLOOKUP($H112,'[1]SIG Level Structure'!$D:$D,'[1]SIG Level Structure'!F:F)</f>
        <v>P1</v>
      </c>
      <c r="K112" s="37" t="str">
        <f>E112&amp;"-"&amp;J112&amp;"-"&amp;G112</f>
        <v>APM030-P1-08</v>
      </c>
      <c r="L112" s="37" t="str">
        <f>IFERROR(D112&amp;"-"&amp;LEFT(J112,1),"--")</f>
        <v>APM-P</v>
      </c>
      <c r="M112" s="37" t="str">
        <f>VLOOKUP(L112,'[1]Compatible JC'!$A:$A,1,FALSE)</f>
        <v>APM-P</v>
      </c>
      <c r="N112" s="37" t="str">
        <f>IFERROR(_xlfn.XLOOKUP(H112,'[1]SIG Level Structure'!D:D,'[1]SIG Level Structure'!C:C),"--")</f>
        <v>Project Coordinator</v>
      </c>
      <c r="O112" s="38" t="str">
        <f>IFERROR(TRIM(N112&amp;" "&amp;C112),"--")</f>
        <v>Project Coordinator Project Engineering</v>
      </c>
      <c r="P112" s="22" t="str">
        <f>_xlfn.XLOOKUP(E112,'[1]SIG Job Families &amp; Descriptions'!A:A,'[1]SIG Job Families &amp; Descriptions'!G:G)</f>
        <v xml:space="preserve">Leads or coordinates project planning, resourcing, staffing, progress reporting, people management and troubleshooting for engineering projects. Ensures project results meet requirements regarding technical quality, reliability, schedule and cost. </v>
      </c>
      <c r="Q112" s="39" t="str">
        <f>_xlfn.XLOOKUP(E112,'[1]2022 GI Position Descriptions'!E:E,'[1]2022 GI Position Descriptions'!G:G)</f>
        <v>Leads or coordinates project planning, resourcing, staffing, progress reporting, people management and troubleshooting for engineering projects | Ensures project results meet requirements regarding technical quality, reliability, schedule and cost</v>
      </c>
      <c r="R112" s="22" t="str">
        <f>IF(LEFT(J112,1)="E","EX",LEFT(J112,1))</f>
        <v>P</v>
      </c>
      <c r="S112" s="22" t="str">
        <f>_xlfn.XLOOKUP($R112,'[1]Career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12" s="22" t="str">
        <f>J112</f>
        <v>P1</v>
      </c>
      <c r="U112" s="40" t="str">
        <f t="shared" si="3"/>
        <v>P1</v>
      </c>
      <c r="V112" s="22" t="str">
        <f>_xlfn.XLOOKUP(T112,'[1]Career Bands &amp; Levels'!A:A,'[1]Career Bands &amp; Levels'!C:C)</f>
        <v xml:space="preserve">●	Performs routine assignments in the entry level of the Professional Career Band		
●	Typically requires a college or university degree or the equivalent work experience and has conceptual knowledge of fundamental theories, principles and practices 		
●	Has no discretion to vary from established procedures by performing structured work assignments		
●	Uses existing procedures to solve routine or standard problems		
●	Receives instruction, guidance and direction from more senior level roles		</v>
      </c>
      <c r="W112" s="41" t="str">
        <f>J112&amp;"-"&amp;G112</f>
        <v>P1-08</v>
      </c>
      <c r="X112" s="42" t="str">
        <f>G112</f>
        <v>08</v>
      </c>
      <c r="Y112" s="22" t="str">
        <f>_xlfn.XLOOKUP(W112,'[1]Career Bands &amp; Levels'!A:A,'[1]Career Bands &amp; Levels'!C:C,"No Grade Differentiator")</f>
        <v>No Grade Differentiator</v>
      </c>
      <c r="Z112" s="43" t="str">
        <f>IFERROR(O112&amp;" - "&amp;G112,"--")</f>
        <v>Project Coordinator Project Engineering - 08</v>
      </c>
      <c r="AA112" s="44" t="str">
        <f>_xlfn.XLOOKUP($H112,'[1]SIG Qualifications Input'!$D:$D,'[1]SIG Qualifications Input'!$H:$H)</f>
        <v>University degree or equivalent and 0-1 year of work experience or equivalent</v>
      </c>
    </row>
    <row r="113" spans="1:27" ht="183" thickBot="1" x14ac:dyDescent="0.2">
      <c r="A113" s="34" t="str">
        <f>_xlfn.XLOOKUP(C113,'[1]SIG Job Families &amp; Descriptions'!F:F,'[1]SIG Job Families &amp; Descriptions'!B:B)</f>
        <v>Facility &amp; Administrative Services</v>
      </c>
      <c r="B113" s="34" t="str">
        <f>_xlfn.XLOOKUP(C113,'[1]SIG Job Families &amp; Descriptions'!F:F,'[1]SIG Job Families &amp; Descriptions'!D:D)</f>
        <v>Real Estate and Facility Management</v>
      </c>
      <c r="C113" s="34" t="s">
        <v>61</v>
      </c>
      <c r="D113" s="30" t="str">
        <f t="shared" si="2"/>
        <v>ARE</v>
      </c>
      <c r="E113" s="31" t="str">
        <f>_xlfn.XLOOKUP(C113,'[1]SIG Job Families &amp; Descriptions'!F:F,'[1]SIG Job Families &amp; Descriptions'!A:A)</f>
        <v>ARE000</v>
      </c>
      <c r="F113" s="32" t="s">
        <v>29</v>
      </c>
      <c r="G113" s="33" t="s">
        <v>33</v>
      </c>
      <c r="H113" s="34" t="str">
        <f>F113&amp;"-"&amp;G113</f>
        <v>Management-13</v>
      </c>
      <c r="I113" s="35" t="str">
        <f>IF(ISERROR(_xlfn.XLOOKUP(H113,'[1]SIG Level Structure'!D:D,'[1]SIG Level Structure'!D:D)),"0","1")</f>
        <v>1</v>
      </c>
      <c r="J113" s="36" t="str">
        <f>_xlfn.XLOOKUP($H113,'[1]SIG Level Structure'!$D:$D,'[1]SIG Level Structure'!F:F)</f>
        <v>M2</v>
      </c>
      <c r="K113" s="37" t="str">
        <f>E113&amp;"-"&amp;J113&amp;"-"&amp;G113</f>
        <v>ARE000-M2-13</v>
      </c>
      <c r="L113" s="37" t="str">
        <f>IFERROR(D113&amp;"-"&amp;LEFT(J113,1),"--")</f>
        <v>ARE-M</v>
      </c>
      <c r="M113" s="37" t="str">
        <f>VLOOKUP(L113,'[1]Compatible JC'!$A:$A,1,FALSE)</f>
        <v>ARE-M</v>
      </c>
      <c r="N113" s="37" t="str">
        <f>IFERROR(_xlfn.XLOOKUP(H113,'[1]SIG Level Structure'!D:D,'[1]SIG Level Structure'!C:C),"--")</f>
        <v>Manager</v>
      </c>
      <c r="O113" s="38" t="str">
        <f>IFERROR(TRIM(N113&amp;" "&amp;C113),"--")</f>
        <v>Manager Real Estate &amp; Facility Management</v>
      </c>
      <c r="P113" s="22" t="str">
        <f>_xlfn.XLOOKUP(E113,'[1]SIG Job Families &amp; Descriptions'!A:A,'[1]SIG Job Families &amp; Descriptions'!G:G)</f>
        <v xml:space="preserve">Plans, controls and directs real estate activities; identifies, acquires or leases land and buildings for the organization's operations. May negotiate right-of-way easements. Ensures the optimal utilization of the organization's facilities. Disposes of facilities that are no longer required by the organization. </v>
      </c>
      <c r="Q113" s="39" t="str">
        <f>_xlfn.XLOOKUP(E113,'[1]2022 GI Position Descriptions'!E:E,'[1]2022 GI Position Descriptions'!G:G)</f>
        <v>Plans, controls and directs real estate activities; identifies, acquires or leases land and buildings for the organization's operations | May negotiate right-of-way easements | Ensures the optimal utilization of the organization's facilities | Disposes of facilities that are no longer required by the organization | Responsibilities are within the Real Estate and Facilities Function as a generalist or in a combination of Disciplines</v>
      </c>
      <c r="R113" s="22" t="str">
        <f>IF(LEFT(J113,1)="E","EX",LEFT(J113,1))</f>
        <v>M</v>
      </c>
      <c r="S113" s="22" t="str">
        <f>_xlfn.XLOOKUP($R113,'[1]Career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113" s="22" t="str">
        <f>J113</f>
        <v>M2</v>
      </c>
      <c r="U113" s="40" t="str">
        <f t="shared" si="3"/>
        <v>M2</v>
      </c>
      <c r="V113" s="22" t="str">
        <f>_xlfn.XLOOKUP(T113,'[1]Career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113" s="41" t="str">
        <f>J113&amp;"-"&amp;G113</f>
        <v>M2-13</v>
      </c>
      <c r="X113" s="42" t="str">
        <f>G113</f>
        <v>13</v>
      </c>
      <c r="Y113" s="22" t="str">
        <f>_xlfn.XLOOKUP(W113,'[1]Career Bands &amp; Levels'!A:A,'[1]Career Bands &amp; Levels'!C:C,"No Grade Differentiator")</f>
        <v>●	Accountable for the budget, performance and results of a medium-sized team or multiple small teams of employees		
●	Exercises full management authority, including performance reviews, pay decisions, recruitment, discipline, termination and other personnel actions		
●	Addresses issues with impact beyond own team based on knowledge of related disciplines</v>
      </c>
      <c r="Z113" s="43" t="str">
        <f>IFERROR(O113&amp;" - "&amp;G113,"--")</f>
        <v>Manager Real Estate &amp; Facility Management - 13</v>
      </c>
      <c r="AA113" s="44" t="str">
        <f>_xlfn.XLOOKUP($H113,'[1]SIG Qualifications Input'!$D:$D,'[1]SIG Qualifications Input'!$H:$H)</f>
        <v>University degree or equivalent and 7-10 years of work experience or equivalent
Experience in managing mixed-level team(s) of professionals and subordinate managers</v>
      </c>
    </row>
    <row r="114" spans="1:27" ht="183" thickBot="1" x14ac:dyDescent="0.2">
      <c r="A114" s="34" t="str">
        <f>_xlfn.XLOOKUP(C114,'[1]SIG Job Families &amp; Descriptions'!F:F,'[1]SIG Job Families &amp; Descriptions'!B:B)</f>
        <v>Facility &amp; Administrative Services</v>
      </c>
      <c r="B114" s="34" t="str">
        <f>_xlfn.XLOOKUP(C114,'[1]SIG Job Families &amp; Descriptions'!F:F,'[1]SIG Job Families &amp; Descriptions'!D:D)</f>
        <v>Real Estate and Facility Management</v>
      </c>
      <c r="C114" s="34" t="s">
        <v>61</v>
      </c>
      <c r="D114" s="30" t="str">
        <f t="shared" si="2"/>
        <v>ARE</v>
      </c>
      <c r="E114" s="31" t="str">
        <f>_xlfn.XLOOKUP(C114,'[1]SIG Job Families &amp; Descriptions'!F:F,'[1]SIG Job Families &amp; Descriptions'!A:A)</f>
        <v>ARE000</v>
      </c>
      <c r="F114" s="32" t="s">
        <v>29</v>
      </c>
      <c r="G114" s="33" t="s">
        <v>34</v>
      </c>
      <c r="H114" s="34" t="str">
        <f>F114&amp;"-"&amp;G114</f>
        <v>Management-12</v>
      </c>
      <c r="I114" s="35" t="str">
        <f>IF(ISERROR(_xlfn.XLOOKUP(H114,'[1]SIG Level Structure'!D:D,'[1]SIG Level Structure'!D:D)),"0","1")</f>
        <v>1</v>
      </c>
      <c r="J114" s="36" t="str">
        <f>_xlfn.XLOOKUP($H114,'[1]SIG Level Structure'!$D:$D,'[1]SIG Level Structure'!F:F)</f>
        <v>M2</v>
      </c>
      <c r="K114" s="37" t="str">
        <f>E114&amp;"-"&amp;J114&amp;"-"&amp;G114</f>
        <v>ARE000-M2-12</v>
      </c>
      <c r="L114" s="37" t="str">
        <f>IFERROR(D114&amp;"-"&amp;LEFT(J114,1),"--")</f>
        <v>ARE-M</v>
      </c>
      <c r="M114" s="37" t="str">
        <f>VLOOKUP(L114,'[1]Compatible JC'!$A:$A,1,FALSE)</f>
        <v>ARE-M</v>
      </c>
      <c r="N114" s="37" t="str">
        <f>IFERROR(_xlfn.XLOOKUP(H114,'[1]SIG Level Structure'!D:D,'[1]SIG Level Structure'!C:C),"--")</f>
        <v>Manager</v>
      </c>
      <c r="O114" s="38" t="str">
        <f>IFERROR(TRIM(N114&amp;" "&amp;C114),"--")</f>
        <v>Manager Real Estate &amp; Facility Management</v>
      </c>
      <c r="P114" s="22" t="str">
        <f>_xlfn.XLOOKUP(E114,'[1]SIG Job Families &amp; Descriptions'!A:A,'[1]SIG Job Families &amp; Descriptions'!G:G)</f>
        <v xml:space="preserve">Plans, controls and directs real estate activities; identifies, acquires or leases land and buildings for the organization's operations. May negotiate right-of-way easements. Ensures the optimal utilization of the organization's facilities. Disposes of facilities that are no longer required by the organization. </v>
      </c>
      <c r="Q114" s="39" t="str">
        <f>_xlfn.XLOOKUP(E114,'[1]2022 GI Position Descriptions'!E:E,'[1]2022 GI Position Descriptions'!G:G)</f>
        <v>Plans, controls and directs real estate activities; identifies, acquires or leases land and buildings for the organization's operations | May negotiate right-of-way easements | Ensures the optimal utilization of the organization's facilities | Disposes of facilities that are no longer required by the organization | Responsibilities are within the Real Estate and Facilities Function as a generalist or in a combination of Disciplines</v>
      </c>
      <c r="R114" s="22" t="str">
        <f>IF(LEFT(J114,1)="E","EX",LEFT(J114,1))</f>
        <v>M</v>
      </c>
      <c r="S114" s="22" t="str">
        <f>_xlfn.XLOOKUP($R114,'[1]Career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114" s="22" t="str">
        <f>J114</f>
        <v>M2</v>
      </c>
      <c r="U114" s="40" t="str">
        <f t="shared" si="3"/>
        <v>M2</v>
      </c>
      <c r="V114" s="22" t="str">
        <f>_xlfn.XLOOKUP(T114,'[1]Career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114" s="41" t="str">
        <f>J114&amp;"-"&amp;G114</f>
        <v>M2-12</v>
      </c>
      <c r="X114" s="42" t="str">
        <f>G114</f>
        <v>12</v>
      </c>
      <c r="Y114" s="22" t="str">
        <f>_xlfn.XLOOKUP(W114,'[1]Career Bands &amp; Levels'!A:A,'[1]Career Bands &amp; Levels'!C:C,"No Grade Differentiator")</f>
        <v xml:space="preserve">●	Accountable for results of a small team of employees		
●	Exercises limited management authority; sets employee performance objectives, conducts performance reviews and recommends pay actions		
●	Defines team operating standards and ensures essential procedures are followed based on knowledge of own discipline		</v>
      </c>
      <c r="Z114" s="43" t="str">
        <f>IFERROR(O114&amp;" - "&amp;G114,"--")</f>
        <v>Manager Real Estate &amp; Facility Management - 12</v>
      </c>
      <c r="AA114" s="44" t="str">
        <f>_xlfn.XLOOKUP($H114,'[1]SIG Qualifications Input'!$D:$D,'[1]SIG Qualifications Input'!$H:$H)</f>
        <v>University degree or equivalent and 7-10 years of work experience or equivalent
Experience in managing mixed-level team(s) of professionals and subordinate managers</v>
      </c>
    </row>
    <row r="115" spans="1:27" ht="183" thickBot="1" x14ac:dyDescent="0.2">
      <c r="A115" s="34" t="str">
        <f>_xlfn.XLOOKUP(C115,'[1]SIG Job Families &amp; Descriptions'!F:F,'[1]SIG Job Families &amp; Descriptions'!B:B)</f>
        <v>Facility &amp; Administrative Services</v>
      </c>
      <c r="B115" s="34" t="str">
        <f>_xlfn.XLOOKUP(C115,'[1]SIG Job Families &amp; Descriptions'!F:F,'[1]SIG Job Families &amp; Descriptions'!D:D)</f>
        <v>Real Estate and Facility Management</v>
      </c>
      <c r="C115" s="34" t="s">
        <v>61</v>
      </c>
      <c r="D115" s="30" t="str">
        <f t="shared" si="2"/>
        <v>ARE</v>
      </c>
      <c r="E115" s="31" t="str">
        <f>_xlfn.XLOOKUP(C115,'[1]SIG Job Families &amp; Descriptions'!F:F,'[1]SIG Job Families &amp; Descriptions'!A:A)</f>
        <v>ARE000</v>
      </c>
      <c r="F115" s="32" t="s">
        <v>29</v>
      </c>
      <c r="G115" s="33" t="s">
        <v>35</v>
      </c>
      <c r="H115" s="34" t="str">
        <f>F115&amp;"-"&amp;G115</f>
        <v>Management-11</v>
      </c>
      <c r="I115" s="35" t="str">
        <f>IF(ISERROR(_xlfn.XLOOKUP(H115,'[1]SIG Level Structure'!D:D,'[1]SIG Level Structure'!D:D)),"0","1")</f>
        <v>1</v>
      </c>
      <c r="J115" s="36" t="str">
        <f>_xlfn.XLOOKUP($H115,'[1]SIG Level Structure'!$D:$D,'[1]SIG Level Structure'!F:F)</f>
        <v>M1</v>
      </c>
      <c r="K115" s="37" t="str">
        <f>E115&amp;"-"&amp;J115&amp;"-"&amp;G115</f>
        <v>ARE000-M1-11</v>
      </c>
      <c r="L115" s="37" t="str">
        <f>IFERROR(D115&amp;"-"&amp;LEFT(J115,1),"--")</f>
        <v>ARE-M</v>
      </c>
      <c r="M115" s="37" t="str">
        <f>VLOOKUP(L115,'[1]Compatible JC'!$A:$A,1,FALSE)</f>
        <v>ARE-M</v>
      </c>
      <c r="N115" s="37" t="str">
        <f>IFERROR(_xlfn.XLOOKUP(H115,'[1]SIG Level Structure'!D:D,'[1]SIG Level Structure'!C:C),"--")</f>
        <v>Supervisor</v>
      </c>
      <c r="O115" s="38" t="str">
        <f>IFERROR(TRIM(N115&amp;" "&amp;C115),"--")</f>
        <v>Supervisor Real Estate &amp; Facility Management</v>
      </c>
      <c r="P115" s="22" t="str">
        <f>_xlfn.XLOOKUP(E115,'[1]SIG Job Families &amp; Descriptions'!A:A,'[1]SIG Job Families &amp; Descriptions'!G:G)</f>
        <v xml:space="preserve">Plans, controls and directs real estate activities; identifies, acquires or leases land and buildings for the organization's operations. May negotiate right-of-way easements. Ensures the optimal utilization of the organization's facilities. Disposes of facilities that are no longer required by the organization. </v>
      </c>
      <c r="Q115" s="39" t="str">
        <f>_xlfn.XLOOKUP(E115,'[1]2022 GI Position Descriptions'!E:E,'[1]2022 GI Position Descriptions'!G:G)</f>
        <v>Plans, controls and directs real estate activities; identifies, acquires or leases land and buildings for the organization's operations | May negotiate right-of-way easements | Ensures the optimal utilization of the organization's facilities | Disposes of facilities that are no longer required by the organization | Responsibilities are within the Real Estate and Facilities Function as a generalist or in a combination of Disciplines</v>
      </c>
      <c r="R115" s="22" t="str">
        <f>IF(LEFT(J115,1)="E","EX",LEFT(J115,1))</f>
        <v>M</v>
      </c>
      <c r="S115" s="22" t="str">
        <f>_xlfn.XLOOKUP($R115,'[1]Career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115" s="22" t="str">
        <f>J115</f>
        <v>M1</v>
      </c>
      <c r="U115" s="40" t="str">
        <f t="shared" si="3"/>
        <v>M1</v>
      </c>
      <c r="V115" s="22" t="str">
        <f>_xlfn.XLOOKUP(T115,'[1]Career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115" s="41" t="str">
        <f>J115&amp;"-"&amp;G115</f>
        <v>M1-11</v>
      </c>
      <c r="X115" s="42" t="str">
        <f>G115</f>
        <v>11</v>
      </c>
      <c r="Y115" s="22" t="str">
        <f>_xlfn.XLOOKUP(W115,'[1]Career Bands &amp; Levels'!A:A,'[1]Career Bands &amp; Levels'!C:C,"No Grade Differentiator")</f>
        <v xml:space="preserve">●	Accountable for the results of a large and/or moderately complex support or production operations team including subordinate work leaders		
●	Applies acquired expertise to analyze and solve problems without clear precedent		
●	Provides input on resource planning and policy development		
●	Coaches team members on performance, completes employee performance evaluations and recommends pay actions		</v>
      </c>
      <c r="Z115" s="43" t="str">
        <f>IFERROR(O115&amp;" - "&amp;G115,"--")</f>
        <v>Supervisor Real Estate &amp; Facility Management - 11</v>
      </c>
      <c r="AA115" s="44" t="str">
        <f>_xlfn.XLOOKUP($H115,'[1]SIG Qualifications Input'!$D:$D,'[1]SIG Qualifications Input'!$H:$H)</f>
        <v>University degree or equivalent and 5-7 years of work experience or equivalent
Experienced in application of management techniques
Experience in operationally managing a mixed-level team</v>
      </c>
    </row>
    <row r="116" spans="1:27" ht="183" thickBot="1" x14ac:dyDescent="0.2">
      <c r="A116" s="34" t="str">
        <f>_xlfn.XLOOKUP(C116,'[1]SIG Job Families &amp; Descriptions'!F:F,'[1]SIG Job Families &amp; Descriptions'!B:B)</f>
        <v>Facility &amp; Administrative Services</v>
      </c>
      <c r="B116" s="34" t="str">
        <f>_xlfn.XLOOKUP(C116,'[1]SIG Job Families &amp; Descriptions'!F:F,'[1]SIG Job Families &amp; Descriptions'!D:D)</f>
        <v>Real Estate and Facility Management</v>
      </c>
      <c r="C116" s="34" t="s">
        <v>61</v>
      </c>
      <c r="D116" s="30" t="str">
        <f t="shared" si="2"/>
        <v>ARE</v>
      </c>
      <c r="E116" s="31" t="str">
        <f>_xlfn.XLOOKUP(C116,'[1]SIG Job Families &amp; Descriptions'!F:F,'[1]SIG Job Families &amp; Descriptions'!A:A)</f>
        <v>ARE000</v>
      </c>
      <c r="F116" s="32" t="s">
        <v>29</v>
      </c>
      <c r="G116" s="33" t="s">
        <v>36</v>
      </c>
      <c r="H116" s="34" t="str">
        <f>F116&amp;"-"&amp;G116</f>
        <v>Management-10</v>
      </c>
      <c r="I116" s="35" t="str">
        <f>IF(ISERROR(_xlfn.XLOOKUP(H116,'[1]SIG Level Structure'!D:D,'[1]SIG Level Structure'!D:D)),"0","1")</f>
        <v>1</v>
      </c>
      <c r="J116" s="36" t="str">
        <f>_xlfn.XLOOKUP($H116,'[1]SIG Level Structure'!$D:$D,'[1]SIG Level Structure'!F:F)</f>
        <v>M1</v>
      </c>
      <c r="K116" s="37" t="str">
        <f>E116&amp;"-"&amp;J116&amp;"-"&amp;G116</f>
        <v>ARE000-M1-10</v>
      </c>
      <c r="L116" s="37" t="str">
        <f>IFERROR(D116&amp;"-"&amp;LEFT(J116,1),"--")</f>
        <v>ARE-M</v>
      </c>
      <c r="M116" s="37" t="str">
        <f>VLOOKUP(L116,'[1]Compatible JC'!$A:$A,1,FALSE)</f>
        <v>ARE-M</v>
      </c>
      <c r="N116" s="37" t="str">
        <f>IFERROR(_xlfn.XLOOKUP(H116,'[1]SIG Level Structure'!D:D,'[1]SIG Level Structure'!C:C),"--")</f>
        <v>Supervisor</v>
      </c>
      <c r="O116" s="38" t="str">
        <f>IFERROR(TRIM(N116&amp;" "&amp;C116),"--")</f>
        <v>Supervisor Real Estate &amp; Facility Management</v>
      </c>
      <c r="P116" s="22" t="str">
        <f>_xlfn.XLOOKUP(E116,'[1]SIG Job Families &amp; Descriptions'!A:A,'[1]SIG Job Families &amp; Descriptions'!G:G)</f>
        <v xml:space="preserve">Plans, controls and directs real estate activities; identifies, acquires or leases land and buildings for the organization's operations. May negotiate right-of-way easements. Ensures the optimal utilization of the organization's facilities. Disposes of facilities that are no longer required by the organization. </v>
      </c>
      <c r="Q116" s="39" t="str">
        <f>_xlfn.XLOOKUP(E116,'[1]2022 GI Position Descriptions'!E:E,'[1]2022 GI Position Descriptions'!G:G)</f>
        <v>Plans, controls and directs real estate activities; identifies, acquires or leases land and buildings for the organization's operations | May negotiate right-of-way easements | Ensures the optimal utilization of the organization's facilities | Disposes of facilities that are no longer required by the organization | Responsibilities are within the Real Estate and Facilities Function as a generalist or in a combination of Disciplines</v>
      </c>
      <c r="R116" s="22" t="str">
        <f>IF(LEFT(J116,1)="E","EX",LEFT(J116,1))</f>
        <v>M</v>
      </c>
      <c r="S116" s="22" t="str">
        <f>_xlfn.XLOOKUP($R116,'[1]Career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116" s="22" t="str">
        <f>J116</f>
        <v>M1</v>
      </c>
      <c r="U116" s="40" t="str">
        <f t="shared" si="3"/>
        <v>M1</v>
      </c>
      <c r="V116" s="22" t="str">
        <f>_xlfn.XLOOKUP(T116,'[1]Career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116" s="41" t="str">
        <f>J116&amp;"-"&amp;G116</f>
        <v>M1-10</v>
      </c>
      <c r="X116" s="42" t="str">
        <f>G116</f>
        <v>10</v>
      </c>
      <c r="Y116" s="22" t="str">
        <f>_xlfn.XLOOKUP(W116,'[1]Career Bands &amp; Levels'!A:A,'[1]Career Bands &amp; Levels'!C:C,"No Grade Differentiator")</f>
        <v xml:space="preserve">●	Accountable for the results of medium-sized routine support or production operations teams		
●	Solves problems based on practice and precedent		
●	Trains team members and provides input to employee performance evaluations		</v>
      </c>
      <c r="Z116" s="43" t="str">
        <f>IFERROR(O116&amp;" - "&amp;G116,"--")</f>
        <v>Supervisor Real Estate &amp; Facility Management - 10</v>
      </c>
      <c r="AA116" s="44" t="str">
        <f>_xlfn.XLOOKUP($H116,'[1]SIG Qualifications Input'!$D:$D,'[1]SIG Qualifications Input'!$H:$H)</f>
        <v>University degree or equivalent and 5-7 years of work experience or equivalent
Experienced in application of management techniques
Experience in operationally managing a mixed-level team</v>
      </c>
    </row>
    <row r="117" spans="1:27" ht="127" thickBot="1" x14ac:dyDescent="0.2">
      <c r="A117" s="34" t="str">
        <f>_xlfn.XLOOKUP(C117,'[1]SIG Job Families &amp; Descriptions'!F:F,'[1]SIG Job Families &amp; Descriptions'!B:B)</f>
        <v>Facility &amp; Administrative Services</v>
      </c>
      <c r="B117" s="34" t="str">
        <f>_xlfn.XLOOKUP(C117,'[1]SIG Job Families &amp; Descriptions'!F:F,'[1]SIG Job Families &amp; Descriptions'!D:D)</f>
        <v>Real Estate and Facility Management</v>
      </c>
      <c r="C117" s="34" t="s">
        <v>61</v>
      </c>
      <c r="D117" s="30" t="str">
        <f t="shared" si="2"/>
        <v>ARE</v>
      </c>
      <c r="E117" s="31" t="str">
        <f>_xlfn.XLOOKUP(C117,'[1]SIG Job Families &amp; Descriptions'!F:F,'[1]SIG Job Families &amp; Descriptions'!A:A)</f>
        <v>ARE000</v>
      </c>
      <c r="F117" s="32" t="s">
        <v>50</v>
      </c>
      <c r="G117" s="33" t="s">
        <v>37</v>
      </c>
      <c r="H117" s="34" t="str">
        <f>F117&amp;"-"&amp;G117</f>
        <v>Operations-09</v>
      </c>
      <c r="I117" s="35" t="str">
        <f>IF(ISERROR(_xlfn.XLOOKUP(H117,'[1]SIG Level Structure'!D:D,'[1]SIG Level Structure'!D:D)),"0","1")</f>
        <v>1</v>
      </c>
      <c r="J117" s="36" t="str">
        <f>_xlfn.XLOOKUP($H117,'[1]SIG Level Structure'!$D:$D,'[1]SIG Level Structure'!F:F)</f>
        <v>T4</v>
      </c>
      <c r="K117" s="37" t="str">
        <f>E117&amp;"-"&amp;J117&amp;"-"&amp;G117</f>
        <v>ARE000-T4-09</v>
      </c>
      <c r="L117" s="37" t="str">
        <f>IFERROR(D117&amp;"-"&amp;LEFT(J117,1),"--")</f>
        <v>ARE-T</v>
      </c>
      <c r="M117" s="37" t="e">
        <f>VLOOKUP(L117,'[1]Compatible JC'!$A:$A,1,FALSE)</f>
        <v>#N/A</v>
      </c>
      <c r="N117" s="37" t="str">
        <f>IFERROR(_xlfn.XLOOKUP(H117,'[1]SIG Level Structure'!D:D,'[1]SIG Level Structure'!C:C),"--")</f>
        <v>Technician</v>
      </c>
      <c r="O117" s="38" t="str">
        <f>IFERROR(TRIM(N117&amp;" "&amp;C117),"--")</f>
        <v>Technician Real Estate &amp; Facility Management</v>
      </c>
      <c r="P117" s="22" t="str">
        <f>_xlfn.XLOOKUP(E117,'[1]SIG Job Families &amp; Descriptions'!A:A,'[1]SIG Job Families &amp; Descriptions'!G:G)</f>
        <v xml:space="preserve">Plans, controls and directs real estate activities; identifies, acquires or leases land and buildings for the organization's operations. May negotiate right-of-way easements. Ensures the optimal utilization of the organization's facilities. Disposes of facilities that are no longer required by the organization. </v>
      </c>
      <c r="Q117" s="39" t="str">
        <f>_xlfn.XLOOKUP(E117,'[1]2022 GI Position Descriptions'!E:E,'[1]2022 GI Position Descriptions'!G:G)</f>
        <v>Plans, controls and directs real estate activities; identifies, acquires or leases land and buildings for the organization's operations | May negotiate right-of-way easements | Ensures the optimal utilization of the organization's facilities | Disposes of facilities that are no longer required by the organization | Responsibilities are within the Real Estate and Facilities Function as a generalist or in a combination of Disciplines</v>
      </c>
      <c r="R117" s="22" t="str">
        <f>IF(LEFT(J117,1)="E","EX",LEFT(J117,1))</f>
        <v>T</v>
      </c>
      <c r="S117" s="22" t="str">
        <f>_xlfn.XLOOKUP($R117,'[1]Career Bands &amp; Levels'!A:A,'[1]Career Bands &amp; Levels'!C:C)</f>
        <v>● Performs specialized technical tasks required to support operations (e.g., IT development, research support, skilled trade)
● Requires vocational training or the equivalent experience and may require external certification but typically does not require a university degree</v>
      </c>
      <c r="T117" s="22" t="str">
        <f>J117</f>
        <v>T4</v>
      </c>
      <c r="U117" s="40" t="str">
        <f t="shared" si="3"/>
        <v>T4</v>
      </c>
      <c r="V117" s="22" t="str">
        <f>_xlfn.XLOOKUP(T117,'[1]Career Bands &amp; Levels'!A:A,'[1]Career Bands &amp; Levels'!C:C)</f>
        <v xml:space="preserve">●	Has advanced and specialized expertise, typically developed through a combination of job-related training and considerable work experience		
●	Proposes improvements to processes		
●	May act as a lead, coordinating and facilitating the work of others but is not a supervisor		
●	Works autonomously within established procedures and practices		
●	Spends a majority of working time performing the same work processes and activities as employees on team		</v>
      </c>
      <c r="W117" s="41" t="str">
        <f>J117&amp;"-"&amp;G117</f>
        <v>T4-09</v>
      </c>
      <c r="X117" s="42" t="str">
        <f>G117</f>
        <v>09</v>
      </c>
      <c r="Y117" s="22" t="str">
        <f>_xlfn.XLOOKUP(W117,'[1]Career Bands &amp; Levels'!A:A,'[1]Career Bands &amp; Levels'!C:C,"No Grade Differentiator")</f>
        <v xml:space="preserve">●	Performs a variety of complex tasks and/or may lead a team in the performance of a variety of tasks that are often routine		
●	Solves complex problems of a recurring nature		</v>
      </c>
      <c r="Z117" s="43" t="str">
        <f>IFERROR(O117&amp;" - "&amp;G117,"--")</f>
        <v>Technician Real Estate &amp; Facility Management - 09</v>
      </c>
      <c r="AA117" s="44" t="str">
        <f>_xlfn.XLOOKUP($H117,'[1]SIG Qualifications Input'!$D:$D,'[1]SIG Qualifications Input'!$H:$H)</f>
        <v>Typically an Associate’s degree or 2 to 4 years of vocational technical training preferred. HS diploma or equivalent required. Specialized skill training/certification often required to meet specific needs. Up to 8 years of experience.</v>
      </c>
    </row>
    <row r="118" spans="1:27" ht="141" thickBot="1" x14ac:dyDescent="0.2">
      <c r="A118" s="34" t="str">
        <f>_xlfn.XLOOKUP(C118,'[1]SIG Job Families &amp; Descriptions'!F:F,'[1]SIG Job Families &amp; Descriptions'!B:B)</f>
        <v>Facility &amp; Administrative Services</v>
      </c>
      <c r="B118" s="34" t="str">
        <f>_xlfn.XLOOKUP(C118,'[1]SIG Job Families &amp; Descriptions'!F:F,'[1]SIG Job Families &amp; Descriptions'!D:D)</f>
        <v>Real Estate and Facility Management</v>
      </c>
      <c r="C118" s="34" t="s">
        <v>61</v>
      </c>
      <c r="D118" s="30" t="str">
        <f t="shared" si="2"/>
        <v>ARE</v>
      </c>
      <c r="E118" s="31" t="str">
        <f>_xlfn.XLOOKUP(C118,'[1]SIG Job Families &amp; Descriptions'!F:F,'[1]SIG Job Families &amp; Descriptions'!A:A)</f>
        <v>ARE000</v>
      </c>
      <c r="F118" s="32" t="s">
        <v>51</v>
      </c>
      <c r="G118" s="33" t="s">
        <v>43</v>
      </c>
      <c r="H118" s="34" t="str">
        <f>F118&amp;"-"&amp;G118</f>
        <v>Operations / Technician-08</v>
      </c>
      <c r="I118" s="35" t="str">
        <f>IF(ISERROR(_xlfn.XLOOKUP(H118,'[1]SIG Level Structure'!D:D,'[1]SIG Level Structure'!D:D)),"0","1")</f>
        <v>1</v>
      </c>
      <c r="J118" s="36" t="str">
        <f>_xlfn.XLOOKUP($H118,'[1]SIG Level Structure'!$D:$D,'[1]SIG Level Structure'!F:F)</f>
        <v>T3</v>
      </c>
      <c r="K118" s="37" t="str">
        <f>E118&amp;"-"&amp;J118&amp;"-"&amp;G118</f>
        <v>ARE000-T3-08</v>
      </c>
      <c r="L118" s="37" t="str">
        <f>IFERROR(D118&amp;"-"&amp;LEFT(J118,1),"--")</f>
        <v>ARE-T</v>
      </c>
      <c r="M118" s="37" t="e">
        <f>VLOOKUP(L118,'[1]Compatible JC'!$A:$A,1,FALSE)</f>
        <v>#N/A</v>
      </c>
      <c r="N118" s="37" t="str">
        <f>IFERROR(_xlfn.XLOOKUP(H118,'[1]SIG Level Structure'!D:D,'[1]SIG Level Structure'!C:C),"--")</f>
        <v>Technician</v>
      </c>
      <c r="O118" s="38" t="str">
        <f>IFERROR(TRIM(N118&amp;" "&amp;C118),"--")</f>
        <v>Technician Real Estate &amp; Facility Management</v>
      </c>
      <c r="P118" s="22" t="str">
        <f>_xlfn.XLOOKUP(E118,'[1]SIG Job Families &amp; Descriptions'!A:A,'[1]SIG Job Families &amp; Descriptions'!G:G)</f>
        <v xml:space="preserve">Plans, controls and directs real estate activities; identifies, acquires or leases land and buildings for the organization's operations. May negotiate right-of-way easements. Ensures the optimal utilization of the organization's facilities. Disposes of facilities that are no longer required by the organization. </v>
      </c>
      <c r="Q118" s="39" t="str">
        <f>_xlfn.XLOOKUP(E118,'[1]2022 GI Position Descriptions'!E:E,'[1]2022 GI Position Descriptions'!G:G)</f>
        <v>Plans, controls and directs real estate activities; identifies, acquires or leases land and buildings for the organization's operations | May negotiate right-of-way easements | Ensures the optimal utilization of the organization's facilities | Disposes of facilities that are no longer required by the organization | Responsibilities are within the Real Estate and Facilities Function as a generalist or in a combination of Disciplines</v>
      </c>
      <c r="R118" s="22" t="str">
        <f>IF(LEFT(J118,1)="E","EX",LEFT(J118,1))</f>
        <v>T</v>
      </c>
      <c r="S118" s="22" t="str">
        <f>_xlfn.XLOOKUP($R118,'[1]Career Bands &amp; Levels'!A:A,'[1]Career Bands &amp; Levels'!C:C)</f>
        <v>● Performs specialized technical tasks required to support operations (e.g., IT development, research support, skilled trade)
● Requires vocational training or the equivalent experience and may require external certification but typically does not require a university degree</v>
      </c>
      <c r="T118" s="22" t="str">
        <f>J118</f>
        <v>T3</v>
      </c>
      <c r="U118" s="40" t="str">
        <f t="shared" si="3"/>
        <v>T3</v>
      </c>
      <c r="V118" s="22" t="str">
        <f>_xlfn.XLOOKUP(T118,'[1]Career Bands &amp; Levels'!A:A,'[1]Career Bands &amp; Levels'!C:C)</f>
        <v xml:space="preserve">●	Has full proficiency in a range of technical processes or procedures (or deep skills in a single area) through job-related training and considerable work experience		
●	Completes a variety of atypical assignments		
●	Works within defined technical processes and procedures or methodologies and may help determine the appropriate approach for new assignments		
●	Works with a limited degree of supervision, with oversight focused only on complex new assignments		
●	Acts as an informal resource for colleagues with less experience		</v>
      </c>
      <c r="W118" s="41" t="str">
        <f>J118&amp;"-"&amp;G118</f>
        <v>T3-08</v>
      </c>
      <c r="X118" s="42" t="str">
        <f>G118</f>
        <v>08</v>
      </c>
      <c r="Y118" s="22" t="str">
        <f>_xlfn.XLOOKUP(W118,'[1]Career Bands &amp; Levels'!A:A,'[1]Career Bands &amp; Levels'!C:C,"No Grade Differentiator")</f>
        <v xml:space="preserve">●	Performs highly complex and varied tasks		
●	Typically has specialized external certification		
●	Guides and supports junior team members; may assist in their formal orientation and training		</v>
      </c>
      <c r="Z118" s="43" t="str">
        <f>IFERROR(O118&amp;" - "&amp;G118,"--")</f>
        <v>Technician Real Estate &amp; Facility Management - 08</v>
      </c>
      <c r="AA118" s="44" t="str">
        <f>_xlfn.XLOOKUP($H118,'[1]SIG Qualifications Input'!$D:$D,'[1]SIG Qualifications Input'!$H:$H)</f>
        <v>Typically an Associate’s degree or 2 to 4 years of vocational technical training preferred. HS diploma or equivalent required. Specialized skill training/certification often required to meet specific needs. Up to 8 years of experience.</v>
      </c>
    </row>
    <row r="119" spans="1:27" ht="141" thickBot="1" x14ac:dyDescent="0.2">
      <c r="A119" s="34" t="str">
        <f>_xlfn.XLOOKUP(C119,'[1]SIG Job Families &amp; Descriptions'!F:F,'[1]SIG Job Families &amp; Descriptions'!B:B)</f>
        <v>Facility &amp; Administrative Services</v>
      </c>
      <c r="B119" s="34" t="str">
        <f>_xlfn.XLOOKUP(C119,'[1]SIG Job Families &amp; Descriptions'!F:F,'[1]SIG Job Families &amp; Descriptions'!D:D)</f>
        <v>Real Estate and Facility Management</v>
      </c>
      <c r="C119" s="34" t="s">
        <v>61</v>
      </c>
      <c r="D119" s="30" t="str">
        <f t="shared" si="2"/>
        <v>ARE</v>
      </c>
      <c r="E119" s="31" t="str">
        <f>_xlfn.XLOOKUP(C119,'[1]SIG Job Families &amp; Descriptions'!F:F,'[1]SIG Job Families &amp; Descriptions'!A:A)</f>
        <v>ARE000</v>
      </c>
      <c r="F119" s="32" t="s">
        <v>51</v>
      </c>
      <c r="G119" s="33" t="s">
        <v>52</v>
      </c>
      <c r="H119" s="34" t="str">
        <f>F119&amp;"-"&amp;G119</f>
        <v>Operations / Technician-07</v>
      </c>
      <c r="I119" s="35" t="str">
        <f>IF(ISERROR(_xlfn.XLOOKUP(H119,'[1]SIG Level Structure'!D:D,'[1]SIG Level Structure'!D:D)),"0","1")</f>
        <v>1</v>
      </c>
      <c r="J119" s="36" t="str">
        <f>_xlfn.XLOOKUP($H119,'[1]SIG Level Structure'!$D:$D,'[1]SIG Level Structure'!F:F)</f>
        <v>T3</v>
      </c>
      <c r="K119" s="37" t="str">
        <f>E119&amp;"-"&amp;J119&amp;"-"&amp;G119</f>
        <v>ARE000-T3-07</v>
      </c>
      <c r="L119" s="37" t="str">
        <f>IFERROR(D119&amp;"-"&amp;LEFT(J119,1),"--")</f>
        <v>ARE-T</v>
      </c>
      <c r="M119" s="37" t="e">
        <f>VLOOKUP(L119,'[1]Compatible JC'!$A:$A,1,FALSE)</f>
        <v>#N/A</v>
      </c>
      <c r="N119" s="37" t="str">
        <f>IFERROR(_xlfn.XLOOKUP(H119,'[1]SIG Level Structure'!D:D,'[1]SIG Level Structure'!C:C),"--")</f>
        <v>Technician</v>
      </c>
      <c r="O119" s="38" t="str">
        <f>IFERROR(TRIM(N119&amp;" "&amp;C119),"--")</f>
        <v>Technician Real Estate &amp; Facility Management</v>
      </c>
      <c r="P119" s="22" t="str">
        <f>_xlfn.XLOOKUP(E119,'[1]SIG Job Families &amp; Descriptions'!A:A,'[1]SIG Job Families &amp; Descriptions'!G:G)</f>
        <v xml:space="preserve">Plans, controls and directs real estate activities; identifies, acquires or leases land and buildings for the organization's operations. May negotiate right-of-way easements. Ensures the optimal utilization of the organization's facilities. Disposes of facilities that are no longer required by the organization. </v>
      </c>
      <c r="Q119" s="39" t="str">
        <f>_xlfn.XLOOKUP(E119,'[1]2022 GI Position Descriptions'!E:E,'[1]2022 GI Position Descriptions'!G:G)</f>
        <v>Plans, controls and directs real estate activities; identifies, acquires or leases land and buildings for the organization's operations | May negotiate right-of-way easements | Ensures the optimal utilization of the organization's facilities | Disposes of facilities that are no longer required by the organization | Responsibilities are within the Real Estate and Facilities Function as a generalist or in a combination of Disciplines</v>
      </c>
      <c r="R119" s="22" t="str">
        <f>IF(LEFT(J119,1)="E","EX",LEFT(J119,1))</f>
        <v>T</v>
      </c>
      <c r="S119" s="22" t="str">
        <f>_xlfn.XLOOKUP($R119,'[1]Career Bands &amp; Levels'!A:A,'[1]Career Bands &amp; Levels'!C:C)</f>
        <v>● Performs specialized technical tasks required to support operations (e.g., IT development, research support, skilled trade)
● Requires vocational training or the equivalent experience and may require external certification but typically does not require a university degree</v>
      </c>
      <c r="T119" s="22" t="str">
        <f>J119</f>
        <v>T3</v>
      </c>
      <c r="U119" s="40" t="str">
        <f t="shared" si="3"/>
        <v>T3</v>
      </c>
      <c r="V119" s="22" t="str">
        <f>_xlfn.XLOOKUP(T119,'[1]Career Bands &amp; Levels'!A:A,'[1]Career Bands &amp; Levels'!C:C)</f>
        <v xml:space="preserve">●	Has full proficiency in a range of technical processes or procedures (or deep skills in a single area) through job-related training and considerable work experience		
●	Completes a variety of atypical assignments		
●	Works within defined technical processes and procedures or methodologies and may help determine the appropriate approach for new assignments		
●	Works with a limited degree of supervision, with oversight focused only on complex new assignments		
●	Acts as an informal resource for colleagues with less experience		</v>
      </c>
      <c r="W119" s="41" t="str">
        <f>J119&amp;"-"&amp;G119</f>
        <v>T3-07</v>
      </c>
      <c r="X119" s="42" t="str">
        <f>G119</f>
        <v>07</v>
      </c>
      <c r="Y119" s="22" t="str">
        <f>_xlfn.XLOOKUP(W119,'[1]Career Bands &amp; Levels'!A:A,'[1]Career Bands &amp; Levels'!C:C,"No Grade Differentiator")</f>
        <v xml:space="preserve">●	Performs moderately complex and varied tasks		
●	May have specialized external certification		
●	Guides junior team members		</v>
      </c>
      <c r="Z119" s="43" t="str">
        <f>IFERROR(O119&amp;" - "&amp;G119,"--")</f>
        <v>Technician Real Estate &amp; Facility Management - 07</v>
      </c>
      <c r="AA119" s="44" t="str">
        <f>_xlfn.XLOOKUP($H119,'[1]SIG Qualifications Input'!$D:$D,'[1]SIG Qualifications Input'!$H:$H)</f>
        <v>Typically an Associate’s degree or 2 to 4 years of vocational technical training preferred. HS diploma or equivalent required. Specialized skill training/certification often required to meet specific needs. Up to 8 years of experience.</v>
      </c>
    </row>
    <row r="120" spans="1:27" ht="169" thickBot="1" x14ac:dyDescent="0.2">
      <c r="A120" s="34" t="str">
        <f>_xlfn.XLOOKUP(C120,'[1]SIG Job Families &amp; Descriptions'!F:F,'[1]SIG Job Families &amp; Descriptions'!B:B)</f>
        <v>Facility &amp; Administrative Services</v>
      </c>
      <c r="B120" s="34" t="str">
        <f>_xlfn.XLOOKUP(C120,'[1]SIG Job Families &amp; Descriptions'!F:F,'[1]SIG Job Families &amp; Descriptions'!D:D)</f>
        <v>Real Estate and Facility Management</v>
      </c>
      <c r="C120" s="34" t="s">
        <v>61</v>
      </c>
      <c r="D120" s="30" t="str">
        <f t="shared" si="2"/>
        <v>ARE</v>
      </c>
      <c r="E120" s="31" t="str">
        <f>_xlfn.XLOOKUP(C120,'[1]SIG Job Families &amp; Descriptions'!F:F,'[1]SIG Job Families &amp; Descriptions'!A:A)</f>
        <v>ARE000</v>
      </c>
      <c r="F120" s="32" t="s">
        <v>32</v>
      </c>
      <c r="G120" s="33" t="s">
        <v>43</v>
      </c>
      <c r="H120" s="34" t="str">
        <f>F120&amp;"-"&amp;G120</f>
        <v>Professional-08</v>
      </c>
      <c r="I120" s="35" t="str">
        <f>IF(ISERROR(_xlfn.XLOOKUP(H120,'[1]SIG Level Structure'!D:D,'[1]SIG Level Structure'!D:D)),"0","1")</f>
        <v>1</v>
      </c>
      <c r="J120" s="36" t="str">
        <f>_xlfn.XLOOKUP($H120,'[1]SIG Level Structure'!$D:$D,'[1]SIG Level Structure'!F:F)</f>
        <v>P1</v>
      </c>
      <c r="K120" s="37" t="str">
        <f>E120&amp;"-"&amp;J120&amp;"-"&amp;G120</f>
        <v>ARE000-P1-08</v>
      </c>
      <c r="L120" s="37" t="str">
        <f>IFERROR(D120&amp;"-"&amp;LEFT(J120,1),"--")</f>
        <v>ARE-P</v>
      </c>
      <c r="M120" s="37" t="str">
        <f>VLOOKUP(L120,'[1]Compatible JC'!$A:$A,1,FALSE)</f>
        <v>ARE-P</v>
      </c>
      <c r="N120" s="37" t="str">
        <f>IFERROR(_xlfn.XLOOKUP(H120,'[1]SIG Level Structure'!D:D,'[1]SIG Level Structure'!C:C),"--")</f>
        <v>Specialist</v>
      </c>
      <c r="O120" s="38" t="str">
        <f>IFERROR(TRIM(N120&amp;" "&amp;C120),"--")</f>
        <v>Specialist Real Estate &amp; Facility Management</v>
      </c>
      <c r="P120" s="22" t="str">
        <f>_xlfn.XLOOKUP(E120,'[1]SIG Job Families &amp; Descriptions'!A:A,'[1]SIG Job Families &amp; Descriptions'!G:G)</f>
        <v xml:space="preserve">Plans, controls and directs real estate activities; identifies, acquires or leases land and buildings for the organization's operations. May negotiate right-of-way easements. Ensures the optimal utilization of the organization's facilities. Disposes of facilities that are no longer required by the organization. </v>
      </c>
      <c r="Q120" s="39" t="str">
        <f>_xlfn.XLOOKUP(E120,'[1]2022 GI Position Descriptions'!E:E,'[1]2022 GI Position Descriptions'!G:G)</f>
        <v>Plans, controls and directs real estate activities; identifies, acquires or leases land and buildings for the organization's operations | May negotiate right-of-way easements | Ensures the optimal utilization of the organization's facilities | Disposes of facilities that are no longer required by the organization | Responsibilities are within the Real Estate and Facilities Function as a generalist or in a combination of Disciplines</v>
      </c>
      <c r="R120" s="22" t="str">
        <f>IF(LEFT(J120,1)="E","EX",LEFT(J120,1))</f>
        <v>P</v>
      </c>
      <c r="S120" s="22" t="str">
        <f>_xlfn.XLOOKUP($R120,'[1]Career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20" s="22" t="str">
        <f>J120</f>
        <v>P1</v>
      </c>
      <c r="U120" s="40" t="str">
        <f t="shared" si="3"/>
        <v>P1</v>
      </c>
      <c r="V120" s="22" t="str">
        <f>_xlfn.XLOOKUP(T120,'[1]Career Bands &amp; Levels'!A:A,'[1]Career Bands &amp; Levels'!C:C)</f>
        <v xml:space="preserve">●	Performs routine assignments in the entry level of the Professional Career Band		
●	Typically requires a college or university degree or the equivalent work experience and has conceptual knowledge of fundamental theories, principles and practices 		
●	Has no discretion to vary from established procedures by performing structured work assignments		
●	Uses existing procedures to solve routine or standard problems		
●	Receives instruction, guidance and direction from more senior level roles		</v>
      </c>
      <c r="W120" s="41" t="str">
        <f>J120&amp;"-"&amp;G120</f>
        <v>P1-08</v>
      </c>
      <c r="X120" s="42" t="str">
        <f>G120</f>
        <v>08</v>
      </c>
      <c r="Y120" s="22" t="str">
        <f>_xlfn.XLOOKUP(W120,'[1]Career Bands &amp; Levels'!A:A,'[1]Career Bands &amp; Levels'!C:C,"No Grade Differentiator")</f>
        <v>No Grade Differentiator</v>
      </c>
      <c r="Z120" s="43" t="str">
        <f>IFERROR(O120&amp;" - "&amp;G120,"--")</f>
        <v>Specialist Real Estate &amp; Facility Management - 08</v>
      </c>
      <c r="AA120" s="44" t="str">
        <f>_xlfn.XLOOKUP($H120,'[1]SIG Qualifications Input'!$D:$D,'[1]SIG Qualifications Input'!$H:$H)</f>
        <v>University degree or equivalent and 0-1 year of work experience or equivalent</v>
      </c>
    </row>
    <row r="121" spans="1:27" ht="197" thickBot="1" x14ac:dyDescent="0.2">
      <c r="A121" s="34" t="str">
        <f>_xlfn.XLOOKUP(C121,'[1]SIG Job Families &amp; Descriptions'!F:F,'[1]SIG Job Families &amp; Descriptions'!B:B)</f>
        <v>Facility &amp; Administrative Services</v>
      </c>
      <c r="B121" s="34" t="str">
        <f>_xlfn.XLOOKUP(C121,'[1]SIG Job Families &amp; Descriptions'!F:F,'[1]SIG Job Families &amp; Descriptions'!D:D)</f>
        <v>Administrative Services</v>
      </c>
      <c r="C121" s="34" t="s">
        <v>62</v>
      </c>
      <c r="D121" s="30" t="str">
        <f t="shared" si="2"/>
        <v>AAS</v>
      </c>
      <c r="E121" s="31" t="str">
        <f>_xlfn.XLOOKUP(C121,'[1]SIG Job Families &amp; Descriptions'!F:F,'[1]SIG Job Families &amp; Descriptions'!A:A)</f>
        <v>AAS000</v>
      </c>
      <c r="F121" s="32" t="s">
        <v>50</v>
      </c>
      <c r="G121" s="33" t="s">
        <v>55</v>
      </c>
      <c r="H121" s="34" t="str">
        <f>F121&amp;"-"&amp;G121</f>
        <v>Operations-04</v>
      </c>
      <c r="I121" s="35" t="str">
        <f>IF(ISERROR(_xlfn.XLOOKUP(H121,'[1]SIG Level Structure'!D:D,'[1]SIG Level Structure'!D:D)),"0","1")</f>
        <v>1</v>
      </c>
      <c r="J121" s="36" t="str">
        <f>_xlfn.XLOOKUP($H121,'[1]SIG Level Structure'!$D:$D,'[1]SIG Level Structure'!F:F)</f>
        <v>W2</v>
      </c>
      <c r="K121" s="37" t="str">
        <f>E121&amp;"-"&amp;J121&amp;"-"&amp;G121</f>
        <v>AAS000-W2-04</v>
      </c>
      <c r="L121" s="37" t="str">
        <f>IFERROR(D121&amp;"-"&amp;LEFT(J121,1),"--")</f>
        <v>AAS-W</v>
      </c>
      <c r="M121" s="37" t="e">
        <f>VLOOKUP(L121,'[1]Compatible JC'!$A:$A,1,FALSE)</f>
        <v>#N/A</v>
      </c>
      <c r="N121" s="37" t="str">
        <f>IFERROR(_xlfn.XLOOKUP(H121,'[1]SIG Level Structure'!D:D,'[1]SIG Level Structure'!C:C),"--")</f>
        <v>Operator</v>
      </c>
      <c r="O121" s="38" t="str">
        <f>IFERROR(TRIM(N121&amp;" "&amp;C121),"--")</f>
        <v>Operator Administrative Services</v>
      </c>
      <c r="P121" s="22" t="str">
        <f>_xlfn.XLOOKUP(E121,'[1]SIG Job Families &amp; Descriptions'!A:A,'[1]SIG Job Families &amp; Descriptions'!G:G)</f>
        <v>Provides administrative support to employees or groups in the organization. Uses business software applications (e.g., word processing, presentation and spreadsheet) to prepare correspondence, reports, presentations, agendas, minutes, etc.. Receives, screens and directs incoming calls, visitors, mail and email. Maintains files, records, calendars and diaries. May arrange business travel, coordinate meeting arrangements, and/or track expenses. Embraces activities in the field of secretarial and administrative support, or e.g.  reception or catering. Include roles that supports general business operations by providing various transportation and related support activities.</v>
      </c>
      <c r="Q121" s="39" t="str">
        <f>_xlfn.XLOOKUP(E121,'[1]2022 GI Position Descriptions'!E:E,'[1]2022 GI Position Descriptions'!G:G)</f>
        <v>Supports general business operations by providing various administrative support activities as a generalist or in a combination of Disciplines in the Administrative Services Function</v>
      </c>
      <c r="R121" s="22" t="str">
        <f>IF(LEFT(J121,1)="E","EX",LEFT(J121,1))</f>
        <v>W</v>
      </c>
      <c r="S121" s="22" t="str">
        <f>_xlfn.XLOOKUP($R121,'[1]Career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121" s="22" t="str">
        <f>J121</f>
        <v>W2</v>
      </c>
      <c r="U121" s="40" t="str">
        <f t="shared" si="3"/>
        <v>W2</v>
      </c>
      <c r="V121" s="22" t="str">
        <f>_xlfn.XLOOKUP(T121,'[1]Career Bands &amp; Levels'!A:A,'[1]Career Bands &amp; Levels'!C:C)</f>
        <v xml:space="preserve">●	Has skills developed through formal training or work experience		
●	Works within established procedures and guidelines with limited ability to modify methods and approach		
●	Completes assigned tasks with a moderate degree of supervision		</v>
      </c>
      <c r="W121" s="41" t="str">
        <f>J121&amp;"-"&amp;G121</f>
        <v>W2-04</v>
      </c>
      <c r="X121" s="42" t="str">
        <f>G121</f>
        <v>04</v>
      </c>
      <c r="Y121" s="22" t="str">
        <f>_xlfn.XLOOKUP(W121,'[1]Career Bands &amp; Levels'!A:A,'[1]Career Bands &amp; Levels'!C:C,"No Grade Differentiator")</f>
        <v xml:space="preserve">●	Performs most established procedures and will typically be considered semi-skilled through work experience		
●	Resolves routine issues with senior staff or supervisory guidance and approval		</v>
      </c>
      <c r="Z121" s="43" t="str">
        <f>IFERROR(O121&amp;" - "&amp;G121,"--")</f>
        <v>Operator Administrative Services - 04</v>
      </c>
      <c r="AA121" s="44" t="str">
        <f>_xlfn.XLOOKUP($H121,'[1]SIG Qualifications Input'!$D:$D,'[1]SIG Qualifications Input'!$H:$H)</f>
        <v>Vocational training in e.g. manual or technical  field or equivalent work experience. 0-4 years of experience</v>
      </c>
    </row>
    <row r="122" spans="1:27" ht="169" thickBot="1" x14ac:dyDescent="0.2">
      <c r="A122" s="34" t="str">
        <f>_xlfn.XLOOKUP(C122,'[1]SIG Job Families &amp; Descriptions'!F:F,'[1]SIG Job Families &amp; Descriptions'!B:B)</f>
        <v>Facility &amp; Administrative Services</v>
      </c>
      <c r="B122" s="34" t="str">
        <f>_xlfn.XLOOKUP(C122,'[1]SIG Job Families &amp; Descriptions'!F:F,'[1]SIG Job Families &amp; Descriptions'!D:D)</f>
        <v>Real Estate and Facility Management</v>
      </c>
      <c r="C122" s="34" t="s">
        <v>63</v>
      </c>
      <c r="D122" s="30" t="str">
        <f t="shared" si="2"/>
        <v>ARE</v>
      </c>
      <c r="E122" s="31" t="str">
        <f>_xlfn.XLOOKUP(C122,'[1]SIG Job Families &amp; Descriptions'!F:F,'[1]SIG Job Families &amp; Descriptions'!A:A)</f>
        <v>ARE010</v>
      </c>
      <c r="F122" s="32" t="s">
        <v>32</v>
      </c>
      <c r="G122" s="33" t="s">
        <v>31</v>
      </c>
      <c r="H122" s="34" t="str">
        <f>F122&amp;"-"&amp;G122</f>
        <v>Professional-14</v>
      </c>
      <c r="I122" s="35" t="str">
        <f>IF(ISERROR(_xlfn.XLOOKUP(H122,'[1]SIG Level Structure'!D:D,'[1]SIG Level Structure'!D:D)),"0","1")</f>
        <v>1</v>
      </c>
      <c r="J122" s="36" t="str">
        <f>_xlfn.XLOOKUP($H122,'[1]SIG Level Structure'!$D:$D,'[1]SIG Level Structure'!F:F)</f>
        <v>P4</v>
      </c>
      <c r="K122" s="37" t="str">
        <f>E122&amp;"-"&amp;J122&amp;"-"&amp;G122</f>
        <v>ARE010-P4-14</v>
      </c>
      <c r="L122" s="37" t="str">
        <f>IFERROR(D122&amp;"-"&amp;LEFT(J122,1),"--")</f>
        <v>ARE-P</v>
      </c>
      <c r="M122" s="37" t="str">
        <f>VLOOKUP(L122,'[1]Compatible JC'!$A:$A,1,FALSE)</f>
        <v>ARE-P</v>
      </c>
      <c r="N122" s="37" t="str">
        <f>IFERROR(_xlfn.XLOOKUP(H122,'[1]SIG Level Structure'!D:D,'[1]SIG Level Structure'!C:C),"--")</f>
        <v>Senior Expert</v>
      </c>
      <c r="O122" s="38" t="str">
        <f>IFERROR(TRIM(N122&amp;" "&amp;C122),"--")</f>
        <v>Senior Expert Real Estate Management</v>
      </c>
      <c r="P122" s="22" t="str">
        <f>_xlfn.XLOOKUP(E122,'[1]SIG Job Families &amp; Descriptions'!A:A,'[1]SIG Job Families &amp; Descriptions'!G:G)</f>
        <v xml:space="preserve">Plans, controls and directs real estate activities; identifies, acquires or leases land and buildings for the organization's operations. May negotiate right-of-way easements. Ensures the optimal utilization of the organization's facilities. Disposes of facilities that are no longer required by the organization. </v>
      </c>
      <c r="Q122" s="39" t="str">
        <f>_xlfn.XLOOKUP(E122,'[1]2022 GI Position Descriptions'!E:E,'[1]2022 GI Position Descriptions'!G:G)</f>
        <v>Manages real estate to ensure maximum return and profitability | Advises and assists with site selection, site acquisition, leasing space and other functions relating to land acquisition, negotiation and sale</v>
      </c>
      <c r="R122" s="22" t="str">
        <f>IF(LEFT(J122,1)="E","EX",LEFT(J122,1))</f>
        <v>P</v>
      </c>
      <c r="S122" s="22" t="str">
        <f>_xlfn.XLOOKUP($R122,'[1]Career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22" s="22" t="str">
        <f>J122</f>
        <v>P4</v>
      </c>
      <c r="U122" s="40" t="str">
        <f t="shared" si="3"/>
        <v>P4</v>
      </c>
      <c r="V122" s="22" t="str">
        <f>_xlfn.XLOOKUP(T122,'[1]Career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122" s="41" t="str">
        <f>J122&amp;"-"&amp;G122</f>
        <v>P4-14</v>
      </c>
      <c r="X122" s="42" t="str">
        <f>G122</f>
        <v>14</v>
      </c>
      <c r="Y122" s="22" t="str">
        <f>_xlfn.XLOOKUP(W122,'[1]Career Bands &amp; Levels'!A:A,'[1]Career Bands &amp; Levels'!C:C,"No Grade Differentiator")</f>
        <v xml:space="preserve">●	Guides others in resolving complex issues in own specialized area and solves complex problems with implications on cross-functional business processes and outcomes		
●	Serves as an advisor and applies knowledge of strategies that can be deployed within own function and discipline		
●	Applies working knowledge of the theories and concepts in other disciplines		
●	May lead teams or projects with broad visibility		</v>
      </c>
      <c r="Z122" s="43" t="str">
        <f>IFERROR(O122&amp;" - "&amp;G122,"--")</f>
        <v>Senior Expert Real Estate Management - 14</v>
      </c>
      <c r="AA122" s="44" t="str">
        <f>_xlfn.XLOOKUP($H122,'[1]SIG Qualifications Input'!$D:$D,'[1]SIG Qualifications Input'!$H:$H)</f>
        <v>University degree or equivalent and 8-10 years of work experience or equivalent, 
Experience in functionally leading (sub-)projects / teams</v>
      </c>
    </row>
    <row r="123" spans="1:27" ht="169" thickBot="1" x14ac:dyDescent="0.2">
      <c r="A123" s="34" t="str">
        <f>_xlfn.XLOOKUP(C123,'[1]SIG Job Families &amp; Descriptions'!F:F,'[1]SIG Job Families &amp; Descriptions'!B:B)</f>
        <v>Facility &amp; Administrative Services</v>
      </c>
      <c r="B123" s="34" t="str">
        <f>_xlfn.XLOOKUP(C123,'[1]SIG Job Families &amp; Descriptions'!F:F,'[1]SIG Job Families &amp; Descriptions'!D:D)</f>
        <v>Real Estate and Facility Management</v>
      </c>
      <c r="C123" s="34" t="s">
        <v>63</v>
      </c>
      <c r="D123" s="30" t="str">
        <f t="shared" si="2"/>
        <v>ARE</v>
      </c>
      <c r="E123" s="31" t="str">
        <f>_xlfn.XLOOKUP(C123,'[1]SIG Job Families &amp; Descriptions'!F:F,'[1]SIG Job Families &amp; Descriptions'!A:A)</f>
        <v>ARE010</v>
      </c>
      <c r="F123" s="32" t="s">
        <v>32</v>
      </c>
      <c r="G123" s="33" t="s">
        <v>33</v>
      </c>
      <c r="H123" s="34" t="str">
        <f>F123&amp;"-"&amp;G123</f>
        <v>Professional-13</v>
      </c>
      <c r="I123" s="35" t="str">
        <f>IF(ISERROR(_xlfn.XLOOKUP(H123,'[1]SIG Level Structure'!D:D,'[1]SIG Level Structure'!D:D)),"0","1")</f>
        <v>1</v>
      </c>
      <c r="J123" s="36" t="str">
        <f>_xlfn.XLOOKUP($H123,'[1]SIG Level Structure'!$D:$D,'[1]SIG Level Structure'!F:F)</f>
        <v>P4</v>
      </c>
      <c r="K123" s="37" t="str">
        <f>E123&amp;"-"&amp;J123&amp;"-"&amp;G123</f>
        <v>ARE010-P4-13</v>
      </c>
      <c r="L123" s="37" t="str">
        <f>IFERROR(D123&amp;"-"&amp;LEFT(J123,1),"--")</f>
        <v>ARE-P</v>
      </c>
      <c r="M123" s="37" t="str">
        <f>VLOOKUP(L123,'[1]Compatible JC'!$A:$A,1,FALSE)</f>
        <v>ARE-P</v>
      </c>
      <c r="N123" s="37" t="str">
        <f>IFERROR(_xlfn.XLOOKUP(H123,'[1]SIG Level Structure'!D:D,'[1]SIG Level Structure'!C:C),"--")</f>
        <v>Senior Expert</v>
      </c>
      <c r="O123" s="38" t="str">
        <f>IFERROR(TRIM(N123&amp;" "&amp;C123),"--")</f>
        <v>Senior Expert Real Estate Management</v>
      </c>
      <c r="P123" s="22" t="str">
        <f>_xlfn.XLOOKUP(E123,'[1]SIG Job Families &amp; Descriptions'!A:A,'[1]SIG Job Families &amp; Descriptions'!G:G)</f>
        <v xml:space="preserve">Plans, controls and directs real estate activities; identifies, acquires or leases land and buildings for the organization's operations. May negotiate right-of-way easements. Ensures the optimal utilization of the organization's facilities. Disposes of facilities that are no longer required by the organization. </v>
      </c>
      <c r="Q123" s="39" t="str">
        <f>_xlfn.XLOOKUP(E123,'[1]2022 GI Position Descriptions'!E:E,'[1]2022 GI Position Descriptions'!G:G)</f>
        <v>Manages real estate to ensure maximum return and profitability | Advises and assists with site selection, site acquisition, leasing space and other functions relating to land acquisition, negotiation and sale</v>
      </c>
      <c r="R123" s="22" t="str">
        <f>IF(LEFT(J123,1)="E","EX",LEFT(J123,1))</f>
        <v>P</v>
      </c>
      <c r="S123" s="22" t="str">
        <f>_xlfn.XLOOKUP($R123,'[1]Career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23" s="22" t="str">
        <f>J123</f>
        <v>P4</v>
      </c>
      <c r="U123" s="40" t="str">
        <f t="shared" si="3"/>
        <v>P4</v>
      </c>
      <c r="V123" s="22" t="str">
        <f>_xlfn.XLOOKUP(T123,'[1]Career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123" s="41" t="str">
        <f>J123&amp;"-"&amp;G123</f>
        <v>P4-13</v>
      </c>
      <c r="X123" s="42" t="str">
        <f>G123</f>
        <v>13</v>
      </c>
      <c r="Y123" s="22" t="str">
        <f>_xlfn.XLOOKUP(W123,'[1]Career Bands &amp; Levels'!A:A,'[1]Career Bands &amp; Levels'!C:C,"No Grade Differentiator")</f>
        <v xml:space="preserve">●	Guides others in resolving complex issues in specialized area based on existing solutions and procedures		
●	Serves as an expert within own discipline		
●	May lead function teams or projects and serves as a best practices/quality resource		
●	Trains/mentors junior staff		</v>
      </c>
      <c r="Z123" s="43" t="str">
        <f>IFERROR(O123&amp;" - "&amp;G123,"--")</f>
        <v>Senior Expert Real Estate Management - 13</v>
      </c>
      <c r="AA123" s="44" t="str">
        <f>_xlfn.XLOOKUP($H123,'[1]SIG Qualifications Input'!$D:$D,'[1]SIG Qualifications Input'!$H:$H)</f>
        <v>University degree or equivalent and 8-10 years of work experience or equivalent, 
Experience in functionally leading (sub-)projects / teams</v>
      </c>
    </row>
    <row r="124" spans="1:27" ht="85" thickBot="1" x14ac:dyDescent="0.2">
      <c r="A124" s="34" t="str">
        <f>_xlfn.XLOOKUP(C124,'[1]SIG Job Families &amp; Descriptions'!F:F,'[1]SIG Job Families &amp; Descriptions'!B:B)</f>
        <v>Facility &amp; Administrative Services</v>
      </c>
      <c r="B124" s="34" t="str">
        <f>_xlfn.XLOOKUP(C124,'[1]SIG Job Families &amp; Descriptions'!F:F,'[1]SIG Job Families &amp; Descriptions'!D:D)</f>
        <v>Real Estate and Facility Management</v>
      </c>
      <c r="C124" s="34" t="s">
        <v>64</v>
      </c>
      <c r="D124" s="30" t="str">
        <f t="shared" si="2"/>
        <v>ARE</v>
      </c>
      <c r="E124" s="31" t="str">
        <f>_xlfn.XLOOKUP(C124,'[1]SIG Job Families &amp; Descriptions'!F:F,'[1]SIG Job Families &amp; Descriptions'!A:A)</f>
        <v>ARE020</v>
      </c>
      <c r="F124" s="32" t="s">
        <v>50</v>
      </c>
      <c r="G124" s="33" t="s">
        <v>53</v>
      </c>
      <c r="H124" s="34" t="str">
        <f>F124&amp;"-"&amp;G124</f>
        <v>Operations-06</v>
      </c>
      <c r="I124" s="35" t="str">
        <f>IF(ISERROR(_xlfn.XLOOKUP(H124,'[1]SIG Level Structure'!D:D,'[1]SIG Level Structure'!D:D)),"0","1")</f>
        <v>1</v>
      </c>
      <c r="J124" s="36" t="str">
        <f>_xlfn.XLOOKUP($H124,'[1]SIG Level Structure'!$D:$D,'[1]SIG Level Structure'!F:F)</f>
        <v>W3</v>
      </c>
      <c r="K124" s="37" t="str">
        <f>E124&amp;"-"&amp;J124&amp;"-"&amp;G124</f>
        <v>ARE020-W3-06</v>
      </c>
      <c r="L124" s="37" t="str">
        <f>IFERROR(D124&amp;"-"&amp;LEFT(J124,1),"--")</f>
        <v>ARE-W</v>
      </c>
      <c r="M124" s="37" t="e">
        <f>VLOOKUP(L124,'[1]Compatible JC'!$A:$A,1,FALSE)</f>
        <v>#N/A</v>
      </c>
      <c r="N124" s="37" t="str">
        <f>IFERROR(_xlfn.XLOOKUP(H124,'[1]SIG Level Structure'!D:D,'[1]SIG Level Structure'!C:C),"--")</f>
        <v>Operator</v>
      </c>
      <c r="O124" s="38" t="str">
        <f>IFERROR(TRIM(N124&amp;" "&amp;C124),"--")</f>
        <v>Operator Facility Management</v>
      </c>
      <c r="P124" s="22" t="str">
        <f>_xlfn.XLOOKUP(E124,'[1]SIG Job Families &amp; Descriptions'!A:A,'[1]SIG Job Families &amp; Descriptions'!G:G)</f>
        <v xml:space="preserve">Plans, controls and directs real estate activities; identifies, acquires or leases land and buildings for the organization's operations. May negotiate right-of-way easements. Ensures the optimal utilization of the organization's facilities. Disposes of facilities that are no longer required by the organization. </v>
      </c>
      <c r="Q124" s="39" t="str">
        <f>_xlfn.XLOOKUP(E124,'[1]2022 GI Position Descriptions'!E:E,'[1]2022 GI Position Descriptions'!G:G)</f>
        <v>Ensures the optimal utilization of the organization's facilities | Assesses and evaluates the physical space requirements of the organization and recommends plans to meet needs | Ensures proper functioning of facilities through ongoing inspection and maintenance</v>
      </c>
      <c r="R124" s="22" t="str">
        <f>IF(LEFT(J124,1)="E","EX",LEFT(J124,1))</f>
        <v>W</v>
      </c>
      <c r="S124" s="22" t="str">
        <f>_xlfn.XLOOKUP($R124,'[1]Career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124" s="22" t="str">
        <f>J124</f>
        <v>W3</v>
      </c>
      <c r="U124" s="40" t="str">
        <f t="shared" si="3"/>
        <v>W3</v>
      </c>
      <c r="V124" s="22" t="str">
        <f>_xlfn.XLOOKUP(T124,'[1]Career Bands &amp; Levels'!A:A,'[1]Career Bands &amp; Levels'!C:C)</f>
        <v xml:space="preserve">●	Has proficiency through job-related training and considerable work experience		
●	Completes work with a limited degree of supervision; regularly provides guidance to others with less experience		
●	May act as an informal resource for colleagues with less experience		</v>
      </c>
      <c r="W124" s="41" t="str">
        <f>J124&amp;"-"&amp;G124</f>
        <v>W3-06</v>
      </c>
      <c r="X124" s="42" t="str">
        <f>G124</f>
        <v>06</v>
      </c>
      <c r="Y124" s="22" t="str">
        <f>_xlfn.XLOOKUP(W124,'[1]Career Bands &amp; Levels'!A:A,'[1]Career Bands &amp; Levels'!C:C,"No Grade Differentiator")</f>
        <v>No Grade Differentiator</v>
      </c>
      <c r="Z124" s="43" t="str">
        <f>IFERROR(O124&amp;" - "&amp;G124,"--")</f>
        <v>Operator Facility Management - 06</v>
      </c>
      <c r="AA124" s="44" t="str">
        <f>_xlfn.XLOOKUP($H124,'[1]SIG Qualifications Input'!$D:$D,'[1]SIG Qualifications Input'!$H:$H)</f>
        <v>Vocational training in e.g. manual or technical  field or equivalent work experience. 0-4 years of experience</v>
      </c>
    </row>
    <row r="125" spans="1:27" ht="85" thickBot="1" x14ac:dyDescent="0.2">
      <c r="A125" s="34" t="str">
        <f>_xlfn.XLOOKUP(C125,'[1]SIG Job Families &amp; Descriptions'!F:F,'[1]SIG Job Families &amp; Descriptions'!B:B)</f>
        <v>Facility &amp; Administrative Services</v>
      </c>
      <c r="B125" s="34" t="str">
        <f>_xlfn.XLOOKUP(C125,'[1]SIG Job Families &amp; Descriptions'!F:F,'[1]SIG Job Families &amp; Descriptions'!D:D)</f>
        <v>Real Estate and Facility Management</v>
      </c>
      <c r="C125" s="34" t="s">
        <v>64</v>
      </c>
      <c r="D125" s="30" t="str">
        <f t="shared" si="2"/>
        <v>ARE</v>
      </c>
      <c r="E125" s="31" t="str">
        <f>_xlfn.XLOOKUP(C125,'[1]SIG Job Families &amp; Descriptions'!F:F,'[1]SIG Job Families &amp; Descriptions'!A:A)</f>
        <v>ARE020</v>
      </c>
      <c r="F125" s="32" t="s">
        <v>50</v>
      </c>
      <c r="G125" s="33" t="s">
        <v>54</v>
      </c>
      <c r="H125" s="34" t="str">
        <f>F125&amp;"-"&amp;G125</f>
        <v>Operations-05</v>
      </c>
      <c r="I125" s="35" t="str">
        <f>IF(ISERROR(_xlfn.XLOOKUP(H125,'[1]SIG Level Structure'!D:D,'[1]SIG Level Structure'!D:D)),"0","1")</f>
        <v>1</v>
      </c>
      <c r="J125" s="36" t="str">
        <f>_xlfn.XLOOKUP($H125,'[1]SIG Level Structure'!$D:$D,'[1]SIG Level Structure'!F:F)</f>
        <v>W2</v>
      </c>
      <c r="K125" s="37" t="str">
        <f>E125&amp;"-"&amp;J125&amp;"-"&amp;G125</f>
        <v>ARE020-W2-05</v>
      </c>
      <c r="L125" s="37" t="str">
        <f>IFERROR(D125&amp;"-"&amp;LEFT(J125,1),"--")</f>
        <v>ARE-W</v>
      </c>
      <c r="M125" s="37" t="e">
        <f>VLOOKUP(L125,'[1]Compatible JC'!$A:$A,1,FALSE)</f>
        <v>#N/A</v>
      </c>
      <c r="N125" s="37" t="str">
        <f>IFERROR(_xlfn.XLOOKUP(H125,'[1]SIG Level Structure'!D:D,'[1]SIG Level Structure'!C:C),"--")</f>
        <v>Operator</v>
      </c>
      <c r="O125" s="38" t="str">
        <f>IFERROR(TRIM(N125&amp;" "&amp;C125),"--")</f>
        <v>Operator Facility Management</v>
      </c>
      <c r="P125" s="22" t="str">
        <f>_xlfn.XLOOKUP(E125,'[1]SIG Job Families &amp; Descriptions'!A:A,'[1]SIG Job Families &amp; Descriptions'!G:G)</f>
        <v xml:space="preserve">Plans, controls and directs real estate activities; identifies, acquires or leases land and buildings for the organization's operations. May negotiate right-of-way easements. Ensures the optimal utilization of the organization's facilities. Disposes of facilities that are no longer required by the organization. </v>
      </c>
      <c r="Q125" s="39" t="str">
        <f>_xlfn.XLOOKUP(E125,'[1]2022 GI Position Descriptions'!E:E,'[1]2022 GI Position Descriptions'!G:G)</f>
        <v>Ensures the optimal utilization of the organization's facilities | Assesses and evaluates the physical space requirements of the organization and recommends plans to meet needs | Ensures proper functioning of facilities through ongoing inspection and maintenance</v>
      </c>
      <c r="R125" s="22" t="str">
        <f>IF(LEFT(J125,1)="E","EX",LEFT(J125,1))</f>
        <v>W</v>
      </c>
      <c r="S125" s="22" t="str">
        <f>_xlfn.XLOOKUP($R125,'[1]Career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125" s="22" t="str">
        <f>J125</f>
        <v>W2</v>
      </c>
      <c r="U125" s="40" t="str">
        <f t="shared" si="3"/>
        <v>W2</v>
      </c>
      <c r="V125" s="22" t="str">
        <f>_xlfn.XLOOKUP(T125,'[1]Career Bands &amp; Levels'!A:A,'[1]Career Bands &amp; Levels'!C:C)</f>
        <v xml:space="preserve">●	Has skills developed through formal training or work experience		
●	Works within established procedures and guidelines with limited ability to modify methods and approach		
●	Completes assigned tasks with a moderate degree of supervision		</v>
      </c>
      <c r="W125" s="41" t="str">
        <f>J125&amp;"-"&amp;G125</f>
        <v>W2-05</v>
      </c>
      <c r="X125" s="42" t="str">
        <f>G125</f>
        <v>05</v>
      </c>
      <c r="Y125" s="22" t="str">
        <f>_xlfn.XLOOKUP(W125,'[1]Career Bands &amp; Levels'!A:A,'[1]Career Bands &amp; Levels'!C:C,"No Grade Differentiator")</f>
        <v xml:space="preserve">●	Performs the full range of established procedures, and will typically be considered skilled through work experience		
●	Resolves routine issues without supervisory approval		</v>
      </c>
      <c r="Z125" s="43" t="str">
        <f>IFERROR(O125&amp;" - "&amp;G125,"--")</f>
        <v>Operator Facility Management - 05</v>
      </c>
      <c r="AA125" s="44" t="str">
        <f>_xlfn.XLOOKUP($H125,'[1]SIG Qualifications Input'!$D:$D,'[1]SIG Qualifications Input'!$H:$H)</f>
        <v>Vocational training in e.g. manual or technical  field or equivalent work experience. 0-4 years of experience</v>
      </c>
    </row>
    <row r="126" spans="1:27" ht="197" thickBot="1" x14ac:dyDescent="0.2">
      <c r="A126" s="34" t="str">
        <f>_xlfn.XLOOKUP(C126,'[1]SIG Job Families &amp; Descriptions'!F:F,'[1]SIG Job Families &amp; Descriptions'!B:B)</f>
        <v>Facility &amp; Administrative Services</v>
      </c>
      <c r="B126" s="34" t="str">
        <f>_xlfn.XLOOKUP(C126,'[1]SIG Job Families &amp; Descriptions'!F:F,'[1]SIG Job Families &amp; Descriptions'!D:D)</f>
        <v>Administrative Services</v>
      </c>
      <c r="C126" s="34" t="s">
        <v>62</v>
      </c>
      <c r="D126" s="30" t="str">
        <f t="shared" si="2"/>
        <v>AAS</v>
      </c>
      <c r="E126" s="31" t="str">
        <f>_xlfn.XLOOKUP(C126,'[1]SIG Job Families &amp; Descriptions'!F:F,'[1]SIG Job Families &amp; Descriptions'!A:A)</f>
        <v>AAS000</v>
      </c>
      <c r="F126" s="32" t="s">
        <v>29</v>
      </c>
      <c r="G126" s="33" t="s">
        <v>35</v>
      </c>
      <c r="H126" s="34" t="str">
        <f>F126&amp;"-"&amp;G126</f>
        <v>Management-11</v>
      </c>
      <c r="I126" s="35" t="str">
        <f>IF(ISERROR(_xlfn.XLOOKUP(H126,'[1]SIG Level Structure'!D:D,'[1]SIG Level Structure'!D:D)),"0","1")</f>
        <v>1</v>
      </c>
      <c r="J126" s="36" t="str">
        <f>_xlfn.XLOOKUP($H126,'[1]SIG Level Structure'!$D:$D,'[1]SIG Level Structure'!F:F)</f>
        <v>M1</v>
      </c>
      <c r="K126" s="37" t="str">
        <f>E126&amp;"-"&amp;J126&amp;"-"&amp;G126</f>
        <v>AAS000-M1-11</v>
      </c>
      <c r="L126" s="37" t="str">
        <f>IFERROR(D126&amp;"-"&amp;LEFT(J126,1),"--")</f>
        <v>AAS-M</v>
      </c>
      <c r="M126" s="37" t="str">
        <f>VLOOKUP(L126,'[1]Compatible JC'!$A:$A,1,FALSE)</f>
        <v>AAS-M</v>
      </c>
      <c r="N126" s="37" t="str">
        <f>IFERROR(_xlfn.XLOOKUP(H126,'[1]SIG Level Structure'!D:D,'[1]SIG Level Structure'!C:C),"--")</f>
        <v>Supervisor</v>
      </c>
      <c r="O126" s="38" t="str">
        <f>IFERROR(TRIM(N126&amp;" "&amp;C126),"--")</f>
        <v>Supervisor Administrative Services</v>
      </c>
      <c r="P126" s="22" t="str">
        <f>_xlfn.XLOOKUP(E126,'[1]SIG Job Families &amp; Descriptions'!A:A,'[1]SIG Job Families &amp; Descriptions'!G:G)</f>
        <v>Provides administrative support to employees or groups in the organization. Uses business software applications (e.g., word processing, presentation and spreadsheet) to prepare correspondence, reports, presentations, agendas, minutes, etc.. Receives, screens and directs incoming calls, visitors, mail and email. Maintains files, records, calendars and diaries. May arrange business travel, coordinate meeting arrangements, and/or track expenses. Embraces activities in the field of secretarial and administrative support, or e.g.  reception or catering. Include roles that supports general business operations by providing various transportation and related support activities.</v>
      </c>
      <c r="Q126" s="39" t="str">
        <f>_xlfn.XLOOKUP(E126,'[1]2022 GI Position Descriptions'!E:E,'[1]2022 GI Position Descriptions'!G:G)</f>
        <v>Supports general business operations by providing various administrative support activities as a generalist or in a combination of Disciplines in the Administrative Services Function</v>
      </c>
      <c r="R126" s="22" t="str">
        <f>IF(LEFT(J126,1)="E","EX",LEFT(J126,1))</f>
        <v>M</v>
      </c>
      <c r="S126" s="22" t="str">
        <f>_xlfn.XLOOKUP($R126,'[1]Career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126" s="22" t="str">
        <f>J126</f>
        <v>M1</v>
      </c>
      <c r="U126" s="40" t="str">
        <f t="shared" si="3"/>
        <v>M1</v>
      </c>
      <c r="V126" s="22" t="str">
        <f>_xlfn.XLOOKUP(T126,'[1]Career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126" s="41" t="str">
        <f>J126&amp;"-"&amp;G126</f>
        <v>M1-11</v>
      </c>
      <c r="X126" s="42" t="str">
        <f>G126</f>
        <v>11</v>
      </c>
      <c r="Y126" s="22" t="str">
        <f>_xlfn.XLOOKUP(W126,'[1]Career Bands &amp; Levels'!A:A,'[1]Career Bands &amp; Levels'!C:C,"No Grade Differentiator")</f>
        <v xml:space="preserve">●	Accountable for the results of a large and/or moderately complex support or production operations team including subordinate work leaders		
●	Applies acquired expertise to analyze and solve problems without clear precedent		
●	Provides input on resource planning and policy development		
●	Coaches team members on performance, completes employee performance evaluations and recommends pay actions		</v>
      </c>
      <c r="Z126" s="43" t="str">
        <f>IFERROR(O126&amp;" - "&amp;G126,"--")</f>
        <v>Supervisor Administrative Services - 11</v>
      </c>
      <c r="AA126" s="44" t="str">
        <f>_xlfn.XLOOKUP($H126,'[1]SIG Qualifications Input'!$D:$D,'[1]SIG Qualifications Input'!$H:$H)</f>
        <v>University degree or equivalent and 5-7 years of work experience or equivalent
Experienced in application of management techniques
Experience in operationally managing a mixed-level team</v>
      </c>
    </row>
    <row r="127" spans="1:27" ht="197" thickBot="1" x14ac:dyDescent="0.2">
      <c r="A127" s="34" t="str">
        <f>_xlfn.XLOOKUP(C127,'[1]SIG Job Families &amp; Descriptions'!F:F,'[1]SIG Job Families &amp; Descriptions'!B:B)</f>
        <v>Facility &amp; Administrative Services</v>
      </c>
      <c r="B127" s="34" t="str">
        <f>_xlfn.XLOOKUP(C127,'[1]SIG Job Families &amp; Descriptions'!F:F,'[1]SIG Job Families &amp; Descriptions'!D:D)</f>
        <v>Administrative Services</v>
      </c>
      <c r="C127" s="34" t="s">
        <v>62</v>
      </c>
      <c r="D127" s="30" t="str">
        <f t="shared" si="2"/>
        <v>AAS</v>
      </c>
      <c r="E127" s="31" t="str">
        <f>_xlfn.XLOOKUP(C127,'[1]SIG Job Families &amp; Descriptions'!F:F,'[1]SIG Job Families &amp; Descriptions'!A:A)</f>
        <v>AAS000</v>
      </c>
      <c r="F127" s="32" t="s">
        <v>29</v>
      </c>
      <c r="G127" s="33" t="s">
        <v>36</v>
      </c>
      <c r="H127" s="34" t="str">
        <f>F127&amp;"-"&amp;G127</f>
        <v>Management-10</v>
      </c>
      <c r="I127" s="35" t="str">
        <f>IF(ISERROR(_xlfn.XLOOKUP(H127,'[1]SIG Level Structure'!D:D,'[1]SIG Level Structure'!D:D)),"0","1")</f>
        <v>1</v>
      </c>
      <c r="J127" s="36" t="str">
        <f>_xlfn.XLOOKUP($H127,'[1]SIG Level Structure'!$D:$D,'[1]SIG Level Structure'!F:F)</f>
        <v>M1</v>
      </c>
      <c r="K127" s="37" t="str">
        <f>E127&amp;"-"&amp;J127&amp;"-"&amp;G127</f>
        <v>AAS000-M1-10</v>
      </c>
      <c r="L127" s="37" t="str">
        <f>IFERROR(D127&amp;"-"&amp;LEFT(J127,1),"--")</f>
        <v>AAS-M</v>
      </c>
      <c r="M127" s="37" t="str">
        <f>VLOOKUP(L127,'[1]Compatible JC'!$A:$A,1,FALSE)</f>
        <v>AAS-M</v>
      </c>
      <c r="N127" s="37" t="str">
        <f>IFERROR(_xlfn.XLOOKUP(H127,'[1]SIG Level Structure'!D:D,'[1]SIG Level Structure'!C:C),"--")</f>
        <v>Supervisor</v>
      </c>
      <c r="O127" s="38" t="str">
        <f>IFERROR(TRIM(N127&amp;" "&amp;C127),"--")</f>
        <v>Supervisor Administrative Services</v>
      </c>
      <c r="P127" s="22" t="str">
        <f>_xlfn.XLOOKUP(E127,'[1]SIG Job Families &amp; Descriptions'!A:A,'[1]SIG Job Families &amp; Descriptions'!G:G)</f>
        <v>Provides administrative support to employees or groups in the organization. Uses business software applications (e.g., word processing, presentation and spreadsheet) to prepare correspondence, reports, presentations, agendas, minutes, etc.. Receives, screens and directs incoming calls, visitors, mail and email. Maintains files, records, calendars and diaries. May arrange business travel, coordinate meeting arrangements, and/or track expenses. Embraces activities in the field of secretarial and administrative support, or e.g.  reception or catering. Include roles that supports general business operations by providing various transportation and related support activities.</v>
      </c>
      <c r="Q127" s="39" t="str">
        <f>_xlfn.XLOOKUP(E127,'[1]2022 GI Position Descriptions'!E:E,'[1]2022 GI Position Descriptions'!G:G)</f>
        <v>Supports general business operations by providing various administrative support activities as a generalist or in a combination of Disciplines in the Administrative Services Function</v>
      </c>
      <c r="R127" s="22" t="str">
        <f>IF(LEFT(J127,1)="E","EX",LEFT(J127,1))</f>
        <v>M</v>
      </c>
      <c r="S127" s="22" t="str">
        <f>_xlfn.XLOOKUP($R127,'[1]Career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127" s="22" t="str">
        <f>J127</f>
        <v>M1</v>
      </c>
      <c r="U127" s="40" t="str">
        <f t="shared" si="3"/>
        <v>M1</v>
      </c>
      <c r="V127" s="22" t="str">
        <f>_xlfn.XLOOKUP(T127,'[1]Career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127" s="41" t="str">
        <f>J127&amp;"-"&amp;G127</f>
        <v>M1-10</v>
      </c>
      <c r="X127" s="42" t="str">
        <f>G127</f>
        <v>10</v>
      </c>
      <c r="Y127" s="22" t="str">
        <f>_xlfn.XLOOKUP(W127,'[1]Career Bands &amp; Levels'!A:A,'[1]Career Bands &amp; Levels'!C:C,"No Grade Differentiator")</f>
        <v xml:space="preserve">●	Accountable for the results of medium-sized routine support or production operations teams		
●	Solves problems based on practice and precedent		
●	Trains team members and provides input to employee performance evaluations		</v>
      </c>
      <c r="Z127" s="43" t="str">
        <f>IFERROR(O127&amp;" - "&amp;G127,"--")</f>
        <v>Supervisor Administrative Services - 10</v>
      </c>
      <c r="AA127" s="44" t="str">
        <f>_xlfn.XLOOKUP($H127,'[1]SIG Qualifications Input'!$D:$D,'[1]SIG Qualifications Input'!$H:$H)</f>
        <v>University degree or equivalent and 5-7 years of work experience or equivalent
Experienced in application of management techniques
Experience in operationally managing a mixed-level team</v>
      </c>
    </row>
    <row r="128" spans="1:27" ht="197" thickBot="1" x14ac:dyDescent="0.2">
      <c r="A128" s="34" t="str">
        <f>_xlfn.XLOOKUP(C128,'[1]SIG Job Families &amp; Descriptions'!F:F,'[1]SIG Job Families &amp; Descriptions'!B:B)</f>
        <v>Facility &amp; Administrative Services</v>
      </c>
      <c r="B128" s="34" t="str">
        <f>_xlfn.XLOOKUP(C128,'[1]SIG Job Families &amp; Descriptions'!F:F,'[1]SIG Job Families &amp; Descriptions'!D:D)</f>
        <v>Administrative Services</v>
      </c>
      <c r="C128" s="34" t="s">
        <v>62</v>
      </c>
      <c r="D128" s="30" t="str">
        <f t="shared" si="2"/>
        <v>AAS</v>
      </c>
      <c r="E128" s="31" t="str">
        <f>_xlfn.XLOOKUP(C128,'[1]SIG Job Families &amp; Descriptions'!F:F,'[1]SIG Job Families &amp; Descriptions'!A:A)</f>
        <v>AAS000</v>
      </c>
      <c r="F128" s="32" t="s">
        <v>32</v>
      </c>
      <c r="G128" s="33" t="s">
        <v>36</v>
      </c>
      <c r="H128" s="34" t="str">
        <f>F128&amp;"-"&amp;G128</f>
        <v>Professional-10</v>
      </c>
      <c r="I128" s="35" t="str">
        <f>IF(ISERROR(_xlfn.XLOOKUP(H128,'[1]SIG Level Structure'!D:D,'[1]SIG Level Structure'!D:D)),"0","1")</f>
        <v>1</v>
      </c>
      <c r="J128" s="36" t="str">
        <f>_xlfn.XLOOKUP($H128,'[1]SIG Level Structure'!$D:$D,'[1]SIG Level Structure'!F:F)</f>
        <v>P2</v>
      </c>
      <c r="K128" s="37" t="str">
        <f>E128&amp;"-"&amp;J128&amp;"-"&amp;G128</f>
        <v>AAS000-P2-10</v>
      </c>
      <c r="L128" s="37" t="str">
        <f>IFERROR(D128&amp;"-"&amp;LEFT(J128,1),"--")</f>
        <v>AAS-P</v>
      </c>
      <c r="M128" s="37" t="str">
        <f>VLOOKUP(L128,'[1]Compatible JC'!$A:$A,1,FALSE)</f>
        <v>AAS-P</v>
      </c>
      <c r="N128" s="37" t="str">
        <f>IFERROR(_xlfn.XLOOKUP(H128,'[1]SIG Level Structure'!D:D,'[1]SIG Level Structure'!C:C),"--")</f>
        <v>Senior Specialist</v>
      </c>
      <c r="O128" s="38" t="str">
        <f>IFERROR(TRIM(N128&amp;" "&amp;C128),"--")</f>
        <v>Senior Specialist Administrative Services</v>
      </c>
      <c r="P128" s="22" t="str">
        <f>_xlfn.XLOOKUP(E128,'[1]SIG Job Families &amp; Descriptions'!A:A,'[1]SIG Job Families &amp; Descriptions'!G:G)</f>
        <v>Provides administrative support to employees or groups in the organization. Uses business software applications (e.g., word processing, presentation and spreadsheet) to prepare correspondence, reports, presentations, agendas, minutes, etc.. Receives, screens and directs incoming calls, visitors, mail and email. Maintains files, records, calendars and diaries. May arrange business travel, coordinate meeting arrangements, and/or track expenses. Embraces activities in the field of secretarial and administrative support, or e.g.  reception or catering. Include roles that supports general business operations by providing various transportation and related support activities.</v>
      </c>
      <c r="Q128" s="39" t="str">
        <f>_xlfn.XLOOKUP(E128,'[1]2022 GI Position Descriptions'!E:E,'[1]2022 GI Position Descriptions'!G:G)</f>
        <v>Supports general business operations by providing various administrative support activities as a generalist or in a combination of Disciplines in the Administrative Services Function</v>
      </c>
      <c r="R128" s="22" t="str">
        <f>IF(LEFT(J128,1)="E","EX",LEFT(J128,1))</f>
        <v>P</v>
      </c>
      <c r="S128" s="22" t="str">
        <f>_xlfn.XLOOKUP($R128,'[1]Career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28" s="22" t="str">
        <f>J128</f>
        <v>P2</v>
      </c>
      <c r="U128" s="40" t="str">
        <f t="shared" si="3"/>
        <v>P2</v>
      </c>
      <c r="V128" s="22" t="str">
        <f>_xlfn.XLOOKUP(T128,'[1]Career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128" s="41" t="str">
        <f>J128&amp;"-"&amp;G128</f>
        <v>P2-10</v>
      </c>
      <c r="X128" s="42" t="str">
        <f>G128</f>
        <v>10</v>
      </c>
      <c r="Y128" s="22" t="str">
        <f>_xlfn.XLOOKUP(W128,'[1]Career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128" s="43" t="str">
        <f>IFERROR(O128&amp;" - "&amp;G128,"--")</f>
        <v>Senior Specialist Administrative Services - 10</v>
      </c>
      <c r="AA128" s="44" t="str">
        <f>_xlfn.XLOOKUP($H128,'[1]SIG Qualifications Input'!$D:$D,'[1]SIG Qualifications Input'!$H:$H)</f>
        <v>University degree or equivalent and 2-4 years of work experience or equivalent</v>
      </c>
    </row>
    <row r="129" spans="1:27" ht="197" thickBot="1" x14ac:dyDescent="0.2">
      <c r="A129" s="34" t="str">
        <f>_xlfn.XLOOKUP(C129,'[1]SIG Job Families &amp; Descriptions'!F:F,'[1]SIG Job Families &amp; Descriptions'!B:B)</f>
        <v>Facility &amp; Administrative Services</v>
      </c>
      <c r="B129" s="34" t="str">
        <f>_xlfn.XLOOKUP(C129,'[1]SIG Job Families &amp; Descriptions'!F:F,'[1]SIG Job Families &amp; Descriptions'!D:D)</f>
        <v>Administrative Services</v>
      </c>
      <c r="C129" s="34" t="s">
        <v>62</v>
      </c>
      <c r="D129" s="30" t="str">
        <f t="shared" si="2"/>
        <v>AAS</v>
      </c>
      <c r="E129" s="31" t="str">
        <f>_xlfn.XLOOKUP(C129,'[1]SIG Job Families &amp; Descriptions'!F:F,'[1]SIG Job Families &amp; Descriptions'!A:A)</f>
        <v>AAS000</v>
      </c>
      <c r="F129" s="32" t="s">
        <v>32</v>
      </c>
      <c r="G129" s="33" t="s">
        <v>37</v>
      </c>
      <c r="H129" s="34" t="str">
        <f>F129&amp;"-"&amp;G129</f>
        <v>Professional-09</v>
      </c>
      <c r="I129" s="35" t="str">
        <f>IF(ISERROR(_xlfn.XLOOKUP(H129,'[1]SIG Level Structure'!D:D,'[1]SIG Level Structure'!D:D)),"0","1")</f>
        <v>1</v>
      </c>
      <c r="J129" s="36" t="str">
        <f>_xlfn.XLOOKUP($H129,'[1]SIG Level Structure'!$D:$D,'[1]SIG Level Structure'!F:F)</f>
        <v>P2</v>
      </c>
      <c r="K129" s="37" t="str">
        <f>E129&amp;"-"&amp;J129&amp;"-"&amp;G129</f>
        <v>AAS000-P2-09</v>
      </c>
      <c r="L129" s="37" t="str">
        <f>IFERROR(D129&amp;"-"&amp;LEFT(J129,1),"--")</f>
        <v>AAS-P</v>
      </c>
      <c r="M129" s="37" t="str">
        <f>VLOOKUP(L129,'[1]Compatible JC'!$A:$A,1,FALSE)</f>
        <v>AAS-P</v>
      </c>
      <c r="N129" s="37" t="str">
        <f>IFERROR(_xlfn.XLOOKUP(H129,'[1]SIG Level Structure'!D:D,'[1]SIG Level Structure'!C:C),"--")</f>
        <v>Senior Specialist</v>
      </c>
      <c r="O129" s="38" t="str">
        <f>IFERROR(TRIM(N129&amp;" "&amp;C129),"--")</f>
        <v>Senior Specialist Administrative Services</v>
      </c>
      <c r="P129" s="22" t="str">
        <f>_xlfn.XLOOKUP(E129,'[1]SIG Job Families &amp; Descriptions'!A:A,'[1]SIG Job Families &amp; Descriptions'!G:G)</f>
        <v>Provides administrative support to employees or groups in the organization. Uses business software applications (e.g., word processing, presentation and spreadsheet) to prepare correspondence, reports, presentations, agendas, minutes, etc.. Receives, screens and directs incoming calls, visitors, mail and email. Maintains files, records, calendars and diaries. May arrange business travel, coordinate meeting arrangements, and/or track expenses. Embraces activities in the field of secretarial and administrative support, or e.g.  reception or catering. Include roles that supports general business operations by providing various transportation and related support activities.</v>
      </c>
      <c r="Q129" s="39" t="str">
        <f>_xlfn.XLOOKUP(E129,'[1]2022 GI Position Descriptions'!E:E,'[1]2022 GI Position Descriptions'!G:G)</f>
        <v>Supports general business operations by providing various administrative support activities as a generalist or in a combination of Disciplines in the Administrative Services Function</v>
      </c>
      <c r="R129" s="22" t="str">
        <f>IF(LEFT(J129,1)="E","EX",LEFT(J129,1))</f>
        <v>P</v>
      </c>
      <c r="S129" s="22" t="str">
        <f>_xlfn.XLOOKUP($R129,'[1]Career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29" s="22" t="str">
        <f>J129</f>
        <v>P2</v>
      </c>
      <c r="U129" s="40" t="str">
        <f t="shared" si="3"/>
        <v>P2</v>
      </c>
      <c r="V129" s="22" t="str">
        <f>_xlfn.XLOOKUP(T129,'[1]Career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129" s="41" t="str">
        <f>J129&amp;"-"&amp;G129</f>
        <v>P2-09</v>
      </c>
      <c r="X129" s="42" t="str">
        <f>G129</f>
        <v>09</v>
      </c>
      <c r="Y129" s="22" t="str">
        <f>_xlfn.XLOOKUP(W129,'[1]Career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129" s="43" t="str">
        <f>IFERROR(O129&amp;" - "&amp;G129,"--")</f>
        <v>Senior Specialist Administrative Services - 09</v>
      </c>
      <c r="AA129" s="44" t="str">
        <f>_xlfn.XLOOKUP($H129,'[1]SIG Qualifications Input'!$D:$D,'[1]SIG Qualifications Input'!$H:$H)</f>
        <v>University degree or equivalent and 2-4 years of work experience or equivalent</v>
      </c>
    </row>
    <row r="130" spans="1:27" ht="197" thickBot="1" x14ac:dyDescent="0.2">
      <c r="A130" s="34" t="str">
        <f>_xlfn.XLOOKUP(C130,'[1]SIG Job Families &amp; Descriptions'!F:F,'[1]SIG Job Families &amp; Descriptions'!B:B)</f>
        <v>Facility &amp; Administrative Services</v>
      </c>
      <c r="B130" s="34" t="str">
        <f>_xlfn.XLOOKUP(C130,'[1]SIG Job Families &amp; Descriptions'!F:F,'[1]SIG Job Families &amp; Descriptions'!D:D)</f>
        <v>Administrative Services</v>
      </c>
      <c r="C130" s="34" t="s">
        <v>62</v>
      </c>
      <c r="D130" s="30" t="str">
        <f t="shared" si="2"/>
        <v>AAS</v>
      </c>
      <c r="E130" s="31" t="str">
        <f>_xlfn.XLOOKUP(C130,'[1]SIG Job Families &amp; Descriptions'!F:F,'[1]SIG Job Families &amp; Descriptions'!A:A)</f>
        <v>AAS000</v>
      </c>
      <c r="F130" s="32" t="s">
        <v>32</v>
      </c>
      <c r="G130" s="33" t="s">
        <v>43</v>
      </c>
      <c r="H130" s="34" t="str">
        <f>F130&amp;"-"&amp;G130</f>
        <v>Professional-08</v>
      </c>
      <c r="I130" s="35" t="str">
        <f>IF(ISERROR(_xlfn.XLOOKUP(H130,'[1]SIG Level Structure'!D:D,'[1]SIG Level Structure'!D:D)),"0","1")</f>
        <v>1</v>
      </c>
      <c r="J130" s="36" t="str">
        <f>_xlfn.XLOOKUP($H130,'[1]SIG Level Structure'!$D:$D,'[1]SIG Level Structure'!F:F)</f>
        <v>P1</v>
      </c>
      <c r="K130" s="37" t="str">
        <f>E130&amp;"-"&amp;J130&amp;"-"&amp;G130</f>
        <v>AAS000-P1-08</v>
      </c>
      <c r="L130" s="37" t="str">
        <f>IFERROR(D130&amp;"-"&amp;LEFT(J130,1),"--")</f>
        <v>AAS-P</v>
      </c>
      <c r="M130" s="37" t="str">
        <f>VLOOKUP(L130,'[1]Compatible JC'!$A:$A,1,FALSE)</f>
        <v>AAS-P</v>
      </c>
      <c r="N130" s="37" t="str">
        <f>IFERROR(_xlfn.XLOOKUP(H130,'[1]SIG Level Structure'!D:D,'[1]SIG Level Structure'!C:C),"--")</f>
        <v>Specialist</v>
      </c>
      <c r="O130" s="38" t="str">
        <f>IFERROR(TRIM(N130&amp;" "&amp;C130),"--")</f>
        <v>Specialist Administrative Services</v>
      </c>
      <c r="P130" s="22" t="str">
        <f>_xlfn.XLOOKUP(E130,'[1]SIG Job Families &amp; Descriptions'!A:A,'[1]SIG Job Families &amp; Descriptions'!G:G)</f>
        <v>Provides administrative support to employees or groups in the organization. Uses business software applications (e.g., word processing, presentation and spreadsheet) to prepare correspondence, reports, presentations, agendas, minutes, etc.. Receives, screens and directs incoming calls, visitors, mail and email. Maintains files, records, calendars and diaries. May arrange business travel, coordinate meeting arrangements, and/or track expenses. Embraces activities in the field of secretarial and administrative support, or e.g.  reception or catering. Include roles that supports general business operations by providing various transportation and related support activities.</v>
      </c>
      <c r="Q130" s="39" t="str">
        <f>_xlfn.XLOOKUP(E130,'[1]2022 GI Position Descriptions'!E:E,'[1]2022 GI Position Descriptions'!G:G)</f>
        <v>Supports general business operations by providing various administrative support activities as a generalist or in a combination of Disciplines in the Administrative Services Function</v>
      </c>
      <c r="R130" s="22" t="str">
        <f>IF(LEFT(J130,1)="E","EX",LEFT(J130,1))</f>
        <v>P</v>
      </c>
      <c r="S130" s="22" t="str">
        <f>_xlfn.XLOOKUP($R130,'[1]Career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30" s="22" t="str">
        <f>J130</f>
        <v>P1</v>
      </c>
      <c r="U130" s="40" t="str">
        <f t="shared" si="3"/>
        <v>P1</v>
      </c>
      <c r="V130" s="22" t="str">
        <f>_xlfn.XLOOKUP(T130,'[1]Career Bands &amp; Levels'!A:A,'[1]Career Bands &amp; Levels'!C:C)</f>
        <v xml:space="preserve">●	Performs routine assignments in the entry level of the Professional Career Band		
●	Typically requires a college or university degree or the equivalent work experience and has conceptual knowledge of fundamental theories, principles and practices 		
●	Has no discretion to vary from established procedures by performing structured work assignments		
●	Uses existing procedures to solve routine or standard problems		
●	Receives instruction, guidance and direction from more senior level roles		</v>
      </c>
      <c r="W130" s="41" t="str">
        <f>J130&amp;"-"&amp;G130</f>
        <v>P1-08</v>
      </c>
      <c r="X130" s="42" t="str">
        <f>G130</f>
        <v>08</v>
      </c>
      <c r="Y130" s="22" t="str">
        <f>_xlfn.XLOOKUP(W130,'[1]Career Bands &amp; Levels'!A:A,'[1]Career Bands &amp; Levels'!C:C,"No Grade Differentiator")</f>
        <v>No Grade Differentiator</v>
      </c>
      <c r="Z130" s="43" t="str">
        <f>IFERROR(O130&amp;" - "&amp;G130,"--")</f>
        <v>Specialist Administrative Services - 08</v>
      </c>
      <c r="AA130" s="44" t="str">
        <f>_xlfn.XLOOKUP($H130,'[1]SIG Qualifications Input'!$D:$D,'[1]SIG Qualifications Input'!$H:$H)</f>
        <v>University degree or equivalent and 0-1 year of work experience or equivalent</v>
      </c>
    </row>
    <row r="131" spans="1:27" ht="197" thickBot="1" x14ac:dyDescent="0.2">
      <c r="A131" s="34" t="str">
        <f>_xlfn.XLOOKUP(C131,'[1]SIG Job Families &amp; Descriptions'!F:F,'[1]SIG Job Families &amp; Descriptions'!B:B)</f>
        <v>Facility &amp; Administrative Services</v>
      </c>
      <c r="B131" s="34" t="str">
        <f>_xlfn.XLOOKUP(C131,'[1]SIG Job Families &amp; Descriptions'!F:F,'[1]SIG Job Families &amp; Descriptions'!D:D)</f>
        <v>Administrative Services</v>
      </c>
      <c r="C131" s="34" t="s">
        <v>62</v>
      </c>
      <c r="D131" s="30" t="str">
        <f t="shared" ref="D131:D194" si="4">LEFT(E131,3)</f>
        <v>AAS</v>
      </c>
      <c r="E131" s="31" t="str">
        <f>_xlfn.XLOOKUP(C131,'[1]SIG Job Families &amp; Descriptions'!F:F,'[1]SIG Job Families &amp; Descriptions'!A:A)</f>
        <v>AAS000</v>
      </c>
      <c r="F131" s="32" t="s">
        <v>50</v>
      </c>
      <c r="G131" s="33" t="s">
        <v>53</v>
      </c>
      <c r="H131" s="34" t="str">
        <f>F131&amp;"-"&amp;G131</f>
        <v>Operations-06</v>
      </c>
      <c r="I131" s="35" t="str">
        <f>IF(ISERROR(_xlfn.XLOOKUP(H131,'[1]SIG Level Structure'!D:D,'[1]SIG Level Structure'!D:D)),"0","1")</f>
        <v>1</v>
      </c>
      <c r="J131" s="36" t="str">
        <f>_xlfn.XLOOKUP($H131,'[1]SIG Level Structure'!$D:$D,'[1]SIG Level Structure'!F:F)</f>
        <v>W3</v>
      </c>
      <c r="K131" s="37" t="str">
        <f>E131&amp;"-"&amp;J131&amp;"-"&amp;G131</f>
        <v>AAS000-W3-06</v>
      </c>
      <c r="L131" s="37" t="str">
        <f>IFERROR(D131&amp;"-"&amp;LEFT(J131,1),"--")</f>
        <v>AAS-W</v>
      </c>
      <c r="M131" s="37" t="e">
        <f>VLOOKUP(L131,'[1]Compatible JC'!$A:$A,1,FALSE)</f>
        <v>#N/A</v>
      </c>
      <c r="N131" s="37" t="str">
        <f>IFERROR(_xlfn.XLOOKUP(H131,'[1]SIG Level Structure'!D:D,'[1]SIG Level Structure'!C:C),"--")</f>
        <v>Operator</v>
      </c>
      <c r="O131" s="38" t="str">
        <f>IFERROR(TRIM(N131&amp;" "&amp;C131),"--")</f>
        <v>Operator Administrative Services</v>
      </c>
      <c r="P131" s="22" t="str">
        <f>_xlfn.XLOOKUP(E131,'[1]SIG Job Families &amp; Descriptions'!A:A,'[1]SIG Job Families &amp; Descriptions'!G:G)</f>
        <v>Provides administrative support to employees or groups in the organization. Uses business software applications (e.g., word processing, presentation and spreadsheet) to prepare correspondence, reports, presentations, agendas, minutes, etc.. Receives, screens and directs incoming calls, visitors, mail and email. Maintains files, records, calendars and diaries. May arrange business travel, coordinate meeting arrangements, and/or track expenses. Embraces activities in the field of secretarial and administrative support, or e.g.  reception or catering. Include roles that supports general business operations by providing various transportation and related support activities.</v>
      </c>
      <c r="Q131" s="39" t="str">
        <f>_xlfn.XLOOKUP(E131,'[1]2022 GI Position Descriptions'!E:E,'[1]2022 GI Position Descriptions'!G:G)</f>
        <v>Supports general business operations by providing various administrative support activities as a generalist or in a combination of Disciplines in the Administrative Services Function</v>
      </c>
      <c r="R131" s="22" t="str">
        <f>IF(LEFT(J131,1)="E","EX",LEFT(J131,1))</f>
        <v>W</v>
      </c>
      <c r="S131" s="22" t="str">
        <f>_xlfn.XLOOKUP($R131,'[1]Career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131" s="22" t="str">
        <f>J131</f>
        <v>W3</v>
      </c>
      <c r="U131" s="40" t="str">
        <f t="shared" ref="U131:U194" si="5">T131</f>
        <v>W3</v>
      </c>
      <c r="V131" s="22" t="str">
        <f>_xlfn.XLOOKUP(T131,'[1]Career Bands &amp; Levels'!A:A,'[1]Career Bands &amp; Levels'!C:C)</f>
        <v xml:space="preserve">●	Has proficiency through job-related training and considerable work experience		
●	Completes work with a limited degree of supervision; regularly provides guidance to others with less experience		
●	May act as an informal resource for colleagues with less experience		</v>
      </c>
      <c r="W131" s="41" t="str">
        <f>J131&amp;"-"&amp;G131</f>
        <v>W3-06</v>
      </c>
      <c r="X131" s="42" t="str">
        <f>G131</f>
        <v>06</v>
      </c>
      <c r="Y131" s="22" t="str">
        <f>_xlfn.XLOOKUP(W131,'[1]Career Bands &amp; Levels'!A:A,'[1]Career Bands &amp; Levels'!C:C,"No Grade Differentiator")</f>
        <v>No Grade Differentiator</v>
      </c>
      <c r="Z131" s="43" t="str">
        <f>IFERROR(O131&amp;" - "&amp;G131,"--")</f>
        <v>Operator Administrative Services - 06</v>
      </c>
      <c r="AA131" s="44" t="str">
        <f>_xlfn.XLOOKUP($H131,'[1]SIG Qualifications Input'!$D:$D,'[1]SIG Qualifications Input'!$H:$H)</f>
        <v>Vocational training in e.g. manual or technical  field or equivalent work experience. 0-4 years of experience</v>
      </c>
    </row>
    <row r="132" spans="1:27" ht="196.5" customHeight="1" thickBot="1" x14ac:dyDescent="0.2">
      <c r="A132" s="34" t="str">
        <f>_xlfn.XLOOKUP(C132,'[1]SIG Job Families &amp; Descriptions'!F:F,'[1]SIG Job Families &amp; Descriptions'!B:B)</f>
        <v>Facility &amp; Administrative Services</v>
      </c>
      <c r="B132" s="34" t="str">
        <f>_xlfn.XLOOKUP(C132,'[1]SIG Job Families &amp; Descriptions'!F:F,'[1]SIG Job Families &amp; Descriptions'!D:D)</f>
        <v>Administrative Services</v>
      </c>
      <c r="C132" s="34" t="s">
        <v>62</v>
      </c>
      <c r="D132" s="30" t="str">
        <f t="shared" si="4"/>
        <v>AAS</v>
      </c>
      <c r="E132" s="31" t="str">
        <f>_xlfn.XLOOKUP(C132,'[1]SIG Job Families &amp; Descriptions'!F:F,'[1]SIG Job Families &amp; Descriptions'!A:A)</f>
        <v>AAS000</v>
      </c>
      <c r="F132" s="32" t="s">
        <v>50</v>
      </c>
      <c r="G132" s="33" t="s">
        <v>54</v>
      </c>
      <c r="H132" s="34" t="str">
        <f>F132&amp;"-"&amp;G132</f>
        <v>Operations-05</v>
      </c>
      <c r="I132" s="35" t="str">
        <f>IF(ISERROR(_xlfn.XLOOKUP(H132,'[1]SIG Level Structure'!D:D,'[1]SIG Level Structure'!D:D)),"0","1")</f>
        <v>1</v>
      </c>
      <c r="J132" s="36" t="str">
        <f>_xlfn.XLOOKUP($H132,'[1]SIG Level Structure'!$D:$D,'[1]SIG Level Structure'!F:F)</f>
        <v>W2</v>
      </c>
      <c r="K132" s="37" t="str">
        <f>E132&amp;"-"&amp;J132&amp;"-"&amp;G132</f>
        <v>AAS000-W2-05</v>
      </c>
      <c r="L132" s="37" t="str">
        <f>IFERROR(D132&amp;"-"&amp;LEFT(J132,1),"--")</f>
        <v>AAS-W</v>
      </c>
      <c r="M132" s="37" t="e">
        <f>VLOOKUP(L132,'[1]Compatible JC'!$A:$A,1,FALSE)</f>
        <v>#N/A</v>
      </c>
      <c r="N132" s="37" t="str">
        <f>IFERROR(_xlfn.XLOOKUP(H132,'[1]SIG Level Structure'!D:D,'[1]SIG Level Structure'!C:C),"--")</f>
        <v>Operator</v>
      </c>
      <c r="O132" s="38" t="str">
        <f>IFERROR(TRIM(N132&amp;" "&amp;C132),"--")</f>
        <v>Operator Administrative Services</v>
      </c>
      <c r="P132" s="22" t="str">
        <f>_xlfn.XLOOKUP(E132,'[1]SIG Job Families &amp; Descriptions'!A:A,'[1]SIG Job Families &amp; Descriptions'!G:G)</f>
        <v>Provides administrative support to employees or groups in the organization. Uses business software applications (e.g., word processing, presentation and spreadsheet) to prepare correspondence, reports, presentations, agendas, minutes, etc.. Receives, screens and directs incoming calls, visitors, mail and email. Maintains files, records, calendars and diaries. May arrange business travel, coordinate meeting arrangements, and/or track expenses. Embraces activities in the field of secretarial and administrative support, or e.g.  reception or catering. Include roles that supports general business operations by providing various transportation and related support activities.</v>
      </c>
      <c r="Q132" s="39" t="str">
        <f>_xlfn.XLOOKUP(E132,'[1]2022 GI Position Descriptions'!E:E,'[1]2022 GI Position Descriptions'!G:G)</f>
        <v>Supports general business operations by providing various administrative support activities as a generalist or in a combination of Disciplines in the Administrative Services Function</v>
      </c>
      <c r="R132" s="22" t="str">
        <f>IF(LEFT(J132,1)="E","EX",LEFT(J132,1))</f>
        <v>W</v>
      </c>
      <c r="S132" s="22" t="str">
        <f>_xlfn.XLOOKUP($R132,'[1]Career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132" s="22" t="str">
        <f>J132</f>
        <v>W2</v>
      </c>
      <c r="U132" s="40" t="str">
        <f t="shared" si="5"/>
        <v>W2</v>
      </c>
      <c r="V132" s="22" t="str">
        <f>_xlfn.XLOOKUP(T132,'[1]Career Bands &amp; Levels'!A:A,'[1]Career Bands &amp; Levels'!C:C)</f>
        <v xml:space="preserve">●	Has skills developed through formal training or work experience		
●	Works within established procedures and guidelines with limited ability to modify methods and approach		
●	Completes assigned tasks with a moderate degree of supervision		</v>
      </c>
      <c r="W132" s="41" t="str">
        <f>J132&amp;"-"&amp;G132</f>
        <v>W2-05</v>
      </c>
      <c r="X132" s="42" t="str">
        <f>G132</f>
        <v>05</v>
      </c>
      <c r="Y132" s="22" t="str">
        <f>_xlfn.XLOOKUP(W132,'[1]Career Bands &amp; Levels'!A:A,'[1]Career Bands &amp; Levels'!C:C,"No Grade Differentiator")</f>
        <v xml:space="preserve">●	Performs the full range of established procedures, and will typically be considered skilled through work experience		
●	Resolves routine issues without supervisory approval		</v>
      </c>
      <c r="Z132" s="43" t="str">
        <f>IFERROR(O132&amp;" - "&amp;G132,"--")</f>
        <v>Operator Administrative Services - 05</v>
      </c>
      <c r="AA132" s="44" t="str">
        <f>_xlfn.XLOOKUP($H132,'[1]SIG Qualifications Input'!$D:$D,'[1]SIG Qualifications Input'!$H:$H)</f>
        <v>Vocational training in e.g. manual or technical  field or equivalent work experience. 0-4 years of experience</v>
      </c>
    </row>
    <row r="133" spans="1:27" ht="197" thickBot="1" x14ac:dyDescent="0.2">
      <c r="A133" s="34" t="str">
        <f>_xlfn.XLOOKUP(C133,'[1]SIG Job Families &amp; Descriptions'!F:F,'[1]SIG Job Families &amp; Descriptions'!B:B)</f>
        <v>Facility &amp; Administrative Services</v>
      </c>
      <c r="B133" s="34" t="str">
        <f>_xlfn.XLOOKUP(C133,'[1]SIG Job Families &amp; Descriptions'!F:F,'[1]SIG Job Families &amp; Descriptions'!D:D)</f>
        <v>Administrative Services</v>
      </c>
      <c r="C133" s="34" t="s">
        <v>65</v>
      </c>
      <c r="D133" s="30" t="str">
        <f t="shared" si="4"/>
        <v>AAT</v>
      </c>
      <c r="E133" s="31" t="str">
        <f>_xlfn.XLOOKUP(C133,'[1]SIG Job Families &amp; Descriptions'!F:F,'[1]SIG Job Families &amp; Descriptions'!A:A)</f>
        <v>AAT020</v>
      </c>
      <c r="F133" s="32" t="s">
        <v>50</v>
      </c>
      <c r="G133" s="33" t="s">
        <v>66</v>
      </c>
      <c r="H133" s="34" t="str">
        <f>F133&amp;"-"&amp;G133</f>
        <v>Operations-03</v>
      </c>
      <c r="I133" s="35" t="str">
        <f>IF(ISERROR(_xlfn.XLOOKUP(H133,'[1]SIG Level Structure'!D:D,'[1]SIG Level Structure'!D:D)),"0","1")</f>
        <v>1</v>
      </c>
      <c r="J133" s="36" t="str">
        <f>_xlfn.XLOOKUP($H133,'[1]SIG Level Structure'!$D:$D,'[1]SIG Level Structure'!F:F)</f>
        <v>W1</v>
      </c>
      <c r="K133" s="37" t="str">
        <f>E133&amp;"-"&amp;J133&amp;"-"&amp;G133</f>
        <v>AAT020-W1-03</v>
      </c>
      <c r="L133" s="37" t="str">
        <f>IFERROR(D133&amp;"-"&amp;LEFT(J133,1),"--")</f>
        <v>AAT-W</v>
      </c>
      <c r="M133" s="37" t="str">
        <f>VLOOKUP(L133,'[1]Compatible JC'!$A:$A,1,FALSE)</f>
        <v>AAT-W</v>
      </c>
      <c r="N133" s="37" t="str">
        <f>IFERROR(_xlfn.XLOOKUP(H133,'[1]SIG Level Structure'!D:D,'[1]SIG Level Structure'!C:C),"--")</f>
        <v>Worker</v>
      </c>
      <c r="O133" s="38" t="str">
        <f>IFERROR(TRIM(N133&amp;" "&amp;C133),"--")</f>
        <v>Worker Transportation</v>
      </c>
      <c r="P133" s="22" t="str">
        <f>_xlfn.XLOOKUP(E133,'[1]SIG Job Families &amp; Descriptions'!A:A,'[1]SIG Job Families &amp; Descriptions'!G:G)</f>
        <v>Provides administrative support to employees or groups in the organization. Uses business software applications (e.g., word processing, presentation and spreadsheet) to prepare correspondence, reports, presentations, agendas, minutes, etc.. Receives, screens and directs incoming calls, visitors, mail and email. Maintains files, records, calendars and diaries. May arrange business travel, coordinate meeting arrangements, and/or track expenses. Embraces activities in the field of secretarial and administrative support, or e.g.  reception or catering. Include roles that supports general business operations by providing various transportation and related support activities.</v>
      </c>
      <c r="Q133" s="39" t="str">
        <f>_xlfn.XLOOKUP(E133,'[1]2022 GI Position Descriptions'!E:E,'[1]2022 GI Position Descriptions'!G:G)</f>
        <v>Picks up and transports employees or visitors as directed | May be the designated driver of a manager or executive within the organization | Occasionally picks up and delivers packages</v>
      </c>
      <c r="R133" s="22" t="str">
        <f>IF(LEFT(J133,1)="E","EX",LEFT(J133,1))</f>
        <v>W</v>
      </c>
      <c r="S133" s="22" t="str">
        <f>_xlfn.XLOOKUP($R133,'[1]Career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133" s="22" t="str">
        <f>J133</f>
        <v>W1</v>
      </c>
      <c r="U133" s="40" t="str">
        <f t="shared" si="5"/>
        <v>W1</v>
      </c>
      <c r="V133" s="22" t="str">
        <f>_xlfn.XLOOKUP(T133,'[1]Career Bands &amp; Levels'!A:A,'[1]Career Bands &amp; Levels'!C:C)</f>
        <v xml:space="preserve">●	Has little or no prior relevant training or work experience		
●	Works under close supervision with little autonomy		
●	Works with clearly defined methods and tasks that are described in detail		</v>
      </c>
      <c r="W133" s="41" t="str">
        <f>J133&amp;"-"&amp;G133</f>
        <v>W1-03</v>
      </c>
      <c r="X133" s="42" t="str">
        <f>G133</f>
        <v>03</v>
      </c>
      <c r="Y133" s="22" t="str">
        <f>_xlfn.XLOOKUP(W133,'[1]Career Bands &amp; Levels'!A:A,'[1]Career Bands &amp; Levels'!C:C,"No Grade Differentiator")</f>
        <v xml:space="preserve">●	Has limited prior relevant training or work experience		
●	Contributes directly to specific unskilled tasks or processes		
●	Has limited discretion to vary from established procedures		</v>
      </c>
      <c r="Z133" s="43" t="str">
        <f>IFERROR(O133&amp;" - "&amp;G133,"--")</f>
        <v>Worker Transportation - 03</v>
      </c>
      <c r="AA133" s="44" t="str">
        <f>_xlfn.XLOOKUP($H133,'[1]SIG Qualifications Input'!$D:$D,'[1]SIG Qualifications Input'!$H:$H)</f>
        <v>Training time up to 6 weeks - 6 months, No formal training required</v>
      </c>
    </row>
    <row r="134" spans="1:27" ht="197" thickBot="1" x14ac:dyDescent="0.2">
      <c r="A134" s="34" t="str">
        <f>_xlfn.XLOOKUP(C134,'[1]SIG Job Families &amp; Descriptions'!F:F,'[1]SIG Job Families &amp; Descriptions'!B:B)</f>
        <v>Facility &amp; Administrative Services</v>
      </c>
      <c r="B134" s="34" t="str">
        <f>_xlfn.XLOOKUP(C134,'[1]SIG Job Families &amp; Descriptions'!F:F,'[1]SIG Job Families &amp; Descriptions'!D:D)</f>
        <v>Administrative Services</v>
      </c>
      <c r="C134" s="34" t="s">
        <v>65</v>
      </c>
      <c r="D134" s="30" t="str">
        <f t="shared" si="4"/>
        <v>AAT</v>
      </c>
      <c r="E134" s="31" t="str">
        <f>_xlfn.XLOOKUP(C134,'[1]SIG Job Families &amp; Descriptions'!F:F,'[1]SIG Job Families &amp; Descriptions'!A:A)</f>
        <v>AAT020</v>
      </c>
      <c r="F134" s="32" t="s">
        <v>50</v>
      </c>
      <c r="G134" s="33" t="s">
        <v>67</v>
      </c>
      <c r="H134" s="34" t="str">
        <f>F134&amp;"-"&amp;G134</f>
        <v>Operations-02</v>
      </c>
      <c r="I134" s="35" t="str">
        <f>IF(ISERROR(_xlfn.XLOOKUP(H134,'[1]SIG Level Structure'!D:D,'[1]SIG Level Structure'!D:D)),"0","1")</f>
        <v>1</v>
      </c>
      <c r="J134" s="36" t="str">
        <f>_xlfn.XLOOKUP($H134,'[1]SIG Level Structure'!$D:$D,'[1]SIG Level Structure'!F:F)</f>
        <v>W1</v>
      </c>
      <c r="K134" s="37" t="str">
        <f>E134&amp;"-"&amp;J134&amp;"-"&amp;G134</f>
        <v>AAT020-W1-02</v>
      </c>
      <c r="L134" s="37" t="str">
        <f>IFERROR(D134&amp;"-"&amp;LEFT(J134,1),"--")</f>
        <v>AAT-W</v>
      </c>
      <c r="M134" s="37" t="str">
        <f>VLOOKUP(L134,'[1]Compatible JC'!$A:$A,1,FALSE)</f>
        <v>AAT-W</v>
      </c>
      <c r="N134" s="37" t="str">
        <f>IFERROR(_xlfn.XLOOKUP(H134,'[1]SIG Level Structure'!D:D,'[1]SIG Level Structure'!C:C),"--")</f>
        <v>Worker</v>
      </c>
      <c r="O134" s="38" t="str">
        <f>IFERROR(TRIM(N134&amp;" "&amp;C134),"--")</f>
        <v>Worker Transportation</v>
      </c>
      <c r="P134" s="22" t="str">
        <f>_xlfn.XLOOKUP(E134,'[1]SIG Job Families &amp; Descriptions'!A:A,'[1]SIG Job Families &amp; Descriptions'!G:G)</f>
        <v>Provides administrative support to employees or groups in the organization. Uses business software applications (e.g., word processing, presentation and spreadsheet) to prepare correspondence, reports, presentations, agendas, minutes, etc.. Receives, screens and directs incoming calls, visitors, mail and email. Maintains files, records, calendars and diaries. May arrange business travel, coordinate meeting arrangements, and/or track expenses. Embraces activities in the field of secretarial and administrative support, or e.g.  reception or catering. Include roles that supports general business operations by providing various transportation and related support activities.</v>
      </c>
      <c r="Q134" s="39" t="str">
        <f>_xlfn.XLOOKUP(E134,'[1]2022 GI Position Descriptions'!E:E,'[1]2022 GI Position Descriptions'!G:G)</f>
        <v>Picks up and transports employees or visitors as directed | May be the designated driver of a manager or executive within the organization | Occasionally picks up and delivers packages</v>
      </c>
      <c r="R134" s="22" t="str">
        <f>IF(LEFT(J134,1)="E","EX",LEFT(J134,1))</f>
        <v>W</v>
      </c>
      <c r="S134" s="22" t="str">
        <f>_xlfn.XLOOKUP($R134,'[1]Career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134" s="22" t="str">
        <f>J134</f>
        <v>W1</v>
      </c>
      <c r="U134" s="40" t="str">
        <f t="shared" si="5"/>
        <v>W1</v>
      </c>
      <c r="V134" s="22" t="str">
        <f>_xlfn.XLOOKUP(T134,'[1]Career Bands &amp; Levels'!A:A,'[1]Career Bands &amp; Levels'!C:C)</f>
        <v xml:space="preserve">●	Has little or no prior relevant training or work experience		
●	Works under close supervision with little autonomy		
●	Works with clearly defined methods and tasks that are described in detail		</v>
      </c>
      <c r="W134" s="41" t="str">
        <f>J134&amp;"-"&amp;G134</f>
        <v>W1-02</v>
      </c>
      <c r="X134" s="42" t="str">
        <f>G134</f>
        <v>02</v>
      </c>
      <c r="Y134" s="22" t="str">
        <f>_xlfn.XLOOKUP(W134,'[1]Career Bands &amp; Levels'!A:A,'[1]Career Bands &amp; Levels'!C:C,"No Grade Differentiator")</f>
        <v xml:space="preserve">●	Has no prior relevant training or work experience		
●	Contributes indirectly to specific unskilled tasks or processes		
●	Has no discretion to vary from established procedures		</v>
      </c>
      <c r="Z134" s="43" t="str">
        <f>IFERROR(O134&amp;" - "&amp;G134,"--")</f>
        <v>Worker Transportation - 02</v>
      </c>
      <c r="AA134" s="44" t="str">
        <f>_xlfn.XLOOKUP($H134,'[1]SIG Qualifications Input'!$D:$D,'[1]SIG Qualifications Input'!$H:$H)</f>
        <v>Training time up to 6 weeks - 6 months, No formal training required</v>
      </c>
    </row>
    <row r="135" spans="1:27" ht="113" thickBot="1" x14ac:dyDescent="0.2">
      <c r="A135" s="34" t="str">
        <f>_xlfn.XLOOKUP(C135,'[1]SIG Job Families &amp; Descriptions'!F:F,'[1]SIG Job Families &amp; Descriptions'!B:B)</f>
        <v>Facility &amp; Administrative Services</v>
      </c>
      <c r="B135" s="34" t="str">
        <f>_xlfn.XLOOKUP(C135,'[1]SIG Job Families &amp; Descriptions'!F:F,'[1]SIG Job Families &amp; Descriptions'!D:D)</f>
        <v>Real Estate and Facility Management</v>
      </c>
      <c r="C135" s="34" t="s">
        <v>68</v>
      </c>
      <c r="D135" s="30" t="str">
        <f t="shared" si="4"/>
        <v>AZU</v>
      </c>
      <c r="E135" s="31" t="str">
        <f>_xlfn.XLOOKUP(C135,'[1]SIG Job Families &amp; Descriptions'!F:F,'[1]SIG Job Families &amp; Descriptions'!A:A)</f>
        <v>AZU000</v>
      </c>
      <c r="F135" s="32" t="s">
        <v>50</v>
      </c>
      <c r="G135" s="33" t="s">
        <v>53</v>
      </c>
      <c r="H135" s="34" t="str">
        <f>F135&amp;"-"&amp;G135</f>
        <v>Operations-06</v>
      </c>
      <c r="I135" s="35" t="str">
        <f>IF(ISERROR(_xlfn.XLOOKUP(H135,'[1]SIG Level Structure'!D:D,'[1]SIG Level Structure'!D:D)),"0","1")</f>
        <v>1</v>
      </c>
      <c r="J135" s="36" t="str">
        <f>_xlfn.XLOOKUP($H135,'[1]SIG Level Structure'!$D:$D,'[1]SIG Level Structure'!F:F)</f>
        <v>W3</v>
      </c>
      <c r="K135" s="37" t="str">
        <f>E135&amp;"-"&amp;J135&amp;"-"&amp;G135</f>
        <v>AZU000-W3-06</v>
      </c>
      <c r="L135" s="37" t="str">
        <f>IFERROR(D135&amp;"-"&amp;LEFT(J135,1),"--")</f>
        <v>AZU-W</v>
      </c>
      <c r="M135" s="37" t="str">
        <f>VLOOKUP(L135,'[1]Compatible JC'!$A:$A,1,FALSE)</f>
        <v>AZU-W</v>
      </c>
      <c r="N135" s="37" t="str">
        <f>IFERROR(_xlfn.XLOOKUP(H135,'[1]SIG Level Structure'!D:D,'[1]SIG Level Structure'!C:C),"--")</f>
        <v>Operator</v>
      </c>
      <c r="O135" s="38" t="str">
        <f>IFERROR(TRIM(N135&amp;" "&amp;C135),"--")</f>
        <v>Operator Cleaning (Facility)</v>
      </c>
      <c r="P135" s="22" t="str">
        <f>_xlfn.XLOOKUP(E135,'[1]SIG Job Families &amp; Descriptions'!A:A,'[1]SIG Job Families &amp; Descriptions'!G:G)</f>
        <v xml:space="preserve">Plans, controls and directs real estate activities; identifies, acquires or leases land and buildings for the organization's operations. May negotiate right-of-way easements. Ensures the optimal utilization of the organization's facilities. Disposes of facilities that are no longer required by the organization. </v>
      </c>
      <c r="Q135" s="39" t="str">
        <f>_xlfn.XLOOKUP(E135,'[1]2022 GI Position Descriptions'!E:E,'[1]2022 GI Position Descriptions'!G:G)</f>
        <v>Performs miscellaneous manual labor activities (e.g., sweeping and cleaning floors and work areas, picking up papers and refuse from grounds, heavy lifting and moving materials, making minor repairs, mowing lawns and shoveling snow) | Performs janitorial activities, such as cleaning, dusting, washing windows, moving and polishing furniture and equipment</v>
      </c>
      <c r="R135" s="22" t="str">
        <f>IF(LEFT(J135,1)="E","EX",LEFT(J135,1))</f>
        <v>W</v>
      </c>
      <c r="S135" s="22" t="str">
        <f>_xlfn.XLOOKUP($R135,'[1]Career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135" s="22" t="str">
        <f>J135</f>
        <v>W3</v>
      </c>
      <c r="U135" s="40" t="str">
        <f t="shared" si="5"/>
        <v>W3</v>
      </c>
      <c r="V135" s="22" t="str">
        <f>_xlfn.XLOOKUP(T135,'[1]Career Bands &amp; Levels'!A:A,'[1]Career Bands &amp; Levels'!C:C)</f>
        <v xml:space="preserve">●	Has proficiency through job-related training and considerable work experience		
●	Completes work with a limited degree of supervision; regularly provides guidance to others with less experience		
●	May act as an informal resource for colleagues with less experience		</v>
      </c>
      <c r="W135" s="41" t="str">
        <f>J135&amp;"-"&amp;G135</f>
        <v>W3-06</v>
      </c>
      <c r="X135" s="42" t="str">
        <f>G135</f>
        <v>06</v>
      </c>
      <c r="Y135" s="22" t="str">
        <f>_xlfn.XLOOKUP(W135,'[1]Career Bands &amp; Levels'!A:A,'[1]Career Bands &amp; Levels'!C:C,"No Grade Differentiator")</f>
        <v>No Grade Differentiator</v>
      </c>
      <c r="Z135" s="43" t="str">
        <f>IFERROR(O135&amp;" - "&amp;G135,"--")</f>
        <v>Operator Cleaning (Facility) - 06</v>
      </c>
      <c r="AA135" s="44" t="str">
        <f>_xlfn.XLOOKUP($H135,'[1]SIG Qualifications Input'!$D:$D,'[1]SIG Qualifications Input'!$H:$H)</f>
        <v>Vocational training in e.g. manual or technical  field or equivalent work experience. 0-4 years of experience</v>
      </c>
    </row>
    <row r="136" spans="1:27" ht="113" thickBot="1" x14ac:dyDescent="0.2">
      <c r="A136" s="34" t="str">
        <f>_xlfn.XLOOKUP(C136,'[1]SIG Job Families &amp; Descriptions'!F:F,'[1]SIG Job Families &amp; Descriptions'!B:B)</f>
        <v>Facility &amp; Administrative Services</v>
      </c>
      <c r="B136" s="34" t="str">
        <f>_xlfn.XLOOKUP(C136,'[1]SIG Job Families &amp; Descriptions'!F:F,'[1]SIG Job Families &amp; Descriptions'!D:D)</f>
        <v>Real Estate and Facility Management</v>
      </c>
      <c r="C136" s="34" t="s">
        <v>68</v>
      </c>
      <c r="D136" s="30" t="str">
        <f t="shared" si="4"/>
        <v>AZU</v>
      </c>
      <c r="E136" s="31" t="str">
        <f>_xlfn.XLOOKUP(C136,'[1]SIG Job Families &amp; Descriptions'!F:F,'[1]SIG Job Families &amp; Descriptions'!A:A)</f>
        <v>AZU000</v>
      </c>
      <c r="F136" s="32" t="s">
        <v>50</v>
      </c>
      <c r="G136" s="33" t="s">
        <v>54</v>
      </c>
      <c r="H136" s="34" t="str">
        <f>F136&amp;"-"&amp;G136</f>
        <v>Operations-05</v>
      </c>
      <c r="I136" s="35" t="str">
        <f>IF(ISERROR(_xlfn.XLOOKUP(H136,'[1]SIG Level Structure'!D:D,'[1]SIG Level Structure'!D:D)),"0","1")</f>
        <v>1</v>
      </c>
      <c r="J136" s="36" t="str">
        <f>_xlfn.XLOOKUP($H136,'[1]SIG Level Structure'!$D:$D,'[1]SIG Level Structure'!F:F)</f>
        <v>W2</v>
      </c>
      <c r="K136" s="37" t="str">
        <f>E136&amp;"-"&amp;J136&amp;"-"&amp;G136</f>
        <v>AZU000-W2-05</v>
      </c>
      <c r="L136" s="37" t="str">
        <f>IFERROR(D136&amp;"-"&amp;LEFT(J136,1),"--")</f>
        <v>AZU-W</v>
      </c>
      <c r="M136" s="37" t="str">
        <f>VLOOKUP(L136,'[1]Compatible JC'!$A:$A,1,FALSE)</f>
        <v>AZU-W</v>
      </c>
      <c r="N136" s="37" t="str">
        <f>IFERROR(_xlfn.XLOOKUP(H136,'[1]SIG Level Structure'!D:D,'[1]SIG Level Structure'!C:C),"--")</f>
        <v>Operator</v>
      </c>
      <c r="O136" s="38" t="str">
        <f>IFERROR(TRIM(N136&amp;" "&amp;C136),"--")</f>
        <v>Operator Cleaning (Facility)</v>
      </c>
      <c r="P136" s="22" t="str">
        <f>_xlfn.XLOOKUP(E136,'[1]SIG Job Families &amp; Descriptions'!A:A,'[1]SIG Job Families &amp; Descriptions'!G:G)</f>
        <v xml:space="preserve">Plans, controls and directs real estate activities; identifies, acquires or leases land and buildings for the organization's operations. May negotiate right-of-way easements. Ensures the optimal utilization of the organization's facilities. Disposes of facilities that are no longer required by the organization. </v>
      </c>
      <c r="Q136" s="39" t="str">
        <f>_xlfn.XLOOKUP(E136,'[1]2022 GI Position Descriptions'!E:E,'[1]2022 GI Position Descriptions'!G:G)</f>
        <v>Performs miscellaneous manual labor activities (e.g., sweeping and cleaning floors and work areas, picking up papers and refuse from grounds, heavy lifting and moving materials, making minor repairs, mowing lawns and shoveling snow) | Performs janitorial activities, such as cleaning, dusting, washing windows, moving and polishing furniture and equipment</v>
      </c>
      <c r="R136" s="22" t="str">
        <f>IF(LEFT(J136,1)="E","EX",LEFT(J136,1))</f>
        <v>W</v>
      </c>
      <c r="S136" s="22" t="str">
        <f>_xlfn.XLOOKUP($R136,'[1]Career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136" s="22" t="str">
        <f>J136</f>
        <v>W2</v>
      </c>
      <c r="U136" s="40" t="str">
        <f t="shared" si="5"/>
        <v>W2</v>
      </c>
      <c r="V136" s="22" t="str">
        <f>_xlfn.XLOOKUP(T136,'[1]Career Bands &amp; Levels'!A:A,'[1]Career Bands &amp; Levels'!C:C)</f>
        <v xml:space="preserve">●	Has skills developed through formal training or work experience		
●	Works within established procedures and guidelines with limited ability to modify methods and approach		
●	Completes assigned tasks with a moderate degree of supervision		</v>
      </c>
      <c r="W136" s="41" t="str">
        <f>J136&amp;"-"&amp;G136</f>
        <v>W2-05</v>
      </c>
      <c r="X136" s="42" t="str">
        <f>G136</f>
        <v>05</v>
      </c>
      <c r="Y136" s="22" t="str">
        <f>_xlfn.XLOOKUP(W136,'[1]Career Bands &amp; Levels'!A:A,'[1]Career Bands &amp; Levels'!C:C,"No Grade Differentiator")</f>
        <v xml:space="preserve">●	Performs the full range of established procedures, and will typically be considered skilled through work experience		
●	Resolves routine issues without supervisory approval		</v>
      </c>
      <c r="Z136" s="43" t="str">
        <f>IFERROR(O136&amp;" - "&amp;G136,"--")</f>
        <v>Operator Cleaning (Facility) - 05</v>
      </c>
      <c r="AA136" s="44" t="str">
        <f>_xlfn.XLOOKUP($H136,'[1]SIG Qualifications Input'!$D:$D,'[1]SIG Qualifications Input'!$H:$H)</f>
        <v>Vocational training in e.g. manual or technical  field or equivalent work experience. 0-4 years of experience</v>
      </c>
    </row>
    <row r="137" spans="1:27" ht="113" thickBot="1" x14ac:dyDescent="0.2">
      <c r="A137" s="34" t="str">
        <f>_xlfn.XLOOKUP(C137,'[1]SIG Job Families &amp; Descriptions'!F:F,'[1]SIG Job Families &amp; Descriptions'!B:B)</f>
        <v>Facility &amp; Administrative Services</v>
      </c>
      <c r="B137" s="34" t="str">
        <f>_xlfn.XLOOKUP(C137,'[1]SIG Job Families &amp; Descriptions'!F:F,'[1]SIG Job Families &amp; Descriptions'!D:D)</f>
        <v>Real Estate and Facility Management</v>
      </c>
      <c r="C137" s="34" t="s">
        <v>68</v>
      </c>
      <c r="D137" s="30" t="str">
        <f t="shared" si="4"/>
        <v>AZU</v>
      </c>
      <c r="E137" s="31" t="str">
        <f>_xlfn.XLOOKUP(C137,'[1]SIG Job Families &amp; Descriptions'!F:F,'[1]SIG Job Families &amp; Descriptions'!A:A)</f>
        <v>AZU000</v>
      </c>
      <c r="F137" s="32" t="s">
        <v>50</v>
      </c>
      <c r="G137" s="33" t="s">
        <v>55</v>
      </c>
      <c r="H137" s="34" t="str">
        <f>F137&amp;"-"&amp;G137</f>
        <v>Operations-04</v>
      </c>
      <c r="I137" s="35" t="str">
        <f>IF(ISERROR(_xlfn.XLOOKUP(H137,'[1]SIG Level Structure'!D:D,'[1]SIG Level Structure'!D:D)),"0","1")</f>
        <v>1</v>
      </c>
      <c r="J137" s="36" t="str">
        <f>_xlfn.XLOOKUP($H137,'[1]SIG Level Structure'!$D:$D,'[1]SIG Level Structure'!F:F)</f>
        <v>W2</v>
      </c>
      <c r="K137" s="37" t="str">
        <f>E137&amp;"-"&amp;J137&amp;"-"&amp;G137</f>
        <v>AZU000-W2-04</v>
      </c>
      <c r="L137" s="37" t="str">
        <f>IFERROR(D137&amp;"-"&amp;LEFT(J137,1),"--")</f>
        <v>AZU-W</v>
      </c>
      <c r="M137" s="37" t="str">
        <f>VLOOKUP(L137,'[1]Compatible JC'!$A:$A,1,FALSE)</f>
        <v>AZU-W</v>
      </c>
      <c r="N137" s="37" t="str">
        <f>IFERROR(_xlfn.XLOOKUP(H137,'[1]SIG Level Structure'!D:D,'[1]SIG Level Structure'!C:C),"--")</f>
        <v>Operator</v>
      </c>
      <c r="O137" s="38" t="str">
        <f>IFERROR(TRIM(N137&amp;" "&amp;C137),"--")</f>
        <v>Operator Cleaning (Facility)</v>
      </c>
      <c r="P137" s="22" t="str">
        <f>_xlfn.XLOOKUP(E137,'[1]SIG Job Families &amp; Descriptions'!A:A,'[1]SIG Job Families &amp; Descriptions'!G:G)</f>
        <v xml:space="preserve">Plans, controls and directs real estate activities; identifies, acquires or leases land and buildings for the organization's operations. May negotiate right-of-way easements. Ensures the optimal utilization of the organization's facilities. Disposes of facilities that are no longer required by the organization. </v>
      </c>
      <c r="Q137" s="39" t="str">
        <f>_xlfn.XLOOKUP(E137,'[1]2022 GI Position Descriptions'!E:E,'[1]2022 GI Position Descriptions'!G:G)</f>
        <v>Performs miscellaneous manual labor activities (e.g., sweeping and cleaning floors and work areas, picking up papers and refuse from grounds, heavy lifting and moving materials, making minor repairs, mowing lawns and shoveling snow) | Performs janitorial activities, such as cleaning, dusting, washing windows, moving and polishing furniture and equipment</v>
      </c>
      <c r="R137" s="22" t="str">
        <f>IF(LEFT(J137,1)="E","EX",LEFT(J137,1))</f>
        <v>W</v>
      </c>
      <c r="S137" s="22" t="str">
        <f>_xlfn.XLOOKUP($R137,'[1]Career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137" s="22" t="str">
        <f>J137</f>
        <v>W2</v>
      </c>
      <c r="U137" s="40" t="str">
        <f t="shared" si="5"/>
        <v>W2</v>
      </c>
      <c r="V137" s="22" t="str">
        <f>_xlfn.XLOOKUP(T137,'[1]Career Bands &amp; Levels'!A:A,'[1]Career Bands &amp; Levels'!C:C)</f>
        <v xml:space="preserve">●	Has skills developed through formal training or work experience		
●	Works within established procedures and guidelines with limited ability to modify methods and approach		
●	Completes assigned tasks with a moderate degree of supervision		</v>
      </c>
      <c r="W137" s="41" t="str">
        <f>J137&amp;"-"&amp;G137</f>
        <v>W2-04</v>
      </c>
      <c r="X137" s="42" t="str">
        <f>G137</f>
        <v>04</v>
      </c>
      <c r="Y137" s="22" t="str">
        <f>_xlfn.XLOOKUP(W137,'[1]Career Bands &amp; Levels'!A:A,'[1]Career Bands &amp; Levels'!C:C,"No Grade Differentiator")</f>
        <v xml:space="preserve">●	Performs most established procedures and will typically be considered semi-skilled through work experience		
●	Resolves routine issues with senior staff or supervisory guidance and approval		</v>
      </c>
      <c r="Z137" s="43" t="str">
        <f>IFERROR(O137&amp;" - "&amp;G137,"--")</f>
        <v>Operator Cleaning (Facility) - 04</v>
      </c>
      <c r="AA137" s="44" t="str">
        <f>_xlfn.XLOOKUP($H137,'[1]SIG Qualifications Input'!$D:$D,'[1]SIG Qualifications Input'!$H:$H)</f>
        <v>Vocational training in e.g. manual or technical  field or equivalent work experience. 0-4 years of experience</v>
      </c>
    </row>
    <row r="138" spans="1:27" ht="197" thickBot="1" x14ac:dyDescent="0.2">
      <c r="A138" s="34" t="str">
        <f>_xlfn.XLOOKUP(C138,'[1]SIG Job Families &amp; Descriptions'!F:F,'[1]SIG Job Families &amp; Descriptions'!B:B)</f>
        <v>Facility &amp; Administrative Services</v>
      </c>
      <c r="B138" s="34" t="str">
        <f>_xlfn.XLOOKUP(C138,'[1]SIG Job Families &amp; Descriptions'!F:F,'[1]SIG Job Families &amp; Descriptions'!D:D)</f>
        <v>Administrative Services</v>
      </c>
      <c r="C138" s="34" t="s">
        <v>62</v>
      </c>
      <c r="D138" s="30" t="str">
        <f t="shared" si="4"/>
        <v>AAS</v>
      </c>
      <c r="E138" s="31" t="str">
        <f>_xlfn.XLOOKUP(C138,'[1]SIG Job Families &amp; Descriptions'!F:F,'[1]SIG Job Families &amp; Descriptions'!A:A)</f>
        <v>AAS000</v>
      </c>
      <c r="F138" s="32" t="s">
        <v>29</v>
      </c>
      <c r="G138" s="33" t="s">
        <v>34</v>
      </c>
      <c r="H138" s="34" t="str">
        <f>F138&amp;"-"&amp;G138</f>
        <v>Management-12</v>
      </c>
      <c r="I138" s="35" t="str">
        <f>IF(ISERROR(_xlfn.XLOOKUP(H138,'[1]SIG Level Structure'!D:D,'[1]SIG Level Structure'!D:D)),"0","1")</f>
        <v>1</v>
      </c>
      <c r="J138" s="36" t="str">
        <f>_xlfn.XLOOKUP($H138,'[1]SIG Level Structure'!$D:$D,'[1]SIG Level Structure'!F:F)</f>
        <v>M2</v>
      </c>
      <c r="K138" s="37" t="str">
        <f>E138&amp;"-"&amp;J138&amp;"-"&amp;G138</f>
        <v>AAS000-M2-12</v>
      </c>
      <c r="L138" s="37" t="str">
        <f>IFERROR(D138&amp;"-"&amp;LEFT(J138,1),"--")</f>
        <v>AAS-M</v>
      </c>
      <c r="M138" s="37" t="str">
        <f>VLOOKUP(L138,'[1]Compatible JC'!$A:$A,1,FALSE)</f>
        <v>AAS-M</v>
      </c>
      <c r="N138" s="37" t="str">
        <f>IFERROR(_xlfn.XLOOKUP(H138,'[1]SIG Level Structure'!D:D,'[1]SIG Level Structure'!C:C),"--")</f>
        <v>Manager</v>
      </c>
      <c r="O138" s="38" t="str">
        <f>IFERROR(TRIM(N138&amp;" "&amp;C138),"--")</f>
        <v>Manager Administrative Services</v>
      </c>
      <c r="P138" s="22" t="str">
        <f>_xlfn.XLOOKUP(E138,'[1]SIG Job Families &amp; Descriptions'!A:A,'[1]SIG Job Families &amp; Descriptions'!G:G)</f>
        <v>Provides administrative support to employees or groups in the organization. Uses business software applications (e.g., word processing, presentation and spreadsheet) to prepare correspondence, reports, presentations, agendas, minutes, etc.. Receives, screens and directs incoming calls, visitors, mail and email. Maintains files, records, calendars and diaries. May arrange business travel, coordinate meeting arrangements, and/or track expenses. Embraces activities in the field of secretarial and administrative support, or e.g.  reception or catering. Include roles that supports general business operations by providing various transportation and related support activities.</v>
      </c>
      <c r="Q138" s="39" t="str">
        <f>_xlfn.XLOOKUP(E138,'[1]2022 GI Position Descriptions'!E:E,'[1]2022 GI Position Descriptions'!G:G)</f>
        <v>Supports general business operations by providing various administrative support activities as a generalist or in a combination of Disciplines in the Administrative Services Function</v>
      </c>
      <c r="R138" s="22" t="str">
        <f>IF(LEFT(J138,1)="E","EX",LEFT(J138,1))</f>
        <v>M</v>
      </c>
      <c r="S138" s="22" t="str">
        <f>_xlfn.XLOOKUP($R138,'[1]Career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138" s="22" t="str">
        <f>J138</f>
        <v>M2</v>
      </c>
      <c r="U138" s="40" t="str">
        <f t="shared" si="5"/>
        <v>M2</v>
      </c>
      <c r="V138" s="22" t="str">
        <f>_xlfn.XLOOKUP(T138,'[1]Career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138" s="41" t="str">
        <f>J138&amp;"-"&amp;G138</f>
        <v>M2-12</v>
      </c>
      <c r="X138" s="42" t="str">
        <f>G138</f>
        <v>12</v>
      </c>
      <c r="Y138" s="22" t="str">
        <f>_xlfn.XLOOKUP(W138,'[1]Career Bands &amp; Levels'!A:A,'[1]Career Bands &amp; Levels'!C:C,"No Grade Differentiator")</f>
        <v xml:space="preserve">●	Accountable for results of a small team of employees		
●	Exercises limited management authority; sets employee performance objectives, conducts performance reviews and recommends pay actions		
●	Defines team operating standards and ensures essential procedures are followed based on knowledge of own discipline		</v>
      </c>
      <c r="Z138" s="43" t="str">
        <f>IFERROR(O138&amp;" - "&amp;G138,"--")</f>
        <v>Manager Administrative Services - 12</v>
      </c>
      <c r="AA138" s="44" t="str">
        <f>_xlfn.XLOOKUP($H138,'[1]SIG Qualifications Input'!$D:$D,'[1]SIG Qualifications Input'!$H:$H)</f>
        <v>University degree or equivalent and 7-10 years of work experience or equivalent
Experience in managing mixed-level team(s) of professionals and subordinate managers</v>
      </c>
    </row>
    <row r="139" spans="1:27" ht="197" thickBot="1" x14ac:dyDescent="0.2">
      <c r="A139" s="34" t="str">
        <f>_xlfn.XLOOKUP(C139,'[1]SIG Job Families &amp; Descriptions'!F:F,'[1]SIG Job Families &amp; Descriptions'!B:B)</f>
        <v>Facility &amp; Administrative Services</v>
      </c>
      <c r="B139" s="34" t="str">
        <f>_xlfn.XLOOKUP(C139,'[1]SIG Job Families &amp; Descriptions'!F:F,'[1]SIG Job Families &amp; Descriptions'!D:D)</f>
        <v>Administrative Services</v>
      </c>
      <c r="C139" s="34" t="s">
        <v>62</v>
      </c>
      <c r="D139" s="30" t="str">
        <f t="shared" si="4"/>
        <v>AAS</v>
      </c>
      <c r="E139" s="31" t="str">
        <f>_xlfn.XLOOKUP(C139,'[1]SIG Job Families &amp; Descriptions'!F:F,'[1]SIG Job Families &amp; Descriptions'!A:A)</f>
        <v>AAS000</v>
      </c>
      <c r="F139" s="32" t="s">
        <v>29</v>
      </c>
      <c r="G139" s="33" t="s">
        <v>33</v>
      </c>
      <c r="H139" s="34" t="str">
        <f>F139&amp;"-"&amp;G139</f>
        <v>Management-13</v>
      </c>
      <c r="I139" s="35" t="str">
        <f>IF(ISERROR(_xlfn.XLOOKUP(H139,'[1]SIG Level Structure'!D:D,'[1]SIG Level Structure'!D:D)),"0","1")</f>
        <v>1</v>
      </c>
      <c r="J139" s="36" t="str">
        <f>_xlfn.XLOOKUP($H139,'[1]SIG Level Structure'!$D:$D,'[1]SIG Level Structure'!F:F)</f>
        <v>M2</v>
      </c>
      <c r="K139" s="37" t="str">
        <f>E139&amp;"-"&amp;J139&amp;"-"&amp;G139</f>
        <v>AAS000-M2-13</v>
      </c>
      <c r="L139" s="37" t="str">
        <f>IFERROR(D139&amp;"-"&amp;LEFT(J139,1),"--")</f>
        <v>AAS-M</v>
      </c>
      <c r="M139" s="37" t="str">
        <f>VLOOKUP(L139,'[1]Compatible JC'!$A:$A,1,FALSE)</f>
        <v>AAS-M</v>
      </c>
      <c r="N139" s="37" t="str">
        <f>IFERROR(_xlfn.XLOOKUP(H139,'[1]SIG Level Structure'!D:D,'[1]SIG Level Structure'!C:C),"--")</f>
        <v>Manager</v>
      </c>
      <c r="O139" s="38" t="str">
        <f>IFERROR(TRIM(N139&amp;" "&amp;C139),"--")</f>
        <v>Manager Administrative Services</v>
      </c>
      <c r="P139" s="22" t="str">
        <f>_xlfn.XLOOKUP(E139,'[1]SIG Job Families &amp; Descriptions'!A:A,'[1]SIG Job Families &amp; Descriptions'!G:G)</f>
        <v>Provides administrative support to employees or groups in the organization. Uses business software applications (e.g., word processing, presentation and spreadsheet) to prepare correspondence, reports, presentations, agendas, minutes, etc.. Receives, screens and directs incoming calls, visitors, mail and email. Maintains files, records, calendars and diaries. May arrange business travel, coordinate meeting arrangements, and/or track expenses. Embraces activities in the field of secretarial and administrative support, or e.g.  reception or catering. Include roles that supports general business operations by providing various transportation and related support activities.</v>
      </c>
      <c r="Q139" s="39" t="str">
        <f>_xlfn.XLOOKUP(E139,'[1]2022 GI Position Descriptions'!E:E,'[1]2022 GI Position Descriptions'!G:G)</f>
        <v>Supports general business operations by providing various administrative support activities as a generalist or in a combination of Disciplines in the Administrative Services Function</v>
      </c>
      <c r="R139" s="22" t="str">
        <f>IF(LEFT(J139,1)="E","EX",LEFT(J139,1))</f>
        <v>M</v>
      </c>
      <c r="S139" s="22" t="str">
        <f>_xlfn.XLOOKUP($R139,'[1]Career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139" s="22" t="str">
        <f>J139</f>
        <v>M2</v>
      </c>
      <c r="U139" s="40" t="str">
        <f t="shared" si="5"/>
        <v>M2</v>
      </c>
      <c r="V139" s="22" t="str">
        <f>_xlfn.XLOOKUP(T139,'[1]Career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139" s="41" t="str">
        <f>J139&amp;"-"&amp;G139</f>
        <v>M2-13</v>
      </c>
      <c r="X139" s="42" t="str">
        <f>G139</f>
        <v>13</v>
      </c>
      <c r="Y139" s="22" t="str">
        <f>_xlfn.XLOOKUP(W139,'[1]Career Bands &amp; Levels'!A:A,'[1]Career Bands &amp; Levels'!C:C,"No Grade Differentiator")</f>
        <v>●	Accountable for the budget, performance and results of a medium-sized team or multiple small teams of employees		
●	Exercises full management authority, including performance reviews, pay decisions, recruitment, discipline, termination and other personnel actions		
●	Addresses issues with impact beyond own team based on knowledge of related disciplines</v>
      </c>
      <c r="Z139" s="43" t="str">
        <f>IFERROR(O139&amp;" - "&amp;G139,"--")</f>
        <v>Manager Administrative Services - 13</v>
      </c>
      <c r="AA139" s="44" t="str">
        <f>_xlfn.XLOOKUP($H139,'[1]SIG Qualifications Input'!$D:$D,'[1]SIG Qualifications Input'!$H:$H)</f>
        <v>University degree or equivalent and 7-10 years of work experience or equivalent
Experience in managing mixed-level team(s) of professionals and subordinate managers</v>
      </c>
    </row>
    <row r="140" spans="1:27" ht="197" thickBot="1" x14ac:dyDescent="0.2">
      <c r="A140" s="34" t="str">
        <f>_xlfn.XLOOKUP(C140,'[1]SIG Job Families &amp; Descriptions'!F:F,'[1]SIG Job Families &amp; Descriptions'!B:B)</f>
        <v>Facility &amp; Administrative Services</v>
      </c>
      <c r="B140" s="34" t="str">
        <f>_xlfn.XLOOKUP(C140,'[1]SIG Job Families &amp; Descriptions'!F:F,'[1]SIG Job Families &amp; Descriptions'!D:D)</f>
        <v>Administrative Services</v>
      </c>
      <c r="C140" s="34" t="s">
        <v>62</v>
      </c>
      <c r="D140" s="30" t="str">
        <f t="shared" si="4"/>
        <v>AAS</v>
      </c>
      <c r="E140" s="31" t="str">
        <f>_xlfn.XLOOKUP(C140,'[1]SIG Job Families &amp; Descriptions'!F:F,'[1]SIG Job Families &amp; Descriptions'!A:A)</f>
        <v>AAS000</v>
      </c>
      <c r="F140" s="32" t="s">
        <v>32</v>
      </c>
      <c r="G140" s="33" t="s">
        <v>54</v>
      </c>
      <c r="H140" s="34" t="str">
        <f>F140&amp;"-"&amp;G140</f>
        <v>Professional-05</v>
      </c>
      <c r="I140" s="35" t="str">
        <f>IF(ISERROR(_xlfn.XLOOKUP(H140,'[1]SIG Level Structure'!D:D,'[1]SIG Level Structure'!D:D)),"0","1")</f>
        <v>1</v>
      </c>
      <c r="J140" s="36" t="str">
        <f>_xlfn.XLOOKUP($H140,'[1]SIG Level Structure'!$D:$D,'[1]SIG Level Structure'!F:F)</f>
        <v>U2</v>
      </c>
      <c r="K140" s="37" t="str">
        <f>E140&amp;"-"&amp;J140&amp;"-"&amp;G140</f>
        <v>AAS000-U2-05</v>
      </c>
      <c r="L140" s="37" t="str">
        <f>IFERROR(D140&amp;"-"&amp;LEFT(J140,1),"--")</f>
        <v>AAS-U</v>
      </c>
      <c r="M140" s="37" t="str">
        <f>VLOOKUP(L140,'[1]Compatible JC'!$A:$A,1,FALSE)</f>
        <v>AAS-U</v>
      </c>
      <c r="N140" s="37" t="str">
        <f>IFERROR(_xlfn.XLOOKUP(H140,'[1]SIG Level Structure'!D:D,'[1]SIG Level Structure'!C:C),"--")</f>
        <v>Assistant / Analyst</v>
      </c>
      <c r="O140" s="38" t="str">
        <f>IFERROR(TRIM(N140&amp;" "&amp;C140),"--")</f>
        <v>Assistant / Analyst Administrative Services</v>
      </c>
      <c r="P140" s="22" t="str">
        <f>_xlfn.XLOOKUP(E140,'[1]SIG Job Families &amp; Descriptions'!A:A,'[1]SIG Job Families &amp; Descriptions'!G:G)</f>
        <v>Provides administrative support to employees or groups in the organization. Uses business software applications (e.g., word processing, presentation and spreadsheet) to prepare correspondence, reports, presentations, agendas, minutes, etc.. Receives, screens and directs incoming calls, visitors, mail and email. Maintains files, records, calendars and diaries. May arrange business travel, coordinate meeting arrangements, and/or track expenses. Embraces activities in the field of secretarial and administrative support, or e.g.  reception or catering. Include roles that supports general business operations by providing various transportation and related support activities.</v>
      </c>
      <c r="Q140" s="39" t="str">
        <f>_xlfn.XLOOKUP(E140,'[1]2022 GI Position Descriptions'!E:E,'[1]2022 GI Position Descriptions'!G:G)</f>
        <v>Supports general business operations by providing various administrative support activities as a generalist or in a combination of Disciplines in the Administrative Services Function</v>
      </c>
      <c r="R140" s="22" t="str">
        <f>IF(LEFT(J140,1)="E","EX",LEFT(J140,1))</f>
        <v>U</v>
      </c>
      <c r="S140" s="22" t="str">
        <f>_xlfn.XLOOKUP($R140,'[1]Career Bands &amp; Levels'!A:A,'[1]Career Bands &amp; Levels'!C:C)</f>
        <v>● Performs clerical/administrative or specialized support tasks in an office, field or retail store/site setting
● May require vocational training or the equivalent experience, but does not require a university degree</v>
      </c>
      <c r="T140" s="22" t="str">
        <f>J140</f>
        <v>U2</v>
      </c>
      <c r="U140" s="40" t="str">
        <f t="shared" si="5"/>
        <v>U2</v>
      </c>
      <c r="V140" s="22" t="str">
        <f>_xlfn.XLOOKUP(T140,'[1]Career Bands &amp; Levels'!A:A,'[1]Career Bands &amp; Levels'!C:C)</f>
        <v xml:space="preserve">●	Has working knowledge and skills developed through formal training or work experience		
●	Works within established procedures with a moderate degree of supervision		
●	Identifies the problem and all relevant issues in straightforward situations, assesses each using standard procedures and makes sound decisions		</v>
      </c>
      <c r="W140" s="41" t="str">
        <f>J140&amp;"-"&amp;G140</f>
        <v>U2-05</v>
      </c>
      <c r="X140" s="42" t="str">
        <f>G140</f>
        <v>05</v>
      </c>
      <c r="Y140" s="22" t="str">
        <f>_xlfn.XLOOKUP(W140,'[1]Career Bands &amp; Levels'!A:A,'[1]Career Bands &amp; Levels'!C:C,"No Grade Differentiator")</f>
        <v xml:space="preserve">●	Has limited prior relevant training or work experience		
●	Has limited discretion to vary from established procedures		</v>
      </c>
      <c r="Z140" s="43" t="str">
        <f>IFERROR(O140&amp;" - "&amp;G140,"--")</f>
        <v>Assistant / Analyst Administrative Services - 05</v>
      </c>
      <c r="AA140" s="44" t="str">
        <f>_xlfn.XLOOKUP($H140,'[1]SIG Qualifications Input'!$D:$D,'[1]SIG Qualifications Input'!$H:$H)</f>
        <v>Vocational training in e.g. commercial field or equivalent work experience. Up to 5 years of experience, possibly further internal trainings.</v>
      </c>
    </row>
    <row r="141" spans="1:27" ht="197" thickBot="1" x14ac:dyDescent="0.2">
      <c r="A141" s="34" t="str">
        <f>_xlfn.XLOOKUP(C141,'[1]SIG Job Families &amp; Descriptions'!F:F,'[1]SIG Job Families &amp; Descriptions'!B:B)</f>
        <v>Facility &amp; Administrative Services</v>
      </c>
      <c r="B141" s="34" t="str">
        <f>_xlfn.XLOOKUP(C141,'[1]SIG Job Families &amp; Descriptions'!F:F,'[1]SIG Job Families &amp; Descriptions'!D:D)</f>
        <v>Administrative Services</v>
      </c>
      <c r="C141" s="34" t="s">
        <v>62</v>
      </c>
      <c r="D141" s="30" t="str">
        <f t="shared" si="4"/>
        <v>AAS</v>
      </c>
      <c r="E141" s="31" t="str">
        <f>_xlfn.XLOOKUP(C141,'[1]SIG Job Families &amp; Descriptions'!F:F,'[1]SIG Job Families &amp; Descriptions'!A:A)</f>
        <v>AAS000</v>
      </c>
      <c r="F141" s="32" t="s">
        <v>32</v>
      </c>
      <c r="G141" s="33" t="s">
        <v>53</v>
      </c>
      <c r="H141" s="34" t="str">
        <f>F141&amp;"-"&amp;G141</f>
        <v>Professional-06</v>
      </c>
      <c r="I141" s="35" t="str">
        <f>IF(ISERROR(_xlfn.XLOOKUP(H141,'[1]SIG Level Structure'!D:D,'[1]SIG Level Structure'!D:D)),"0","1")</f>
        <v>1</v>
      </c>
      <c r="J141" s="36" t="str">
        <f>_xlfn.XLOOKUP($H141,'[1]SIG Level Structure'!$D:$D,'[1]SIG Level Structure'!F:F)</f>
        <v>U2</v>
      </c>
      <c r="K141" s="37" t="str">
        <f>E141&amp;"-"&amp;J141&amp;"-"&amp;G141</f>
        <v>AAS000-U2-06</v>
      </c>
      <c r="L141" s="37" t="str">
        <f>IFERROR(D141&amp;"-"&amp;LEFT(J141,1),"--")</f>
        <v>AAS-U</v>
      </c>
      <c r="M141" s="37" t="str">
        <f>VLOOKUP(L141,'[1]Compatible JC'!$A:$A,1,FALSE)</f>
        <v>AAS-U</v>
      </c>
      <c r="N141" s="37" t="str">
        <f>IFERROR(_xlfn.XLOOKUP(H141,'[1]SIG Level Structure'!D:D,'[1]SIG Level Structure'!C:C),"--")</f>
        <v>Assistant / Analyst</v>
      </c>
      <c r="O141" s="38" t="str">
        <f>IFERROR(TRIM(N141&amp;" "&amp;C141),"--")</f>
        <v>Assistant / Analyst Administrative Services</v>
      </c>
      <c r="P141" s="22" t="str">
        <f>_xlfn.XLOOKUP(E141,'[1]SIG Job Families &amp; Descriptions'!A:A,'[1]SIG Job Families &amp; Descriptions'!G:G)</f>
        <v>Provides administrative support to employees or groups in the organization. Uses business software applications (e.g., word processing, presentation and spreadsheet) to prepare correspondence, reports, presentations, agendas, minutes, etc.. Receives, screens and directs incoming calls, visitors, mail and email. Maintains files, records, calendars and diaries. May arrange business travel, coordinate meeting arrangements, and/or track expenses. Embraces activities in the field of secretarial and administrative support, or e.g.  reception or catering. Include roles that supports general business operations by providing various transportation and related support activities.</v>
      </c>
      <c r="Q141" s="39" t="str">
        <f>_xlfn.XLOOKUP(E141,'[1]2022 GI Position Descriptions'!E:E,'[1]2022 GI Position Descriptions'!G:G)</f>
        <v>Supports general business operations by providing various administrative support activities as a generalist or in a combination of Disciplines in the Administrative Services Function</v>
      </c>
      <c r="R141" s="22" t="str">
        <f>IF(LEFT(J141,1)="E","EX",LEFT(J141,1))</f>
        <v>U</v>
      </c>
      <c r="S141" s="22" t="str">
        <f>_xlfn.XLOOKUP($R141,'[1]Career Bands &amp; Levels'!A:A,'[1]Career Bands &amp; Levels'!C:C)</f>
        <v>● Performs clerical/administrative or specialized support tasks in an office, field or retail store/site setting
● May require vocational training or the equivalent experience, but does not require a university degree</v>
      </c>
      <c r="T141" s="22" t="str">
        <f>J141</f>
        <v>U2</v>
      </c>
      <c r="U141" s="40" t="str">
        <f t="shared" si="5"/>
        <v>U2</v>
      </c>
      <c r="V141" s="22" t="str">
        <f>_xlfn.XLOOKUP(T141,'[1]Career Bands &amp; Levels'!A:A,'[1]Career Bands &amp; Levels'!C:C)</f>
        <v xml:space="preserve">●	Has working knowledge and skills developed through formal training or work experience		
●	Works within established procedures with a moderate degree of supervision		
●	Identifies the problem and all relevant issues in straightforward situations, assesses each using standard procedures and makes sound decisions		</v>
      </c>
      <c r="W141" s="41" t="str">
        <f>J141&amp;"-"&amp;G141</f>
        <v>U2-06</v>
      </c>
      <c r="X141" s="42" t="str">
        <f>G141</f>
        <v>06</v>
      </c>
      <c r="Y141" s="22" t="str">
        <f>_xlfn.XLOOKUP(W141,'[1]Career Bands &amp; Levels'!A:A,'[1]Career Bands &amp; Levels'!C:C,"No Grade Differentiator")</f>
        <v xml:space="preserve">●	Has prior relevant training or related work experience		
●	Performs routine tasks following specific instructions or under close supervision		
●	Work is clearly defined and completed according to instruction		</v>
      </c>
      <c r="Z141" s="43" t="str">
        <f>IFERROR(O141&amp;" - "&amp;G141,"--")</f>
        <v>Assistant / Analyst Administrative Services - 06</v>
      </c>
      <c r="AA141" s="44" t="str">
        <f>_xlfn.XLOOKUP($H141,'[1]SIG Qualifications Input'!$D:$D,'[1]SIG Qualifications Input'!$H:$H)</f>
        <v>Vocational training in e.g. commercial field or equivalent work experience. Up to 5 years of experience, possibly further internal trainings.</v>
      </c>
    </row>
    <row r="142" spans="1:27" ht="197" thickBot="1" x14ac:dyDescent="0.2">
      <c r="A142" s="34" t="str">
        <f>_xlfn.XLOOKUP(C142,'[1]SIG Job Families &amp; Descriptions'!F:F,'[1]SIG Job Families &amp; Descriptions'!B:B)</f>
        <v>Facility &amp; Administrative Services</v>
      </c>
      <c r="B142" s="34" t="str">
        <f>_xlfn.XLOOKUP(C142,'[1]SIG Job Families &amp; Descriptions'!F:F,'[1]SIG Job Families &amp; Descriptions'!D:D)</f>
        <v>Administrative Services</v>
      </c>
      <c r="C142" s="34" t="s">
        <v>62</v>
      </c>
      <c r="D142" s="30" t="str">
        <f t="shared" si="4"/>
        <v>AAS</v>
      </c>
      <c r="E142" s="31" t="str">
        <f>_xlfn.XLOOKUP(C142,'[1]SIG Job Families &amp; Descriptions'!F:F,'[1]SIG Job Families &amp; Descriptions'!A:A)</f>
        <v>AAS000</v>
      </c>
      <c r="F142" s="32" t="s">
        <v>32</v>
      </c>
      <c r="G142" s="33" t="s">
        <v>52</v>
      </c>
      <c r="H142" s="34" t="str">
        <f>F142&amp;"-"&amp;G142</f>
        <v>Professional-07</v>
      </c>
      <c r="I142" s="35" t="str">
        <f>IF(ISERROR(_xlfn.XLOOKUP(H142,'[1]SIG Level Structure'!D:D,'[1]SIG Level Structure'!D:D)),"0","1")</f>
        <v>1</v>
      </c>
      <c r="J142" s="36" t="str">
        <f>_xlfn.XLOOKUP($H142,'[1]SIG Level Structure'!$D:$D,'[1]SIG Level Structure'!F:F)</f>
        <v>U3</v>
      </c>
      <c r="K142" s="37" t="str">
        <f>E142&amp;"-"&amp;J142&amp;"-"&amp;G142</f>
        <v>AAS000-U3-07</v>
      </c>
      <c r="L142" s="37" t="str">
        <f>IFERROR(D142&amp;"-"&amp;LEFT(J142,1),"--")</f>
        <v>AAS-U</v>
      </c>
      <c r="M142" s="37" t="str">
        <f>VLOOKUP(L142,'[1]Compatible JC'!$A:$A,1,FALSE)</f>
        <v>AAS-U</v>
      </c>
      <c r="N142" s="37" t="str">
        <f>IFERROR(_xlfn.XLOOKUP(H142,'[1]SIG Level Structure'!D:D,'[1]SIG Level Structure'!C:C),"--")</f>
        <v>Assistant / Analyst</v>
      </c>
      <c r="O142" s="38" t="str">
        <f>IFERROR(TRIM(N142&amp;" "&amp;C142),"--")</f>
        <v>Assistant / Analyst Administrative Services</v>
      </c>
      <c r="P142" s="22" t="str">
        <f>_xlfn.XLOOKUP(E142,'[1]SIG Job Families &amp; Descriptions'!A:A,'[1]SIG Job Families &amp; Descriptions'!G:G)</f>
        <v>Provides administrative support to employees or groups in the organization. Uses business software applications (e.g., word processing, presentation and spreadsheet) to prepare correspondence, reports, presentations, agendas, minutes, etc.. Receives, screens and directs incoming calls, visitors, mail and email. Maintains files, records, calendars and diaries. May arrange business travel, coordinate meeting arrangements, and/or track expenses. Embraces activities in the field of secretarial and administrative support, or e.g.  reception or catering. Include roles that supports general business operations by providing various transportation and related support activities.</v>
      </c>
      <c r="Q142" s="39" t="str">
        <f>_xlfn.XLOOKUP(E142,'[1]2022 GI Position Descriptions'!E:E,'[1]2022 GI Position Descriptions'!G:G)</f>
        <v>Supports general business operations by providing various administrative support activities as a generalist or in a combination of Disciplines in the Administrative Services Function</v>
      </c>
      <c r="R142" s="22" t="str">
        <f>IF(LEFT(J142,1)="E","EX",LEFT(J142,1))</f>
        <v>U</v>
      </c>
      <c r="S142" s="22" t="str">
        <f>_xlfn.XLOOKUP($R142,'[1]Career Bands &amp; Levels'!A:A,'[1]Career Bands &amp; Levels'!C:C)</f>
        <v>● Performs clerical/administrative or specialized support tasks in an office, field or retail store/site setting
● May require vocational training or the equivalent experience, but does not require a university degree</v>
      </c>
      <c r="T142" s="22" t="str">
        <f>J142</f>
        <v>U3</v>
      </c>
      <c r="U142" s="40" t="str">
        <f t="shared" si="5"/>
        <v>U3</v>
      </c>
      <c r="V142" s="22" t="str">
        <f>_xlfn.XLOOKUP(T142,'[1]Career Bands &amp; Levels'!A:A,'[1]Career Bands &amp; Levels'!C:C)</f>
        <v xml:space="preserve">●	Has full proficiency gained through job-related training and considerable work experience		
●	Completes work with a limited degree of supervision		
●	Likely to act as an informal resource for colleagues with less experience		
●	Identifies key issues and patterns from partial/conflicting data		
●	Takes a broad perspective to problems and spots new, less obvious solutions		</v>
      </c>
      <c r="W142" s="41" t="str">
        <f>J142&amp;"-"&amp;G142</f>
        <v>U3-07</v>
      </c>
      <c r="X142" s="42" t="str">
        <f>G142</f>
        <v>07</v>
      </c>
      <c r="Y142" s="22" t="str">
        <f>_xlfn.XLOOKUP(W142,'[1]Career Bands &amp; Levels'!A:A,'[1]Career Bands &amp; Levels'!C:C,"No Grade Differentiator")</f>
        <v>No Grade Differentiator</v>
      </c>
      <c r="Z142" s="43" t="str">
        <f>IFERROR(O142&amp;" - "&amp;G142,"--")</f>
        <v>Assistant / Analyst Administrative Services - 07</v>
      </c>
      <c r="AA142" s="44" t="str">
        <f>_xlfn.XLOOKUP($H142,'[1]SIG Qualifications Input'!$D:$D,'[1]SIG Qualifications Input'!$H:$H)</f>
        <v>Vocational training in e.g. commercial field or equivalent work experience. Up to 5 years of experience, possibly further internal trainings.</v>
      </c>
    </row>
    <row r="143" spans="1:27" ht="99" thickBot="1" x14ac:dyDescent="0.2">
      <c r="A143" s="34" t="str">
        <f>_xlfn.XLOOKUP(C143,'[1]SIG Job Families &amp; Descriptions'!F:F,'[1]SIG Job Families &amp; Descriptions'!B:B)</f>
        <v>Finance</v>
      </c>
      <c r="B143" s="34" t="str">
        <f>_xlfn.XLOOKUP(C143,'[1]SIG Job Families &amp; Descriptions'!F:F,'[1]SIG Job Families &amp; Descriptions'!D:D)</f>
        <v>General Finance</v>
      </c>
      <c r="C143" s="34" t="s">
        <v>69</v>
      </c>
      <c r="D143" s="30" t="str">
        <f t="shared" si="4"/>
        <v>AFA</v>
      </c>
      <c r="E143" s="31" t="str">
        <f>_xlfn.XLOOKUP(C143,'[1]SIG Job Families &amp; Descriptions'!F:F,'[1]SIG Job Families &amp; Descriptions'!A:A)</f>
        <v>AFA000</v>
      </c>
      <c r="F143" s="32" t="s">
        <v>29</v>
      </c>
      <c r="G143" s="33" t="s">
        <v>45</v>
      </c>
      <c r="H143" s="34" t="str">
        <f>F143&amp;"-"&amp;G143</f>
        <v>Management-17</v>
      </c>
      <c r="I143" s="35" t="str">
        <f>IF(ISERROR(_xlfn.XLOOKUP(H143,'[1]SIG Level Structure'!D:D,'[1]SIG Level Structure'!D:D)),"0","1")</f>
        <v>1</v>
      </c>
      <c r="J143" s="36" t="str">
        <f>_xlfn.XLOOKUP($H143,'[1]SIG Level Structure'!$D:$D,'[1]SIG Level Structure'!F:F)</f>
        <v>EX</v>
      </c>
      <c r="K143" s="37" t="str">
        <f>E143&amp;"-"&amp;J143&amp;"-"&amp;G143</f>
        <v>AFA000-EX-17</v>
      </c>
      <c r="L143" s="37" t="str">
        <f>IFERROR(D143&amp;"-"&amp;LEFT(J143,1),"--")</f>
        <v>AFA-E</v>
      </c>
      <c r="M143" s="37" t="str">
        <f>VLOOKUP(L143,'[1]Compatible JC'!$A:$A,1,FALSE)</f>
        <v>AFA-E</v>
      </c>
      <c r="N143" s="37" t="str">
        <f>IFERROR(_xlfn.XLOOKUP(H143,'[1]SIG Level Structure'!D:D,'[1]SIG Level Structure'!C:C),"--")</f>
        <v>Group Manager</v>
      </c>
      <c r="O143" s="38" t="str">
        <f>IFERROR(TRIM(N143&amp;" "&amp;C143),"--")</f>
        <v>Group Manager General Finance</v>
      </c>
      <c r="P143" s="22" t="str">
        <f>_xlfn.XLOOKUP(E143,'[1]SIG Job Families &amp; Descriptions'!A:A,'[1]SIG Job Families &amp; Descriptions'!G:G)</f>
        <v xml:space="preserve">Performs a variety of financial activities, including accounting, financial analysis, audit, tax, credit and collections. Develops and evaluates financial plans and policies. Establishes and maintains accounting, financial, and reporting policies and controls.
</v>
      </c>
      <c r="Q143" s="39" t="str">
        <f>_xlfn.XLOOKUP(E143,'[1]2022 GI Position Descriptions'!E:E,'[1]2022 GI Position Descriptions'!G:G)</f>
        <v>Performs a variety of financial activities, including accounting, financial analysis, audit, tax, credit and collections | Develops and evaluates financial plans and policies | Establishes and maintains accounting, financial, and reporting policies and controls</v>
      </c>
      <c r="R143" s="22" t="str">
        <f>IF(LEFT(J143,1)="E","EX",LEFT(J143,1))</f>
        <v>EX</v>
      </c>
      <c r="S143" s="22" t="str">
        <f>_xlfn.XLOOKUP($R143,'[1]Career Bands &amp; Levels'!A:A,'[1]Career Bands &amp; Levels'!C:C)</f>
        <v>● Holds management accountability for a business, division, major geography, corporate function or major corporate sub-function
● Develops, establishes and approves long-term vision and strategy for the area managed
● May be a board or executive committee member or have a comparable level of influence</v>
      </c>
      <c r="T143" s="22" t="str">
        <f>J143</f>
        <v>EX</v>
      </c>
      <c r="U143" s="40" t="str">
        <f t="shared" si="5"/>
        <v>EX</v>
      </c>
      <c r="V143" s="22" t="str">
        <f>_xlfn.XLOOKUP(T143,'[1]Career Bands &amp; Levels'!A:A,'[1]Career Bands &amp; Levels'!C:C)</f>
        <v>● Holds management accountability for a business, division, major geography, corporate function or major corporate sub-function
● Develops, establishes and approves long-term vision and strategy for the area managed
● May be a board or executive committee member or have a comparable level of influence</v>
      </c>
      <c r="W143" s="41" t="str">
        <f>J143&amp;"-"&amp;G143</f>
        <v>EX-17</v>
      </c>
      <c r="X143" s="42" t="str">
        <f>G143</f>
        <v>17</v>
      </c>
      <c r="Y143" s="22" t="str">
        <f>_xlfn.XLOOKUP(W143,'[1]Career Bands &amp; Levels'!A:A,'[1]Career Bands &amp; Levels'!C:C,"No Grade Differentiator")</f>
        <v>● Typically reports to the head of a subregion, country, division or function
● In large organizations (Global Grade 20 to 22), heads an infrastructure function with indirect impact on business performance</v>
      </c>
      <c r="Z143" s="43" t="str">
        <f>IFERROR(O143&amp;" - "&amp;G143,"--")</f>
        <v>Group Manager General Finance - 17</v>
      </c>
      <c r="AA143" s="44" t="str">
        <f>_xlfn.XLOOKUP($H143,'[1]SIG Qualifications Input'!$D:$D,'[1]SIG Qualifications Input'!$H:$H)</f>
        <v>University degree or equivalent and 10-15 years of work experience or equivalent
Profound experience in management of a global function or major region including setting the respective strategy</v>
      </c>
    </row>
    <row r="144" spans="1:27" ht="183" thickBot="1" x14ac:dyDescent="0.2">
      <c r="A144" s="34" t="str">
        <f>_xlfn.XLOOKUP(C144,'[1]SIG Job Families &amp; Descriptions'!F:F,'[1]SIG Job Families &amp; Descriptions'!B:B)</f>
        <v>Finance</v>
      </c>
      <c r="B144" s="34" t="str">
        <f>_xlfn.XLOOKUP(C144,'[1]SIG Job Families &amp; Descriptions'!F:F,'[1]SIG Job Families &amp; Descriptions'!D:D)</f>
        <v>General Finance</v>
      </c>
      <c r="C144" s="34" t="s">
        <v>69</v>
      </c>
      <c r="D144" s="30" t="str">
        <f t="shared" si="4"/>
        <v>AFA</v>
      </c>
      <c r="E144" s="31" t="str">
        <f>_xlfn.XLOOKUP(C144,'[1]SIG Job Families &amp; Descriptions'!F:F,'[1]SIG Job Families &amp; Descriptions'!A:A)</f>
        <v>AFA000</v>
      </c>
      <c r="F144" s="32" t="s">
        <v>29</v>
      </c>
      <c r="G144" s="33" t="s">
        <v>40</v>
      </c>
      <c r="H144" s="34" t="str">
        <f>F144&amp;"-"&amp;G144</f>
        <v>Management-16</v>
      </c>
      <c r="I144" s="35" t="str">
        <f>IF(ISERROR(_xlfn.XLOOKUP(H144,'[1]SIG Level Structure'!D:D,'[1]SIG Level Structure'!D:D)),"0","1")</f>
        <v>1</v>
      </c>
      <c r="J144" s="36" t="str">
        <f>_xlfn.XLOOKUP($H144,'[1]SIG Level Structure'!$D:$D,'[1]SIG Level Structure'!F:F)</f>
        <v>M4</v>
      </c>
      <c r="K144" s="37" t="str">
        <f>E144&amp;"-"&amp;J144&amp;"-"&amp;G144</f>
        <v>AFA000-M4-16</v>
      </c>
      <c r="L144" s="37" t="str">
        <f>IFERROR(D144&amp;"-"&amp;LEFT(J144,1),"--")</f>
        <v>AFA-M</v>
      </c>
      <c r="M144" s="37" t="str">
        <f>VLOOKUP(L144,'[1]Compatible JC'!$A:$A,1,FALSE)</f>
        <v>AFA-M</v>
      </c>
      <c r="N144" s="37" t="str">
        <f>IFERROR(_xlfn.XLOOKUP(H144,'[1]SIG Level Structure'!D:D,'[1]SIG Level Structure'!C:C),"--")</f>
        <v>Group Manager</v>
      </c>
      <c r="O144" s="38" t="str">
        <f>IFERROR(TRIM(N144&amp;" "&amp;C144),"--")</f>
        <v>Group Manager General Finance</v>
      </c>
      <c r="P144" s="22" t="str">
        <f>_xlfn.XLOOKUP(E144,'[1]SIG Job Families &amp; Descriptions'!A:A,'[1]SIG Job Families &amp; Descriptions'!G:G)</f>
        <v xml:space="preserve">Performs a variety of financial activities, including accounting, financial analysis, audit, tax, credit and collections. Develops and evaluates financial plans and policies. Establishes and maintains accounting, financial, and reporting policies and controls.
</v>
      </c>
      <c r="Q144" s="39" t="str">
        <f>_xlfn.XLOOKUP(E144,'[1]2022 GI Position Descriptions'!E:E,'[1]2022 GI Position Descriptions'!G:G)</f>
        <v>Performs a variety of financial activities, including accounting, financial analysis, audit, tax, credit and collections | Develops and evaluates financial plans and policies | Establishes and maintains accounting, financial, and reporting policies and controls</v>
      </c>
      <c r="R144" s="22" t="str">
        <f>IF(LEFT(J144,1)="E","EX",LEFT(J144,1))</f>
        <v>M</v>
      </c>
      <c r="S144" s="22" t="str">
        <f>_xlfn.XLOOKUP($R144,'[1]Career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144" s="22" t="str">
        <f>J144</f>
        <v>M4</v>
      </c>
      <c r="U144" s="40" t="str">
        <f t="shared" si="5"/>
        <v>M4</v>
      </c>
      <c r="V144" s="22" t="str">
        <f>_xlfn.XLOOKUP(T144,'[1]Career Bands &amp; Levels'!A:A,'[1]Career Bands &amp; Levels'!C:C)</f>
        <v xml:space="preserve">●	Provides leadership and direction through Senior Managers and Managers		
●	Has accountability for the performance and results of:		
	●	A large, strategically important discipline in an extremely large market; and/or	
	●	Related disciplines or a medium-sized function in a large market or medium-sized division; and/or	
	●	A medium-sized discipline or department in a major region	
●	Adapts and executes functional or departmental business plans and contributes to the development of functional or departmental strategies		
●	Decisions are guided by functional or major operational segment strategies and priorities		</v>
      </c>
      <c r="W144" s="41" t="str">
        <f>J144&amp;"-"&amp;G144</f>
        <v>M4-16</v>
      </c>
      <c r="X144" s="42" t="str">
        <f>G144</f>
        <v>16</v>
      </c>
      <c r="Y144" s="22" t="str">
        <f>_xlfn.XLOOKUP(W144,'[1]Career Bands &amp; Levels'!A:A,'[1]Career Bands &amp; Levels'!C:C,"No Grade Differentiator")</f>
        <v>No Grade Differentiator</v>
      </c>
      <c r="Z144" s="43" t="str">
        <f>IFERROR(O144&amp;" - "&amp;G144,"--")</f>
        <v>Group Manager General Finance - 16</v>
      </c>
      <c r="AA144" s="44" t="str">
        <f>_xlfn.XLOOKUP($H144,'[1]SIG Qualifications Input'!$D:$D,'[1]SIG Qualifications Input'!$H:$H)</f>
        <v>University degree or equivalent and 10-15 years of work experience or equivalent
Profound experience in management of a global function or major region including setting the respective strategy</v>
      </c>
    </row>
    <row r="145" spans="1:27" ht="183" thickBot="1" x14ac:dyDescent="0.2">
      <c r="A145" s="34" t="str">
        <f>_xlfn.XLOOKUP(C145,'[1]SIG Job Families &amp; Descriptions'!F:F,'[1]SIG Job Families &amp; Descriptions'!B:B)</f>
        <v>Finance</v>
      </c>
      <c r="B145" s="34" t="str">
        <f>_xlfn.XLOOKUP(C145,'[1]SIG Job Families &amp; Descriptions'!F:F,'[1]SIG Job Families &amp; Descriptions'!D:D)</f>
        <v>General Finance</v>
      </c>
      <c r="C145" s="34" t="s">
        <v>69</v>
      </c>
      <c r="D145" s="30" t="str">
        <f t="shared" si="4"/>
        <v>AFA</v>
      </c>
      <c r="E145" s="31" t="str">
        <f>_xlfn.XLOOKUP(C145,'[1]SIG Job Families &amp; Descriptions'!F:F,'[1]SIG Job Families &amp; Descriptions'!A:A)</f>
        <v>AFA000</v>
      </c>
      <c r="F145" s="32" t="s">
        <v>29</v>
      </c>
      <c r="G145" s="33" t="s">
        <v>30</v>
      </c>
      <c r="H145" s="34" t="str">
        <f>F145&amp;"-"&amp;G145</f>
        <v>Management-15</v>
      </c>
      <c r="I145" s="35" t="str">
        <f>IF(ISERROR(_xlfn.XLOOKUP(H145,'[1]SIG Level Structure'!D:D,'[1]SIG Level Structure'!D:D)),"0","1")</f>
        <v>1</v>
      </c>
      <c r="J145" s="36" t="str">
        <f>_xlfn.XLOOKUP($H145,'[1]SIG Level Structure'!$D:$D,'[1]SIG Level Structure'!F:F)</f>
        <v>M3</v>
      </c>
      <c r="K145" s="37" t="str">
        <f>E145&amp;"-"&amp;J145&amp;"-"&amp;G145</f>
        <v>AFA000-M3-15</v>
      </c>
      <c r="L145" s="37" t="str">
        <f>IFERROR(D145&amp;"-"&amp;LEFT(J145,1),"--")</f>
        <v>AFA-M</v>
      </c>
      <c r="M145" s="37" t="str">
        <f>VLOOKUP(L145,'[1]Compatible JC'!$A:$A,1,FALSE)</f>
        <v>AFA-M</v>
      </c>
      <c r="N145" s="37" t="str">
        <f>IFERROR(_xlfn.XLOOKUP(H145,'[1]SIG Level Structure'!D:D,'[1]SIG Level Structure'!C:C),"--")</f>
        <v>Senior Manager</v>
      </c>
      <c r="O145" s="38" t="str">
        <f>IFERROR(TRIM(N145&amp;" "&amp;C145),"--")</f>
        <v>Senior Manager General Finance</v>
      </c>
      <c r="P145" s="22" t="str">
        <f>_xlfn.XLOOKUP(E145,'[1]SIG Job Families &amp; Descriptions'!A:A,'[1]SIG Job Families &amp; Descriptions'!G:G)</f>
        <v xml:space="preserve">Performs a variety of financial activities, including accounting, financial analysis, audit, tax, credit and collections. Develops and evaluates financial plans and policies. Establishes and maintains accounting, financial, and reporting policies and controls.
</v>
      </c>
      <c r="Q145" s="39" t="str">
        <f>_xlfn.XLOOKUP(E145,'[1]2022 GI Position Descriptions'!E:E,'[1]2022 GI Position Descriptions'!G:G)</f>
        <v>Performs a variety of financial activities, including accounting, financial analysis, audit, tax, credit and collections | Develops and evaluates financial plans and policies | Establishes and maintains accounting, financial, and reporting policies and controls</v>
      </c>
      <c r="R145" s="22" t="str">
        <f>IF(LEFT(J145,1)="E","EX",LEFT(J145,1))</f>
        <v>M</v>
      </c>
      <c r="S145" s="22" t="str">
        <f>_xlfn.XLOOKUP($R145,'[1]Career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145" s="22" t="str">
        <f>J145</f>
        <v>M3</v>
      </c>
      <c r="U145" s="40" t="str">
        <f t="shared" si="5"/>
        <v>M3</v>
      </c>
      <c r="V145" s="22" t="str">
        <f>_xlfn.XLOOKUP(T145,'[1]Career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145" s="41" t="str">
        <f>J145&amp;"-"&amp;G145</f>
        <v>M3-15</v>
      </c>
      <c r="X145" s="42" t="str">
        <f>G145</f>
        <v>15</v>
      </c>
      <c r="Y145" s="22" t="str">
        <f>_xlfn.XLOOKUP(W145,'[1]Career Bands &amp; Levels'!A:A,'[1]Career Bands &amp; Levels'!C:C,"No Grade Differentiator")</f>
        <v xml:space="preserve">●	Looks beyond existing methodologies and own discipline to define and resolve complex problems
●	Develops plans and delivers results in fast-changing businesses and/or regulatory environments
●	Provides input to functional or departmental strategy		
●	Manages large, potentially diverse teams of managers and/or senior professionals		
		</v>
      </c>
      <c r="Z145" s="43" t="str">
        <f>IFERROR(O145&amp;" - "&amp;G145,"--")</f>
        <v>Senior Manager General Finance - 15</v>
      </c>
      <c r="AA145" s="44" t="str">
        <f>_xlfn.XLOOKUP($H145,'[1]SIG Qualifications Input'!$D:$D,'[1]SIG Qualifications Input'!$H:$H)</f>
        <v xml:space="preserve">University degree or equivalent and 10+ years of work experience or equivalent
Profound experience in managing performance and results of diverse activities / multiple teams </v>
      </c>
    </row>
    <row r="146" spans="1:27" ht="183" thickBot="1" x14ac:dyDescent="0.2">
      <c r="A146" s="34" t="str">
        <f>_xlfn.XLOOKUP(C146,'[1]SIG Job Families &amp; Descriptions'!F:F,'[1]SIG Job Families &amp; Descriptions'!B:B)</f>
        <v>Finance</v>
      </c>
      <c r="B146" s="34" t="str">
        <f>_xlfn.XLOOKUP(C146,'[1]SIG Job Families &amp; Descriptions'!F:F,'[1]SIG Job Families &amp; Descriptions'!D:D)</f>
        <v>General Finance</v>
      </c>
      <c r="C146" s="34" t="s">
        <v>69</v>
      </c>
      <c r="D146" s="30" t="str">
        <f t="shared" si="4"/>
        <v>AFA</v>
      </c>
      <c r="E146" s="31" t="str">
        <f>_xlfn.XLOOKUP(C146,'[1]SIG Job Families &amp; Descriptions'!F:F,'[1]SIG Job Families &amp; Descriptions'!A:A)</f>
        <v>AFA000</v>
      </c>
      <c r="F146" s="32" t="s">
        <v>29</v>
      </c>
      <c r="G146" s="33" t="s">
        <v>31</v>
      </c>
      <c r="H146" s="34" t="str">
        <f>F146&amp;"-"&amp;G146</f>
        <v>Management-14</v>
      </c>
      <c r="I146" s="35" t="str">
        <f>IF(ISERROR(_xlfn.XLOOKUP(H146,'[1]SIG Level Structure'!D:D,'[1]SIG Level Structure'!D:D)),"0","1")</f>
        <v>1</v>
      </c>
      <c r="J146" s="36" t="str">
        <f>_xlfn.XLOOKUP($H146,'[1]SIG Level Structure'!$D:$D,'[1]SIG Level Structure'!F:F)</f>
        <v>M3</v>
      </c>
      <c r="K146" s="37" t="str">
        <f>E146&amp;"-"&amp;J146&amp;"-"&amp;G146</f>
        <v>AFA000-M3-14</v>
      </c>
      <c r="L146" s="37" t="str">
        <f>IFERROR(D146&amp;"-"&amp;LEFT(J146,1),"--")</f>
        <v>AFA-M</v>
      </c>
      <c r="M146" s="37" t="str">
        <f>VLOOKUP(L146,'[1]Compatible JC'!$A:$A,1,FALSE)</f>
        <v>AFA-M</v>
      </c>
      <c r="N146" s="37" t="str">
        <f>IFERROR(_xlfn.XLOOKUP(H146,'[1]SIG Level Structure'!D:D,'[1]SIG Level Structure'!C:C),"--")</f>
        <v>Senior Manager</v>
      </c>
      <c r="O146" s="38" t="str">
        <f>IFERROR(TRIM(N146&amp;" "&amp;C146),"--")</f>
        <v>Senior Manager General Finance</v>
      </c>
      <c r="P146" s="22" t="str">
        <f>_xlfn.XLOOKUP(E146,'[1]SIG Job Families &amp; Descriptions'!A:A,'[1]SIG Job Families &amp; Descriptions'!G:G)</f>
        <v xml:space="preserve">Performs a variety of financial activities, including accounting, financial analysis, audit, tax, credit and collections. Develops and evaluates financial plans and policies. Establishes and maintains accounting, financial, and reporting policies and controls.
</v>
      </c>
      <c r="Q146" s="39" t="str">
        <f>_xlfn.XLOOKUP(E146,'[1]2022 GI Position Descriptions'!E:E,'[1]2022 GI Position Descriptions'!G:G)</f>
        <v>Performs a variety of financial activities, including accounting, financial analysis, audit, tax, credit and collections | Develops and evaluates financial plans and policies | Establishes and maintains accounting, financial, and reporting policies and controls</v>
      </c>
      <c r="R146" s="22" t="str">
        <f>IF(LEFT(J146,1)="E","EX",LEFT(J146,1))</f>
        <v>M</v>
      </c>
      <c r="S146" s="22" t="str">
        <f>_xlfn.XLOOKUP($R146,'[1]Career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146" s="22" t="str">
        <f>J146</f>
        <v>M3</v>
      </c>
      <c r="U146" s="40" t="str">
        <f t="shared" si="5"/>
        <v>M3</v>
      </c>
      <c r="V146" s="22" t="str">
        <f>_xlfn.XLOOKUP(T146,'[1]Career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146" s="41" t="str">
        <f>J146&amp;"-"&amp;G146</f>
        <v>M3-14</v>
      </c>
      <c r="X146" s="42" t="str">
        <f>G146</f>
        <v>14</v>
      </c>
      <c r="Y146" s="22" t="str">
        <f>_xlfn.XLOOKUP(W146,'[1]Career Bands &amp; Levels'!A:A,'[1]Career Bands &amp; Levels'!C:C,"No Grade Differentiator")</f>
        <v xml:space="preserve">●	Identifies applications of functional knowledge and existing methodologies to complex problems	
●	Manages large teams of professionals and/or junior managers		
		</v>
      </c>
      <c r="Z146" s="43" t="str">
        <f>IFERROR(O146&amp;" - "&amp;G146,"--")</f>
        <v>Senior Manager General Finance - 14</v>
      </c>
      <c r="AA146" s="44" t="str">
        <f>_xlfn.XLOOKUP($H146,'[1]SIG Qualifications Input'!$D:$D,'[1]SIG Qualifications Input'!$H:$H)</f>
        <v xml:space="preserve">University degree or equivalent and 10+ years of work experience or equivalent
Profound experience in managing performance and results of diverse activities / multiple teams </v>
      </c>
    </row>
    <row r="147" spans="1:27" ht="183" thickBot="1" x14ac:dyDescent="0.2">
      <c r="A147" s="34" t="str">
        <f>_xlfn.XLOOKUP(C147,'[1]SIG Job Families &amp; Descriptions'!F:F,'[1]SIG Job Families &amp; Descriptions'!B:B)</f>
        <v>Finance</v>
      </c>
      <c r="B147" s="34" t="str">
        <f>_xlfn.XLOOKUP(C147,'[1]SIG Job Families &amp; Descriptions'!F:F,'[1]SIG Job Families &amp; Descriptions'!D:D)</f>
        <v>General Finance</v>
      </c>
      <c r="C147" s="34" t="s">
        <v>69</v>
      </c>
      <c r="D147" s="30" t="str">
        <f t="shared" si="4"/>
        <v>AFA</v>
      </c>
      <c r="E147" s="31" t="str">
        <f>_xlfn.XLOOKUP(C147,'[1]SIG Job Families &amp; Descriptions'!F:F,'[1]SIG Job Families &amp; Descriptions'!A:A)</f>
        <v>AFA000</v>
      </c>
      <c r="F147" s="32" t="s">
        <v>29</v>
      </c>
      <c r="G147" s="33" t="s">
        <v>35</v>
      </c>
      <c r="H147" s="34" t="str">
        <f>F147&amp;"-"&amp;G147</f>
        <v>Management-11</v>
      </c>
      <c r="I147" s="35" t="str">
        <f>IF(ISERROR(_xlfn.XLOOKUP(H147,'[1]SIG Level Structure'!D:D,'[1]SIG Level Structure'!D:D)),"0","1")</f>
        <v>1</v>
      </c>
      <c r="J147" s="36" t="str">
        <f>_xlfn.XLOOKUP($H147,'[1]SIG Level Structure'!$D:$D,'[1]SIG Level Structure'!F:F)</f>
        <v>M1</v>
      </c>
      <c r="K147" s="37" t="str">
        <f>E147&amp;"-"&amp;J147&amp;"-"&amp;G147</f>
        <v>AFA000-M1-11</v>
      </c>
      <c r="L147" s="37" t="str">
        <f>IFERROR(D147&amp;"-"&amp;LEFT(J147,1),"--")</f>
        <v>AFA-M</v>
      </c>
      <c r="M147" s="37" t="str">
        <f>VLOOKUP(L147,'[1]Compatible JC'!$A:$A,1,FALSE)</f>
        <v>AFA-M</v>
      </c>
      <c r="N147" s="37" t="str">
        <f>IFERROR(_xlfn.XLOOKUP(H147,'[1]SIG Level Structure'!D:D,'[1]SIG Level Structure'!C:C),"--")</f>
        <v>Supervisor</v>
      </c>
      <c r="O147" s="38" t="str">
        <f>IFERROR(TRIM(N147&amp;" "&amp;C147),"--")</f>
        <v>Supervisor General Finance</v>
      </c>
      <c r="P147" s="22" t="str">
        <f>_xlfn.XLOOKUP(E147,'[1]SIG Job Families &amp; Descriptions'!A:A,'[1]SIG Job Families &amp; Descriptions'!G:G)</f>
        <v xml:space="preserve">Performs a variety of financial activities, including accounting, financial analysis, audit, tax, credit and collections. Develops and evaluates financial plans and policies. Establishes and maintains accounting, financial, and reporting policies and controls.
</v>
      </c>
      <c r="Q147" s="39" t="str">
        <f>_xlfn.XLOOKUP(E147,'[1]2022 GI Position Descriptions'!E:E,'[1]2022 GI Position Descriptions'!G:G)</f>
        <v>Performs a variety of financial activities, including accounting, financial analysis, audit, tax, credit and collections | Develops and evaluates financial plans and policies | Establishes and maintains accounting, financial, and reporting policies and controls</v>
      </c>
      <c r="R147" s="22" t="str">
        <f>IF(LEFT(J147,1)="E","EX",LEFT(J147,1))</f>
        <v>M</v>
      </c>
      <c r="S147" s="22" t="str">
        <f>_xlfn.XLOOKUP($R147,'[1]Career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147" s="22" t="str">
        <f>J147</f>
        <v>M1</v>
      </c>
      <c r="U147" s="40" t="str">
        <f t="shared" si="5"/>
        <v>M1</v>
      </c>
      <c r="V147" s="22" t="str">
        <f>_xlfn.XLOOKUP(T147,'[1]Career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147" s="41" t="str">
        <f>J147&amp;"-"&amp;G147</f>
        <v>M1-11</v>
      </c>
      <c r="X147" s="42" t="str">
        <f>G147</f>
        <v>11</v>
      </c>
      <c r="Y147" s="22" t="str">
        <f>_xlfn.XLOOKUP(W147,'[1]Career Bands &amp; Levels'!A:A,'[1]Career Bands &amp; Levels'!C:C,"No Grade Differentiator")</f>
        <v xml:space="preserve">●	Accountable for the results of a large and/or moderately complex support or production operations team including subordinate work leaders		
●	Applies acquired expertise to analyze and solve problems without clear precedent		
●	Provides input on resource planning and policy development		
●	Coaches team members on performance, completes employee performance evaluations and recommends pay actions		</v>
      </c>
      <c r="Z147" s="43" t="str">
        <f>IFERROR(O147&amp;" - "&amp;G147,"--")</f>
        <v>Supervisor General Finance - 11</v>
      </c>
      <c r="AA147" s="44" t="str">
        <f>_xlfn.XLOOKUP($H147,'[1]SIG Qualifications Input'!$D:$D,'[1]SIG Qualifications Input'!$H:$H)</f>
        <v>University degree or equivalent and 5-7 years of work experience or equivalent
Experienced in application of management techniques
Experience in operationally managing a mixed-level team</v>
      </c>
    </row>
    <row r="148" spans="1:27" ht="183" thickBot="1" x14ac:dyDescent="0.2">
      <c r="A148" s="34" t="str">
        <f>_xlfn.XLOOKUP(C148,'[1]SIG Job Families &amp; Descriptions'!F:F,'[1]SIG Job Families &amp; Descriptions'!B:B)</f>
        <v>Finance</v>
      </c>
      <c r="B148" s="34" t="str">
        <f>_xlfn.XLOOKUP(C148,'[1]SIG Job Families &amp; Descriptions'!F:F,'[1]SIG Job Families &amp; Descriptions'!D:D)</f>
        <v>General Finance</v>
      </c>
      <c r="C148" s="34" t="s">
        <v>69</v>
      </c>
      <c r="D148" s="30" t="str">
        <f t="shared" si="4"/>
        <v>AFA</v>
      </c>
      <c r="E148" s="31" t="str">
        <f>_xlfn.XLOOKUP(C148,'[1]SIG Job Families &amp; Descriptions'!F:F,'[1]SIG Job Families &amp; Descriptions'!A:A)</f>
        <v>AFA000</v>
      </c>
      <c r="F148" s="32" t="s">
        <v>29</v>
      </c>
      <c r="G148" s="33" t="s">
        <v>36</v>
      </c>
      <c r="H148" s="34" t="str">
        <f>F148&amp;"-"&amp;G148</f>
        <v>Management-10</v>
      </c>
      <c r="I148" s="35" t="str">
        <f>IF(ISERROR(_xlfn.XLOOKUP(H148,'[1]SIG Level Structure'!D:D,'[1]SIG Level Structure'!D:D)),"0","1")</f>
        <v>1</v>
      </c>
      <c r="J148" s="36" t="str">
        <f>_xlfn.XLOOKUP($H148,'[1]SIG Level Structure'!$D:$D,'[1]SIG Level Structure'!F:F)</f>
        <v>M1</v>
      </c>
      <c r="K148" s="37" t="str">
        <f>E148&amp;"-"&amp;J148&amp;"-"&amp;G148</f>
        <v>AFA000-M1-10</v>
      </c>
      <c r="L148" s="37" t="str">
        <f>IFERROR(D148&amp;"-"&amp;LEFT(J148,1),"--")</f>
        <v>AFA-M</v>
      </c>
      <c r="M148" s="37" t="str">
        <f>VLOOKUP(L148,'[1]Compatible JC'!$A:$A,1,FALSE)</f>
        <v>AFA-M</v>
      </c>
      <c r="N148" s="37" t="str">
        <f>IFERROR(_xlfn.XLOOKUP(H148,'[1]SIG Level Structure'!D:D,'[1]SIG Level Structure'!C:C),"--")</f>
        <v>Supervisor</v>
      </c>
      <c r="O148" s="38" t="str">
        <f>IFERROR(TRIM(N148&amp;" "&amp;C148),"--")</f>
        <v>Supervisor General Finance</v>
      </c>
      <c r="P148" s="22" t="str">
        <f>_xlfn.XLOOKUP(E148,'[1]SIG Job Families &amp; Descriptions'!A:A,'[1]SIG Job Families &amp; Descriptions'!G:G)</f>
        <v xml:space="preserve">Performs a variety of financial activities, including accounting, financial analysis, audit, tax, credit and collections. Develops and evaluates financial plans and policies. Establishes and maintains accounting, financial, and reporting policies and controls.
</v>
      </c>
      <c r="Q148" s="39" t="str">
        <f>_xlfn.XLOOKUP(E148,'[1]2022 GI Position Descriptions'!E:E,'[1]2022 GI Position Descriptions'!G:G)</f>
        <v>Performs a variety of financial activities, including accounting, financial analysis, audit, tax, credit and collections | Develops and evaluates financial plans and policies | Establishes and maintains accounting, financial, and reporting policies and controls</v>
      </c>
      <c r="R148" s="22" t="str">
        <f>IF(LEFT(J148,1)="E","EX",LEFT(J148,1))</f>
        <v>M</v>
      </c>
      <c r="S148" s="22" t="str">
        <f>_xlfn.XLOOKUP($R148,'[1]Career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148" s="22" t="str">
        <f>J148</f>
        <v>M1</v>
      </c>
      <c r="U148" s="40" t="str">
        <f t="shared" si="5"/>
        <v>M1</v>
      </c>
      <c r="V148" s="22" t="str">
        <f>_xlfn.XLOOKUP(T148,'[1]Career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148" s="41" t="str">
        <f>J148&amp;"-"&amp;G148</f>
        <v>M1-10</v>
      </c>
      <c r="X148" s="42" t="str">
        <f>G148</f>
        <v>10</v>
      </c>
      <c r="Y148" s="22" t="str">
        <f>_xlfn.XLOOKUP(W148,'[1]Career Bands &amp; Levels'!A:A,'[1]Career Bands &amp; Levels'!C:C,"No Grade Differentiator")</f>
        <v xml:space="preserve">●	Accountable for the results of medium-sized routine support or production operations teams		
●	Solves problems based on practice and precedent		
●	Trains team members and provides input to employee performance evaluations		</v>
      </c>
      <c r="Z148" s="43" t="str">
        <f>IFERROR(O148&amp;" - "&amp;G148,"--")</f>
        <v>Supervisor General Finance - 10</v>
      </c>
      <c r="AA148" s="44" t="str">
        <f>_xlfn.XLOOKUP($H148,'[1]SIG Qualifications Input'!$D:$D,'[1]SIG Qualifications Input'!$H:$H)</f>
        <v>University degree or equivalent and 5-7 years of work experience or equivalent
Experienced in application of management techniques
Experience in operationally managing a mixed-level team</v>
      </c>
    </row>
    <row r="149" spans="1:27" ht="183" thickBot="1" x14ac:dyDescent="0.2">
      <c r="A149" s="34" t="str">
        <f>_xlfn.XLOOKUP(C149,'[1]SIG Job Families &amp; Descriptions'!F:F,'[1]SIG Job Families &amp; Descriptions'!B:B)</f>
        <v>Finance</v>
      </c>
      <c r="B149" s="34" t="str">
        <f>_xlfn.XLOOKUP(C149,'[1]SIG Job Families &amp; Descriptions'!F:F,'[1]SIG Job Families &amp; Descriptions'!D:D)</f>
        <v>Accounting</v>
      </c>
      <c r="C149" s="34" t="s">
        <v>70</v>
      </c>
      <c r="D149" s="30" t="str">
        <f t="shared" si="4"/>
        <v>AFB</v>
      </c>
      <c r="E149" s="31" t="str">
        <f>_xlfn.XLOOKUP(C149,'[1]SIG Job Families &amp; Descriptions'!F:F,'[1]SIG Job Families &amp; Descriptions'!A:A)</f>
        <v>AFB000</v>
      </c>
      <c r="F149" s="32" t="s">
        <v>29</v>
      </c>
      <c r="G149" s="33" t="s">
        <v>30</v>
      </c>
      <c r="H149" s="34" t="str">
        <f>F149&amp;"-"&amp;G149</f>
        <v>Management-15</v>
      </c>
      <c r="I149" s="35" t="str">
        <f>IF(ISERROR(_xlfn.XLOOKUP(H149,'[1]SIG Level Structure'!D:D,'[1]SIG Level Structure'!D:D)),"0","1")</f>
        <v>1</v>
      </c>
      <c r="J149" s="36" t="str">
        <f>_xlfn.XLOOKUP($H149,'[1]SIG Level Structure'!$D:$D,'[1]SIG Level Structure'!F:F)</f>
        <v>M3</v>
      </c>
      <c r="K149" s="37" t="str">
        <f>E149&amp;"-"&amp;J149&amp;"-"&amp;G149</f>
        <v>AFB000-M3-15</v>
      </c>
      <c r="L149" s="37" t="str">
        <f>IFERROR(D149&amp;"-"&amp;LEFT(J149,1),"--")</f>
        <v>AFB-M</v>
      </c>
      <c r="M149" s="37" t="str">
        <f>VLOOKUP(L149,'[1]Compatible JC'!$A:$A,1,FALSE)</f>
        <v>AFB-M</v>
      </c>
      <c r="N149" s="37" t="str">
        <f>IFERROR(_xlfn.XLOOKUP(H149,'[1]SIG Level Structure'!D:D,'[1]SIG Level Structure'!C:C),"--")</f>
        <v>Senior Manager</v>
      </c>
      <c r="O149" s="38" t="str">
        <f>IFERROR(TRIM(N149&amp;" "&amp;C149),"--")</f>
        <v>Senior Manager Accounting</v>
      </c>
      <c r="P149" s="22" t="str">
        <f>_xlfn.XLOOKUP(E149,'[1]SIG Job Families &amp; Descriptions'!A:A,'[1]SIG Job Families &amp; Descriptions'!G:G)</f>
        <v>Performs general accounting activities, including the preparation, maintenance and reconciliation of ledger accounts and financial statements such as balance sheets, profit-and-loss statements and capital expenditure schedules. Prepares, records, analyzes and reports accounting transactions and ensures the integrity of accounting records for completeness, accuracy and compliance with accepted accounting policies and principles. Analyzes and prepares statutory accounts, financial statements and reports. Conducts or assists in the documentation of accounting projects.</v>
      </c>
      <c r="Q149" s="39" t="str">
        <f>_xlfn.XLOOKUP(E149,'[1]2022 GI Position Descriptions'!E:E,'[1]2022 GI Position Descriptions'!G:G)</f>
        <v>Establishes and maintains accounting policies and controls, fiscal controls, preparing financial reports and safeguarding the organization's assets | Responsibilities are within the Accounting Function as a generalist or in a combination of Disciplines</v>
      </c>
      <c r="R149" s="22" t="str">
        <f>IF(LEFT(J149,1)="E","EX",LEFT(J149,1))</f>
        <v>M</v>
      </c>
      <c r="S149" s="22" t="str">
        <f>_xlfn.XLOOKUP($R149,'[1]Career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149" s="22" t="str">
        <f>J149</f>
        <v>M3</v>
      </c>
      <c r="U149" s="40" t="str">
        <f t="shared" si="5"/>
        <v>M3</v>
      </c>
      <c r="V149" s="22" t="str">
        <f>_xlfn.XLOOKUP(T149,'[1]Career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149" s="41" t="str">
        <f>J149&amp;"-"&amp;G149</f>
        <v>M3-15</v>
      </c>
      <c r="X149" s="42" t="str">
        <f>G149</f>
        <v>15</v>
      </c>
      <c r="Y149" s="22" t="str">
        <f>_xlfn.XLOOKUP(W149,'[1]Career Bands &amp; Levels'!A:A,'[1]Career Bands &amp; Levels'!C:C,"No Grade Differentiator")</f>
        <v xml:space="preserve">●	Looks beyond existing methodologies and own discipline to define and resolve complex problems
●	Develops plans and delivers results in fast-changing businesses and/or regulatory environments
●	Provides input to functional or departmental strategy		
●	Manages large, potentially diverse teams of managers and/or senior professionals		
		</v>
      </c>
      <c r="Z149" s="43" t="str">
        <f>IFERROR(O149&amp;" - "&amp;G149,"--")</f>
        <v>Senior Manager Accounting - 15</v>
      </c>
      <c r="AA149" s="44" t="str">
        <f>_xlfn.XLOOKUP($H149,'[1]SIG Qualifications Input'!$D:$D,'[1]SIG Qualifications Input'!$H:$H)</f>
        <v xml:space="preserve">University degree or equivalent and 10+ years of work experience or equivalent
Profound experience in managing performance and results of diverse activities / multiple teams </v>
      </c>
    </row>
    <row r="150" spans="1:27" ht="183" thickBot="1" x14ac:dyDescent="0.2">
      <c r="A150" s="34" t="str">
        <f>_xlfn.XLOOKUP(C150,'[1]SIG Job Families &amp; Descriptions'!F:F,'[1]SIG Job Families &amp; Descriptions'!B:B)</f>
        <v>Finance</v>
      </c>
      <c r="B150" s="34" t="str">
        <f>_xlfn.XLOOKUP(C150,'[1]SIG Job Families &amp; Descriptions'!F:F,'[1]SIG Job Families &amp; Descriptions'!D:D)</f>
        <v>Accounting</v>
      </c>
      <c r="C150" s="34" t="s">
        <v>70</v>
      </c>
      <c r="D150" s="30" t="str">
        <f t="shared" si="4"/>
        <v>AFB</v>
      </c>
      <c r="E150" s="31" t="str">
        <f>_xlfn.XLOOKUP(C150,'[1]SIG Job Families &amp; Descriptions'!F:F,'[1]SIG Job Families &amp; Descriptions'!A:A)</f>
        <v>AFB000</v>
      </c>
      <c r="F150" s="32" t="s">
        <v>29</v>
      </c>
      <c r="G150" s="33" t="s">
        <v>31</v>
      </c>
      <c r="H150" s="34" t="str">
        <f>F150&amp;"-"&amp;G150</f>
        <v>Management-14</v>
      </c>
      <c r="I150" s="35" t="str">
        <f>IF(ISERROR(_xlfn.XLOOKUP(H150,'[1]SIG Level Structure'!D:D,'[1]SIG Level Structure'!D:D)),"0","1")</f>
        <v>1</v>
      </c>
      <c r="J150" s="36" t="str">
        <f>_xlfn.XLOOKUP($H150,'[1]SIG Level Structure'!$D:$D,'[1]SIG Level Structure'!F:F)</f>
        <v>M3</v>
      </c>
      <c r="K150" s="37" t="str">
        <f>E150&amp;"-"&amp;J150&amp;"-"&amp;G150</f>
        <v>AFB000-M3-14</v>
      </c>
      <c r="L150" s="37" t="str">
        <f>IFERROR(D150&amp;"-"&amp;LEFT(J150,1),"--")</f>
        <v>AFB-M</v>
      </c>
      <c r="M150" s="37" t="str">
        <f>VLOOKUP(L150,'[1]Compatible JC'!$A:$A,1,FALSE)</f>
        <v>AFB-M</v>
      </c>
      <c r="N150" s="37" t="str">
        <f>IFERROR(_xlfn.XLOOKUP(H150,'[1]SIG Level Structure'!D:D,'[1]SIG Level Structure'!C:C),"--")</f>
        <v>Senior Manager</v>
      </c>
      <c r="O150" s="38" t="str">
        <f>IFERROR(TRIM(N150&amp;" "&amp;C150),"--")</f>
        <v>Senior Manager Accounting</v>
      </c>
      <c r="P150" s="22" t="str">
        <f>_xlfn.XLOOKUP(E150,'[1]SIG Job Families &amp; Descriptions'!A:A,'[1]SIG Job Families &amp; Descriptions'!G:G)</f>
        <v>Performs general accounting activities, including the preparation, maintenance and reconciliation of ledger accounts and financial statements such as balance sheets, profit-and-loss statements and capital expenditure schedules. Prepares, records, analyzes and reports accounting transactions and ensures the integrity of accounting records for completeness, accuracy and compliance with accepted accounting policies and principles. Analyzes and prepares statutory accounts, financial statements and reports. Conducts or assists in the documentation of accounting projects.</v>
      </c>
      <c r="Q150" s="39" t="str">
        <f>_xlfn.XLOOKUP(E150,'[1]2022 GI Position Descriptions'!E:E,'[1]2022 GI Position Descriptions'!G:G)</f>
        <v>Establishes and maintains accounting policies and controls, fiscal controls, preparing financial reports and safeguarding the organization's assets | Responsibilities are within the Accounting Function as a generalist or in a combination of Disciplines</v>
      </c>
      <c r="R150" s="22" t="str">
        <f>IF(LEFT(J150,1)="E","EX",LEFT(J150,1))</f>
        <v>M</v>
      </c>
      <c r="S150" s="22" t="str">
        <f>_xlfn.XLOOKUP($R150,'[1]Career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150" s="22" t="str">
        <f>J150</f>
        <v>M3</v>
      </c>
      <c r="U150" s="40" t="str">
        <f t="shared" si="5"/>
        <v>M3</v>
      </c>
      <c r="V150" s="22" t="str">
        <f>_xlfn.XLOOKUP(T150,'[1]Career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150" s="41" t="str">
        <f>J150&amp;"-"&amp;G150</f>
        <v>M3-14</v>
      </c>
      <c r="X150" s="42" t="str">
        <f>G150</f>
        <v>14</v>
      </c>
      <c r="Y150" s="22" t="str">
        <f>_xlfn.XLOOKUP(W150,'[1]Career Bands &amp; Levels'!A:A,'[1]Career Bands &amp; Levels'!C:C,"No Grade Differentiator")</f>
        <v xml:space="preserve">●	Identifies applications of functional knowledge and existing methodologies to complex problems	
●	Manages large teams of professionals and/or junior managers		
		</v>
      </c>
      <c r="Z150" s="43" t="str">
        <f>IFERROR(O150&amp;" - "&amp;G150,"--")</f>
        <v>Senior Manager Accounting - 14</v>
      </c>
      <c r="AA150" s="44" t="str">
        <f>_xlfn.XLOOKUP($H150,'[1]SIG Qualifications Input'!$D:$D,'[1]SIG Qualifications Input'!$H:$H)</f>
        <v xml:space="preserve">University degree or equivalent and 10+ years of work experience or equivalent
Profound experience in managing performance and results of diverse activities / multiple teams </v>
      </c>
    </row>
    <row r="151" spans="1:27" ht="183" thickBot="1" x14ac:dyDescent="0.2">
      <c r="A151" s="34" t="str">
        <f>_xlfn.XLOOKUP(C151,'[1]SIG Job Families &amp; Descriptions'!F:F,'[1]SIG Job Families &amp; Descriptions'!B:B)</f>
        <v>Finance</v>
      </c>
      <c r="B151" s="34" t="str">
        <f>_xlfn.XLOOKUP(C151,'[1]SIG Job Families &amp; Descriptions'!F:F,'[1]SIG Job Families &amp; Descriptions'!D:D)</f>
        <v>Accounting</v>
      </c>
      <c r="C151" s="34" t="s">
        <v>70</v>
      </c>
      <c r="D151" s="30" t="str">
        <f t="shared" si="4"/>
        <v>AFB</v>
      </c>
      <c r="E151" s="31" t="str">
        <f>_xlfn.XLOOKUP(C151,'[1]SIG Job Families &amp; Descriptions'!F:F,'[1]SIG Job Families &amp; Descriptions'!A:A)</f>
        <v>AFB000</v>
      </c>
      <c r="F151" s="32" t="s">
        <v>29</v>
      </c>
      <c r="G151" s="33" t="s">
        <v>33</v>
      </c>
      <c r="H151" s="34" t="str">
        <f>F151&amp;"-"&amp;G151</f>
        <v>Management-13</v>
      </c>
      <c r="I151" s="35" t="str">
        <f>IF(ISERROR(_xlfn.XLOOKUP(H151,'[1]SIG Level Structure'!D:D,'[1]SIG Level Structure'!D:D)),"0","1")</f>
        <v>1</v>
      </c>
      <c r="J151" s="36" t="str">
        <f>_xlfn.XLOOKUP($H151,'[1]SIG Level Structure'!$D:$D,'[1]SIG Level Structure'!F:F)</f>
        <v>M2</v>
      </c>
      <c r="K151" s="37" t="str">
        <f>E151&amp;"-"&amp;J151&amp;"-"&amp;G151</f>
        <v>AFB000-M2-13</v>
      </c>
      <c r="L151" s="37" t="str">
        <f>IFERROR(D151&amp;"-"&amp;LEFT(J151,1),"--")</f>
        <v>AFB-M</v>
      </c>
      <c r="M151" s="37" t="str">
        <f>VLOOKUP(L151,'[1]Compatible JC'!$A:$A,1,FALSE)</f>
        <v>AFB-M</v>
      </c>
      <c r="N151" s="37" t="str">
        <f>IFERROR(_xlfn.XLOOKUP(H151,'[1]SIG Level Structure'!D:D,'[1]SIG Level Structure'!C:C),"--")</f>
        <v>Manager</v>
      </c>
      <c r="O151" s="38" t="str">
        <f>IFERROR(TRIM(N151&amp;" "&amp;C151),"--")</f>
        <v>Manager Accounting</v>
      </c>
      <c r="P151" s="22" t="str">
        <f>_xlfn.XLOOKUP(E151,'[1]SIG Job Families &amp; Descriptions'!A:A,'[1]SIG Job Families &amp; Descriptions'!G:G)</f>
        <v>Performs general accounting activities, including the preparation, maintenance and reconciliation of ledger accounts and financial statements such as balance sheets, profit-and-loss statements and capital expenditure schedules. Prepares, records, analyzes and reports accounting transactions and ensures the integrity of accounting records for completeness, accuracy and compliance with accepted accounting policies and principles. Analyzes and prepares statutory accounts, financial statements and reports. Conducts or assists in the documentation of accounting projects.</v>
      </c>
      <c r="Q151" s="39" t="str">
        <f>_xlfn.XLOOKUP(E151,'[1]2022 GI Position Descriptions'!E:E,'[1]2022 GI Position Descriptions'!G:G)</f>
        <v>Establishes and maintains accounting policies and controls, fiscal controls, preparing financial reports and safeguarding the organization's assets | Responsibilities are within the Accounting Function as a generalist or in a combination of Disciplines</v>
      </c>
      <c r="R151" s="22" t="str">
        <f>IF(LEFT(J151,1)="E","EX",LEFT(J151,1))</f>
        <v>M</v>
      </c>
      <c r="S151" s="22" t="str">
        <f>_xlfn.XLOOKUP($R151,'[1]Career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151" s="22" t="str">
        <f>J151</f>
        <v>M2</v>
      </c>
      <c r="U151" s="40" t="str">
        <f t="shared" si="5"/>
        <v>M2</v>
      </c>
      <c r="V151" s="22" t="str">
        <f>_xlfn.XLOOKUP(T151,'[1]Career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151" s="41" t="str">
        <f>J151&amp;"-"&amp;G151</f>
        <v>M2-13</v>
      </c>
      <c r="X151" s="42" t="str">
        <f>G151</f>
        <v>13</v>
      </c>
      <c r="Y151" s="22" t="str">
        <f>_xlfn.XLOOKUP(W151,'[1]Career Bands &amp; Levels'!A:A,'[1]Career Bands &amp; Levels'!C:C,"No Grade Differentiator")</f>
        <v>●	Accountable for the budget, performance and results of a medium-sized team or multiple small teams of employees		
●	Exercises full management authority, including performance reviews, pay decisions, recruitment, discipline, termination and other personnel actions		
●	Addresses issues with impact beyond own team based on knowledge of related disciplines</v>
      </c>
      <c r="Z151" s="43" t="str">
        <f>IFERROR(O151&amp;" - "&amp;G151,"--")</f>
        <v>Manager Accounting - 13</v>
      </c>
      <c r="AA151" s="44" t="str">
        <f>_xlfn.XLOOKUP($H151,'[1]SIG Qualifications Input'!$D:$D,'[1]SIG Qualifications Input'!$H:$H)</f>
        <v>University degree or equivalent and 7-10 years of work experience or equivalent
Experience in managing mixed-level team(s) of professionals and subordinate managers</v>
      </c>
    </row>
    <row r="152" spans="1:27" ht="183" thickBot="1" x14ac:dyDescent="0.2">
      <c r="A152" s="34" t="str">
        <f>_xlfn.XLOOKUP(C152,'[1]SIG Job Families &amp; Descriptions'!F:F,'[1]SIG Job Families &amp; Descriptions'!B:B)</f>
        <v>Finance</v>
      </c>
      <c r="B152" s="34" t="str">
        <f>_xlfn.XLOOKUP(C152,'[1]SIG Job Families &amp; Descriptions'!F:F,'[1]SIG Job Families &amp; Descriptions'!D:D)</f>
        <v>Accounting</v>
      </c>
      <c r="C152" s="34" t="s">
        <v>70</v>
      </c>
      <c r="D152" s="30" t="str">
        <f t="shared" si="4"/>
        <v>AFB</v>
      </c>
      <c r="E152" s="31" t="str">
        <f>_xlfn.XLOOKUP(C152,'[1]SIG Job Families &amp; Descriptions'!F:F,'[1]SIG Job Families &amp; Descriptions'!A:A)</f>
        <v>AFB000</v>
      </c>
      <c r="F152" s="32" t="s">
        <v>29</v>
      </c>
      <c r="G152" s="33" t="s">
        <v>34</v>
      </c>
      <c r="H152" s="34" t="str">
        <f>F152&amp;"-"&amp;G152</f>
        <v>Management-12</v>
      </c>
      <c r="I152" s="35" t="str">
        <f>IF(ISERROR(_xlfn.XLOOKUP(H152,'[1]SIG Level Structure'!D:D,'[1]SIG Level Structure'!D:D)),"0","1")</f>
        <v>1</v>
      </c>
      <c r="J152" s="36" t="str">
        <f>_xlfn.XLOOKUP($H152,'[1]SIG Level Structure'!$D:$D,'[1]SIG Level Structure'!F:F)</f>
        <v>M2</v>
      </c>
      <c r="K152" s="37" t="str">
        <f>E152&amp;"-"&amp;J152&amp;"-"&amp;G152</f>
        <v>AFB000-M2-12</v>
      </c>
      <c r="L152" s="37" t="str">
        <f>IFERROR(D152&amp;"-"&amp;LEFT(J152,1),"--")</f>
        <v>AFB-M</v>
      </c>
      <c r="M152" s="37" t="str">
        <f>VLOOKUP(L152,'[1]Compatible JC'!$A:$A,1,FALSE)</f>
        <v>AFB-M</v>
      </c>
      <c r="N152" s="37" t="str">
        <f>IFERROR(_xlfn.XLOOKUP(H152,'[1]SIG Level Structure'!D:D,'[1]SIG Level Structure'!C:C),"--")</f>
        <v>Manager</v>
      </c>
      <c r="O152" s="38" t="str">
        <f>IFERROR(TRIM(N152&amp;" "&amp;C152),"--")</f>
        <v>Manager Accounting</v>
      </c>
      <c r="P152" s="22" t="str">
        <f>_xlfn.XLOOKUP(E152,'[1]SIG Job Families &amp; Descriptions'!A:A,'[1]SIG Job Families &amp; Descriptions'!G:G)</f>
        <v>Performs general accounting activities, including the preparation, maintenance and reconciliation of ledger accounts and financial statements such as balance sheets, profit-and-loss statements and capital expenditure schedules. Prepares, records, analyzes and reports accounting transactions and ensures the integrity of accounting records for completeness, accuracy and compliance with accepted accounting policies and principles. Analyzes and prepares statutory accounts, financial statements and reports. Conducts or assists in the documentation of accounting projects.</v>
      </c>
      <c r="Q152" s="39" t="str">
        <f>_xlfn.XLOOKUP(E152,'[1]2022 GI Position Descriptions'!E:E,'[1]2022 GI Position Descriptions'!G:G)</f>
        <v>Establishes and maintains accounting policies and controls, fiscal controls, preparing financial reports and safeguarding the organization's assets | Responsibilities are within the Accounting Function as a generalist or in a combination of Disciplines</v>
      </c>
      <c r="R152" s="22" t="str">
        <f>IF(LEFT(J152,1)="E","EX",LEFT(J152,1))</f>
        <v>M</v>
      </c>
      <c r="S152" s="22" t="str">
        <f>_xlfn.XLOOKUP($R152,'[1]Career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152" s="22" t="str">
        <f>J152</f>
        <v>M2</v>
      </c>
      <c r="U152" s="40" t="str">
        <f t="shared" si="5"/>
        <v>M2</v>
      </c>
      <c r="V152" s="22" t="str">
        <f>_xlfn.XLOOKUP(T152,'[1]Career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152" s="41" t="str">
        <f>J152&amp;"-"&amp;G152</f>
        <v>M2-12</v>
      </c>
      <c r="X152" s="42" t="str">
        <f>G152</f>
        <v>12</v>
      </c>
      <c r="Y152" s="22" t="str">
        <f>_xlfn.XLOOKUP(W152,'[1]Career Bands &amp; Levels'!A:A,'[1]Career Bands &amp; Levels'!C:C,"No Grade Differentiator")</f>
        <v xml:space="preserve">●	Accountable for results of a small team of employees		
●	Exercises limited management authority; sets employee performance objectives, conducts performance reviews and recommends pay actions		
●	Defines team operating standards and ensures essential procedures are followed based on knowledge of own discipline		</v>
      </c>
      <c r="Z152" s="43" t="str">
        <f>IFERROR(O152&amp;" - "&amp;G152,"--")</f>
        <v>Manager Accounting - 12</v>
      </c>
      <c r="AA152" s="44" t="str">
        <f>_xlfn.XLOOKUP($H152,'[1]SIG Qualifications Input'!$D:$D,'[1]SIG Qualifications Input'!$H:$H)</f>
        <v>University degree or equivalent and 7-10 years of work experience or equivalent
Experience in managing mixed-level team(s) of professionals and subordinate managers</v>
      </c>
    </row>
    <row r="153" spans="1:27" ht="183" thickBot="1" x14ac:dyDescent="0.2">
      <c r="A153" s="34" t="str">
        <f>_xlfn.XLOOKUP(C153,'[1]SIG Job Families &amp; Descriptions'!F:F,'[1]SIG Job Families &amp; Descriptions'!B:B)</f>
        <v>Finance</v>
      </c>
      <c r="B153" s="34" t="str">
        <f>_xlfn.XLOOKUP(C153,'[1]SIG Job Families &amp; Descriptions'!F:F,'[1]SIG Job Families &amp; Descriptions'!D:D)</f>
        <v>Accounting</v>
      </c>
      <c r="C153" s="34" t="s">
        <v>70</v>
      </c>
      <c r="D153" s="30" t="str">
        <f t="shared" si="4"/>
        <v>AFB</v>
      </c>
      <c r="E153" s="31" t="str">
        <f>_xlfn.XLOOKUP(C153,'[1]SIG Job Families &amp; Descriptions'!F:F,'[1]SIG Job Families &amp; Descriptions'!A:A)</f>
        <v>AFB000</v>
      </c>
      <c r="F153" s="32" t="s">
        <v>29</v>
      </c>
      <c r="G153" s="33" t="s">
        <v>35</v>
      </c>
      <c r="H153" s="34" t="str">
        <f>F153&amp;"-"&amp;G153</f>
        <v>Management-11</v>
      </c>
      <c r="I153" s="35" t="str">
        <f>IF(ISERROR(_xlfn.XLOOKUP(H153,'[1]SIG Level Structure'!D:D,'[1]SIG Level Structure'!D:D)),"0","1")</f>
        <v>1</v>
      </c>
      <c r="J153" s="36" t="str">
        <f>_xlfn.XLOOKUP($H153,'[1]SIG Level Structure'!$D:$D,'[1]SIG Level Structure'!F:F)</f>
        <v>M1</v>
      </c>
      <c r="K153" s="37" t="str">
        <f>E153&amp;"-"&amp;J153&amp;"-"&amp;G153</f>
        <v>AFB000-M1-11</v>
      </c>
      <c r="L153" s="37" t="str">
        <f>IFERROR(D153&amp;"-"&amp;LEFT(J153,1),"--")</f>
        <v>AFB-M</v>
      </c>
      <c r="M153" s="37" t="str">
        <f>VLOOKUP(L153,'[1]Compatible JC'!$A:$A,1,FALSE)</f>
        <v>AFB-M</v>
      </c>
      <c r="N153" s="37" t="str">
        <f>IFERROR(_xlfn.XLOOKUP(H153,'[1]SIG Level Structure'!D:D,'[1]SIG Level Structure'!C:C),"--")</f>
        <v>Supervisor</v>
      </c>
      <c r="O153" s="38" t="str">
        <f>IFERROR(TRIM(N153&amp;" "&amp;C153),"--")</f>
        <v>Supervisor Accounting</v>
      </c>
      <c r="P153" s="22" t="str">
        <f>_xlfn.XLOOKUP(E153,'[1]SIG Job Families &amp; Descriptions'!A:A,'[1]SIG Job Families &amp; Descriptions'!G:G)</f>
        <v>Performs general accounting activities, including the preparation, maintenance and reconciliation of ledger accounts and financial statements such as balance sheets, profit-and-loss statements and capital expenditure schedules. Prepares, records, analyzes and reports accounting transactions and ensures the integrity of accounting records for completeness, accuracy and compliance with accepted accounting policies and principles. Analyzes and prepares statutory accounts, financial statements and reports. Conducts or assists in the documentation of accounting projects.</v>
      </c>
      <c r="Q153" s="39" t="str">
        <f>_xlfn.XLOOKUP(E153,'[1]2022 GI Position Descriptions'!E:E,'[1]2022 GI Position Descriptions'!G:G)</f>
        <v>Establishes and maintains accounting policies and controls, fiscal controls, preparing financial reports and safeguarding the organization's assets | Responsibilities are within the Accounting Function as a generalist or in a combination of Disciplines</v>
      </c>
      <c r="R153" s="22" t="str">
        <f>IF(LEFT(J153,1)="E","EX",LEFT(J153,1))</f>
        <v>M</v>
      </c>
      <c r="S153" s="22" t="str">
        <f>_xlfn.XLOOKUP($R153,'[1]Career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153" s="22" t="str">
        <f>J153</f>
        <v>M1</v>
      </c>
      <c r="U153" s="40" t="str">
        <f t="shared" si="5"/>
        <v>M1</v>
      </c>
      <c r="V153" s="22" t="str">
        <f>_xlfn.XLOOKUP(T153,'[1]Career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153" s="41" t="str">
        <f>J153&amp;"-"&amp;G153</f>
        <v>M1-11</v>
      </c>
      <c r="X153" s="42" t="str">
        <f>G153</f>
        <v>11</v>
      </c>
      <c r="Y153" s="22" t="str">
        <f>_xlfn.XLOOKUP(W153,'[1]Career Bands &amp; Levels'!A:A,'[1]Career Bands &amp; Levels'!C:C,"No Grade Differentiator")</f>
        <v xml:space="preserve">●	Accountable for the results of a large and/or moderately complex support or production operations team including subordinate work leaders		
●	Applies acquired expertise to analyze and solve problems without clear precedent		
●	Provides input on resource planning and policy development		
●	Coaches team members on performance, completes employee performance evaluations and recommends pay actions		</v>
      </c>
      <c r="Z153" s="43" t="str">
        <f>IFERROR(O153&amp;" - "&amp;G153,"--")</f>
        <v>Supervisor Accounting - 11</v>
      </c>
      <c r="AA153" s="44" t="str">
        <f>_xlfn.XLOOKUP($H153,'[1]SIG Qualifications Input'!$D:$D,'[1]SIG Qualifications Input'!$H:$H)</f>
        <v>University degree or equivalent and 5-7 years of work experience or equivalent
Experienced in application of management techniques
Experience in operationally managing a mixed-level team</v>
      </c>
    </row>
    <row r="154" spans="1:27" ht="183" thickBot="1" x14ac:dyDescent="0.2">
      <c r="A154" s="34" t="str">
        <f>_xlfn.XLOOKUP(C154,'[1]SIG Job Families &amp; Descriptions'!F:F,'[1]SIG Job Families &amp; Descriptions'!B:B)</f>
        <v>Finance</v>
      </c>
      <c r="B154" s="34" t="str">
        <f>_xlfn.XLOOKUP(C154,'[1]SIG Job Families &amp; Descriptions'!F:F,'[1]SIG Job Families &amp; Descriptions'!D:D)</f>
        <v>Accounting</v>
      </c>
      <c r="C154" s="34" t="s">
        <v>70</v>
      </c>
      <c r="D154" s="30" t="str">
        <f t="shared" si="4"/>
        <v>AFB</v>
      </c>
      <c r="E154" s="31" t="str">
        <f>_xlfn.XLOOKUP(C154,'[1]SIG Job Families &amp; Descriptions'!F:F,'[1]SIG Job Families &amp; Descriptions'!A:A)</f>
        <v>AFB000</v>
      </c>
      <c r="F154" s="32" t="s">
        <v>29</v>
      </c>
      <c r="G154" s="33" t="s">
        <v>36</v>
      </c>
      <c r="H154" s="34" t="str">
        <f>F154&amp;"-"&amp;G154</f>
        <v>Management-10</v>
      </c>
      <c r="I154" s="35" t="str">
        <f>IF(ISERROR(_xlfn.XLOOKUP(H154,'[1]SIG Level Structure'!D:D,'[1]SIG Level Structure'!D:D)),"0","1")</f>
        <v>1</v>
      </c>
      <c r="J154" s="36" t="str">
        <f>_xlfn.XLOOKUP($H154,'[1]SIG Level Structure'!$D:$D,'[1]SIG Level Structure'!F:F)</f>
        <v>M1</v>
      </c>
      <c r="K154" s="37" t="str">
        <f>E154&amp;"-"&amp;J154&amp;"-"&amp;G154</f>
        <v>AFB000-M1-10</v>
      </c>
      <c r="L154" s="37" t="str">
        <f>IFERROR(D154&amp;"-"&amp;LEFT(J154,1),"--")</f>
        <v>AFB-M</v>
      </c>
      <c r="M154" s="37" t="str">
        <f>VLOOKUP(L154,'[1]Compatible JC'!$A:$A,1,FALSE)</f>
        <v>AFB-M</v>
      </c>
      <c r="N154" s="37" t="str">
        <f>IFERROR(_xlfn.XLOOKUP(H154,'[1]SIG Level Structure'!D:D,'[1]SIG Level Structure'!C:C),"--")</f>
        <v>Supervisor</v>
      </c>
      <c r="O154" s="38" t="str">
        <f>IFERROR(TRIM(N154&amp;" "&amp;C154),"--")</f>
        <v>Supervisor Accounting</v>
      </c>
      <c r="P154" s="22" t="str">
        <f>_xlfn.XLOOKUP(E154,'[1]SIG Job Families &amp; Descriptions'!A:A,'[1]SIG Job Families &amp; Descriptions'!G:G)</f>
        <v>Performs general accounting activities, including the preparation, maintenance and reconciliation of ledger accounts and financial statements such as balance sheets, profit-and-loss statements and capital expenditure schedules. Prepares, records, analyzes and reports accounting transactions and ensures the integrity of accounting records for completeness, accuracy and compliance with accepted accounting policies and principles. Analyzes and prepares statutory accounts, financial statements and reports. Conducts or assists in the documentation of accounting projects.</v>
      </c>
      <c r="Q154" s="39" t="str">
        <f>_xlfn.XLOOKUP(E154,'[1]2022 GI Position Descriptions'!E:E,'[1]2022 GI Position Descriptions'!G:G)</f>
        <v>Establishes and maintains accounting policies and controls, fiscal controls, preparing financial reports and safeguarding the organization's assets | Responsibilities are within the Accounting Function as a generalist or in a combination of Disciplines</v>
      </c>
      <c r="R154" s="22" t="str">
        <f>IF(LEFT(J154,1)="E","EX",LEFT(J154,1))</f>
        <v>M</v>
      </c>
      <c r="S154" s="22" t="str">
        <f>_xlfn.XLOOKUP($R154,'[1]Career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154" s="22" t="str">
        <f>J154</f>
        <v>M1</v>
      </c>
      <c r="U154" s="40" t="str">
        <f t="shared" si="5"/>
        <v>M1</v>
      </c>
      <c r="V154" s="22" t="str">
        <f>_xlfn.XLOOKUP(T154,'[1]Career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154" s="41" t="str">
        <f>J154&amp;"-"&amp;G154</f>
        <v>M1-10</v>
      </c>
      <c r="X154" s="42" t="str">
        <f>G154</f>
        <v>10</v>
      </c>
      <c r="Y154" s="22" t="str">
        <f>_xlfn.XLOOKUP(W154,'[1]Career Bands &amp; Levels'!A:A,'[1]Career Bands &amp; Levels'!C:C,"No Grade Differentiator")</f>
        <v xml:space="preserve">●	Accountable for the results of medium-sized routine support or production operations teams		
●	Solves problems based on practice and precedent		
●	Trains team members and provides input to employee performance evaluations		</v>
      </c>
      <c r="Z154" s="43" t="str">
        <f>IFERROR(O154&amp;" - "&amp;G154,"--")</f>
        <v>Supervisor Accounting - 10</v>
      </c>
      <c r="AA154" s="44" t="str">
        <f>_xlfn.XLOOKUP($H154,'[1]SIG Qualifications Input'!$D:$D,'[1]SIG Qualifications Input'!$H:$H)</f>
        <v>University degree or equivalent and 5-7 years of work experience or equivalent
Experienced in application of management techniques
Experience in operationally managing a mixed-level team</v>
      </c>
    </row>
    <row r="155" spans="1:27" ht="169" thickBot="1" x14ac:dyDescent="0.2">
      <c r="A155" s="34" t="str">
        <f>_xlfn.XLOOKUP(C155,'[1]SIG Job Families &amp; Descriptions'!F:F,'[1]SIG Job Families &amp; Descriptions'!B:B)</f>
        <v>Finance</v>
      </c>
      <c r="B155" s="34" t="str">
        <f>_xlfn.XLOOKUP(C155,'[1]SIG Job Families &amp; Descriptions'!F:F,'[1]SIG Job Families &amp; Descriptions'!D:D)</f>
        <v>Accounting</v>
      </c>
      <c r="C155" s="34" t="s">
        <v>70</v>
      </c>
      <c r="D155" s="30" t="str">
        <f t="shared" si="4"/>
        <v>AFB</v>
      </c>
      <c r="E155" s="31" t="str">
        <f>_xlfn.XLOOKUP(C155,'[1]SIG Job Families &amp; Descriptions'!F:F,'[1]SIG Job Families &amp; Descriptions'!A:A)</f>
        <v>AFB000</v>
      </c>
      <c r="F155" s="32" t="s">
        <v>32</v>
      </c>
      <c r="G155" s="33" t="s">
        <v>34</v>
      </c>
      <c r="H155" s="34" t="str">
        <f>F155&amp;"-"&amp;G155</f>
        <v>Professional-12</v>
      </c>
      <c r="I155" s="35" t="str">
        <f>IF(ISERROR(_xlfn.XLOOKUP(H155,'[1]SIG Level Structure'!D:D,'[1]SIG Level Structure'!D:D)),"0","1")</f>
        <v>1</v>
      </c>
      <c r="J155" s="36" t="str">
        <f>_xlfn.XLOOKUP($H155,'[1]SIG Level Structure'!$D:$D,'[1]SIG Level Structure'!F:F)</f>
        <v>P3</v>
      </c>
      <c r="K155" s="37" t="str">
        <f>E155&amp;"-"&amp;J155&amp;"-"&amp;G155</f>
        <v>AFB000-P3-12</v>
      </c>
      <c r="L155" s="37" t="str">
        <f>IFERROR(D155&amp;"-"&amp;LEFT(J155,1),"--")</f>
        <v>AFB-P</v>
      </c>
      <c r="M155" s="37" t="str">
        <f>VLOOKUP(L155,'[1]Compatible JC'!$A:$A,1,FALSE)</f>
        <v>AFB-P</v>
      </c>
      <c r="N155" s="37" t="str">
        <f>IFERROR(_xlfn.XLOOKUP(H155,'[1]SIG Level Structure'!D:D,'[1]SIG Level Structure'!C:C),"--")</f>
        <v>Expert</v>
      </c>
      <c r="O155" s="38" t="str">
        <f>IFERROR(TRIM(N155&amp;" "&amp;C155),"--")</f>
        <v>Expert Accounting</v>
      </c>
      <c r="P155" s="22" t="str">
        <f>_xlfn.XLOOKUP(E155,'[1]SIG Job Families &amp; Descriptions'!A:A,'[1]SIG Job Families &amp; Descriptions'!G:G)</f>
        <v>Performs general accounting activities, including the preparation, maintenance and reconciliation of ledger accounts and financial statements such as balance sheets, profit-and-loss statements and capital expenditure schedules. Prepares, records, analyzes and reports accounting transactions and ensures the integrity of accounting records for completeness, accuracy and compliance with accepted accounting policies and principles. Analyzes and prepares statutory accounts, financial statements and reports. Conducts or assists in the documentation of accounting projects.</v>
      </c>
      <c r="Q155" s="39" t="str">
        <f>_xlfn.XLOOKUP(E155,'[1]2022 GI Position Descriptions'!E:E,'[1]2022 GI Position Descriptions'!G:G)</f>
        <v>Establishes and maintains accounting policies and controls, fiscal controls, preparing financial reports and safeguarding the organization's assets | Responsibilities are within the Accounting Function as a generalist or in a combination of Disciplines</v>
      </c>
      <c r="R155" s="22" t="str">
        <f>IF(LEFT(J155,1)="E","EX",LEFT(J155,1))</f>
        <v>P</v>
      </c>
      <c r="S155" s="22" t="str">
        <f>_xlfn.XLOOKUP($R155,'[1]Career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55" s="22" t="str">
        <f>J155</f>
        <v>P3</v>
      </c>
      <c r="U155" s="40" t="str">
        <f t="shared" si="5"/>
        <v>P3</v>
      </c>
      <c r="V155" s="22" t="str">
        <f>_xlfn.XLOOKUP(T155,'[1]Career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155" s="41" t="str">
        <f>J155&amp;"-"&amp;G155</f>
        <v>P3-12</v>
      </c>
      <c r="X155" s="42" t="str">
        <f>G155</f>
        <v>12</v>
      </c>
      <c r="Y155" s="22" t="str">
        <f>_xlfn.XLOOKUP(W155,'[1]Career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155" s="43" t="str">
        <f>IFERROR(O155&amp;" - "&amp;G155,"--")</f>
        <v>Expert Accounting - 12</v>
      </c>
      <c r="AA155" s="44" t="str">
        <f>_xlfn.XLOOKUP($H155,'[1]SIG Qualifications Input'!$D:$D,'[1]SIG Qualifications Input'!$H:$H)</f>
        <v>University degree or equivalent and 4-8 years of work experience or equivalent, 
Initial experience in functionally leading (sub-) projects</v>
      </c>
    </row>
    <row r="156" spans="1:27" ht="169" thickBot="1" x14ac:dyDescent="0.2">
      <c r="A156" s="34" t="str">
        <f>_xlfn.XLOOKUP(C156,'[1]SIG Job Families &amp; Descriptions'!F:F,'[1]SIG Job Families &amp; Descriptions'!B:B)</f>
        <v>Finance</v>
      </c>
      <c r="B156" s="34" t="str">
        <f>_xlfn.XLOOKUP(C156,'[1]SIG Job Families &amp; Descriptions'!F:F,'[1]SIG Job Families &amp; Descriptions'!D:D)</f>
        <v>Accounting</v>
      </c>
      <c r="C156" s="34" t="s">
        <v>70</v>
      </c>
      <c r="D156" s="30" t="str">
        <f t="shared" si="4"/>
        <v>AFB</v>
      </c>
      <c r="E156" s="31" t="str">
        <f>_xlfn.XLOOKUP(C156,'[1]SIG Job Families &amp; Descriptions'!F:F,'[1]SIG Job Families &amp; Descriptions'!A:A)</f>
        <v>AFB000</v>
      </c>
      <c r="F156" s="32" t="s">
        <v>32</v>
      </c>
      <c r="G156" s="33" t="s">
        <v>35</v>
      </c>
      <c r="H156" s="34" t="str">
        <f>F156&amp;"-"&amp;G156</f>
        <v>Professional-11</v>
      </c>
      <c r="I156" s="35" t="str">
        <f>IF(ISERROR(_xlfn.XLOOKUP(H156,'[1]SIG Level Structure'!D:D,'[1]SIG Level Structure'!D:D)),"0","1")</f>
        <v>1</v>
      </c>
      <c r="J156" s="36" t="str">
        <f>_xlfn.XLOOKUP($H156,'[1]SIG Level Structure'!$D:$D,'[1]SIG Level Structure'!F:F)</f>
        <v>P3</v>
      </c>
      <c r="K156" s="37" t="str">
        <f>E156&amp;"-"&amp;J156&amp;"-"&amp;G156</f>
        <v>AFB000-P3-11</v>
      </c>
      <c r="L156" s="37" t="str">
        <f>IFERROR(D156&amp;"-"&amp;LEFT(J156,1),"--")</f>
        <v>AFB-P</v>
      </c>
      <c r="M156" s="37" t="str">
        <f>VLOOKUP(L156,'[1]Compatible JC'!$A:$A,1,FALSE)</f>
        <v>AFB-P</v>
      </c>
      <c r="N156" s="37" t="str">
        <f>IFERROR(_xlfn.XLOOKUP(H156,'[1]SIG Level Structure'!D:D,'[1]SIG Level Structure'!C:C),"--")</f>
        <v>Expert</v>
      </c>
      <c r="O156" s="38" t="str">
        <f>IFERROR(TRIM(N156&amp;" "&amp;C156),"--")</f>
        <v>Expert Accounting</v>
      </c>
      <c r="P156" s="22" t="str">
        <f>_xlfn.XLOOKUP(E156,'[1]SIG Job Families &amp; Descriptions'!A:A,'[1]SIG Job Families &amp; Descriptions'!G:G)</f>
        <v>Performs general accounting activities, including the preparation, maintenance and reconciliation of ledger accounts and financial statements such as balance sheets, profit-and-loss statements and capital expenditure schedules. Prepares, records, analyzes and reports accounting transactions and ensures the integrity of accounting records for completeness, accuracy and compliance with accepted accounting policies and principles. Analyzes and prepares statutory accounts, financial statements and reports. Conducts or assists in the documentation of accounting projects.</v>
      </c>
      <c r="Q156" s="39" t="str">
        <f>_xlfn.XLOOKUP(E156,'[1]2022 GI Position Descriptions'!E:E,'[1]2022 GI Position Descriptions'!G:G)</f>
        <v>Establishes and maintains accounting policies and controls, fiscal controls, preparing financial reports and safeguarding the organization's assets | Responsibilities are within the Accounting Function as a generalist or in a combination of Disciplines</v>
      </c>
      <c r="R156" s="22" t="str">
        <f>IF(LEFT(J156,1)="E","EX",LEFT(J156,1))</f>
        <v>P</v>
      </c>
      <c r="S156" s="22" t="str">
        <f>_xlfn.XLOOKUP($R156,'[1]Career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56" s="22" t="str">
        <f>J156</f>
        <v>P3</v>
      </c>
      <c r="U156" s="40" t="str">
        <f t="shared" si="5"/>
        <v>P3</v>
      </c>
      <c r="V156" s="22" t="str">
        <f>_xlfn.XLOOKUP(T156,'[1]Career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156" s="41" t="str">
        <f>J156&amp;"-"&amp;G156</f>
        <v>P3-11</v>
      </c>
      <c r="X156" s="42" t="str">
        <f>G156</f>
        <v>11</v>
      </c>
      <c r="Y156" s="22" t="str">
        <f>_xlfn.XLOOKUP(W156,'[1]Career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156" s="43" t="str">
        <f>IFERROR(O156&amp;" - "&amp;G156,"--")</f>
        <v>Expert Accounting - 11</v>
      </c>
      <c r="AA156" s="44" t="str">
        <f>_xlfn.XLOOKUP($H156,'[1]SIG Qualifications Input'!$D:$D,'[1]SIG Qualifications Input'!$H:$H)</f>
        <v>University degree or equivalent and 4-8 years of work experience or equivalent, 
Initial experience in functionally leading (sub-) projects</v>
      </c>
    </row>
    <row r="157" spans="1:27" ht="173.25" customHeight="1" thickBot="1" x14ac:dyDescent="0.2">
      <c r="A157" s="34" t="str">
        <f>_xlfn.XLOOKUP(C157,'[1]SIG Job Families &amp; Descriptions'!F:F,'[1]SIG Job Families &amp; Descriptions'!B:B)</f>
        <v>Finance</v>
      </c>
      <c r="B157" s="34" t="str">
        <f>_xlfn.XLOOKUP(C157,'[1]SIG Job Families &amp; Descriptions'!F:F,'[1]SIG Job Families &amp; Descriptions'!D:D)</f>
        <v>Accounting</v>
      </c>
      <c r="C157" s="34" t="s">
        <v>70</v>
      </c>
      <c r="D157" s="30" t="str">
        <f t="shared" si="4"/>
        <v>AFB</v>
      </c>
      <c r="E157" s="31" t="str">
        <f>_xlfn.XLOOKUP(C157,'[1]SIG Job Families &amp; Descriptions'!F:F,'[1]SIG Job Families &amp; Descriptions'!A:A)</f>
        <v>AFB000</v>
      </c>
      <c r="F157" s="32" t="s">
        <v>32</v>
      </c>
      <c r="G157" s="33" t="s">
        <v>36</v>
      </c>
      <c r="H157" s="34" t="str">
        <f>F157&amp;"-"&amp;G157</f>
        <v>Professional-10</v>
      </c>
      <c r="I157" s="35" t="str">
        <f>IF(ISERROR(_xlfn.XLOOKUP(H157,'[1]SIG Level Structure'!D:D,'[1]SIG Level Structure'!D:D)),"0","1")</f>
        <v>1</v>
      </c>
      <c r="J157" s="36" t="str">
        <f>_xlfn.XLOOKUP($H157,'[1]SIG Level Structure'!$D:$D,'[1]SIG Level Structure'!F:F)</f>
        <v>P2</v>
      </c>
      <c r="K157" s="37" t="str">
        <f>E157&amp;"-"&amp;J157&amp;"-"&amp;G157</f>
        <v>AFB000-P2-10</v>
      </c>
      <c r="L157" s="37" t="str">
        <f>IFERROR(D157&amp;"-"&amp;LEFT(J157,1),"--")</f>
        <v>AFB-P</v>
      </c>
      <c r="M157" s="37" t="str">
        <f>VLOOKUP(L157,'[1]Compatible JC'!$A:$A,1,FALSE)</f>
        <v>AFB-P</v>
      </c>
      <c r="N157" s="37" t="str">
        <f>IFERROR(_xlfn.XLOOKUP(H157,'[1]SIG Level Structure'!D:D,'[1]SIG Level Structure'!C:C),"--")</f>
        <v>Senior Specialist</v>
      </c>
      <c r="O157" s="38" t="str">
        <f>IFERROR(TRIM(N157&amp;" "&amp;C157),"--")</f>
        <v>Senior Specialist Accounting</v>
      </c>
      <c r="P157" s="22" t="str">
        <f>_xlfn.XLOOKUP(E157,'[1]SIG Job Families &amp; Descriptions'!A:A,'[1]SIG Job Families &amp; Descriptions'!G:G)</f>
        <v>Performs general accounting activities, including the preparation, maintenance and reconciliation of ledger accounts and financial statements such as balance sheets, profit-and-loss statements and capital expenditure schedules. Prepares, records, analyzes and reports accounting transactions and ensures the integrity of accounting records for completeness, accuracy and compliance with accepted accounting policies and principles. Analyzes and prepares statutory accounts, financial statements and reports. Conducts or assists in the documentation of accounting projects.</v>
      </c>
      <c r="Q157" s="39" t="str">
        <f>_xlfn.XLOOKUP(E157,'[1]2022 GI Position Descriptions'!E:E,'[1]2022 GI Position Descriptions'!G:G)</f>
        <v>Establishes and maintains accounting policies and controls, fiscal controls, preparing financial reports and safeguarding the organization's assets | Responsibilities are within the Accounting Function as a generalist or in a combination of Disciplines</v>
      </c>
      <c r="R157" s="22" t="str">
        <f>IF(LEFT(J157,1)="E","EX",LEFT(J157,1))</f>
        <v>P</v>
      </c>
      <c r="S157" s="22" t="str">
        <f>_xlfn.XLOOKUP($R157,'[1]Career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57" s="22" t="str">
        <f>J157</f>
        <v>P2</v>
      </c>
      <c r="U157" s="40" t="str">
        <f t="shared" si="5"/>
        <v>P2</v>
      </c>
      <c r="V157" s="22" t="str">
        <f>_xlfn.XLOOKUP(T157,'[1]Career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157" s="41" t="str">
        <f>J157&amp;"-"&amp;G157</f>
        <v>P2-10</v>
      </c>
      <c r="X157" s="42" t="str">
        <f>G157</f>
        <v>10</v>
      </c>
      <c r="Y157" s="22" t="str">
        <f>_xlfn.XLOOKUP(W157,'[1]Career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157" s="43" t="str">
        <f>IFERROR(O157&amp;" - "&amp;G157,"--")</f>
        <v>Senior Specialist Accounting - 10</v>
      </c>
      <c r="AA157" s="44" t="str">
        <f>_xlfn.XLOOKUP($H157,'[1]SIG Qualifications Input'!$D:$D,'[1]SIG Qualifications Input'!$H:$H)</f>
        <v>University degree or equivalent and 2-4 years of work experience or equivalent</v>
      </c>
    </row>
    <row r="158" spans="1:27" ht="169" thickBot="1" x14ac:dyDescent="0.2">
      <c r="A158" s="34" t="str">
        <f>_xlfn.XLOOKUP(C158,'[1]SIG Job Families &amp; Descriptions'!F:F,'[1]SIG Job Families &amp; Descriptions'!B:B)</f>
        <v>Finance</v>
      </c>
      <c r="B158" s="34" t="str">
        <f>_xlfn.XLOOKUP(C158,'[1]SIG Job Families &amp; Descriptions'!F:F,'[1]SIG Job Families &amp; Descriptions'!D:D)</f>
        <v>Accounting</v>
      </c>
      <c r="C158" s="34" t="s">
        <v>70</v>
      </c>
      <c r="D158" s="30" t="str">
        <f t="shared" si="4"/>
        <v>AFB</v>
      </c>
      <c r="E158" s="31" t="str">
        <f>_xlfn.XLOOKUP(C158,'[1]SIG Job Families &amp; Descriptions'!F:F,'[1]SIG Job Families &amp; Descriptions'!A:A)</f>
        <v>AFB000</v>
      </c>
      <c r="F158" s="32" t="s">
        <v>32</v>
      </c>
      <c r="G158" s="33" t="s">
        <v>37</v>
      </c>
      <c r="H158" s="34" t="str">
        <f>F158&amp;"-"&amp;G158</f>
        <v>Professional-09</v>
      </c>
      <c r="I158" s="35" t="str">
        <f>IF(ISERROR(_xlfn.XLOOKUP(H158,'[1]SIG Level Structure'!D:D,'[1]SIG Level Structure'!D:D)),"0","1")</f>
        <v>1</v>
      </c>
      <c r="J158" s="36" t="str">
        <f>_xlfn.XLOOKUP($H158,'[1]SIG Level Structure'!$D:$D,'[1]SIG Level Structure'!F:F)</f>
        <v>P2</v>
      </c>
      <c r="K158" s="37" t="str">
        <f>E158&amp;"-"&amp;J158&amp;"-"&amp;G158</f>
        <v>AFB000-P2-09</v>
      </c>
      <c r="L158" s="37" t="str">
        <f>IFERROR(D158&amp;"-"&amp;LEFT(J158,1),"--")</f>
        <v>AFB-P</v>
      </c>
      <c r="M158" s="37" t="str">
        <f>VLOOKUP(L158,'[1]Compatible JC'!$A:$A,1,FALSE)</f>
        <v>AFB-P</v>
      </c>
      <c r="N158" s="37" t="str">
        <f>IFERROR(_xlfn.XLOOKUP(H158,'[1]SIG Level Structure'!D:D,'[1]SIG Level Structure'!C:C),"--")</f>
        <v>Senior Specialist</v>
      </c>
      <c r="O158" s="38" t="str">
        <f>IFERROR(TRIM(N158&amp;" "&amp;C158),"--")</f>
        <v>Senior Specialist Accounting</v>
      </c>
      <c r="P158" s="22" t="str">
        <f>_xlfn.XLOOKUP(E158,'[1]SIG Job Families &amp; Descriptions'!A:A,'[1]SIG Job Families &amp; Descriptions'!G:G)</f>
        <v>Performs general accounting activities, including the preparation, maintenance and reconciliation of ledger accounts and financial statements such as balance sheets, profit-and-loss statements and capital expenditure schedules. Prepares, records, analyzes and reports accounting transactions and ensures the integrity of accounting records for completeness, accuracy and compliance with accepted accounting policies and principles. Analyzes and prepares statutory accounts, financial statements and reports. Conducts or assists in the documentation of accounting projects.</v>
      </c>
      <c r="Q158" s="39" t="str">
        <f>_xlfn.XLOOKUP(E158,'[1]2022 GI Position Descriptions'!E:E,'[1]2022 GI Position Descriptions'!G:G)</f>
        <v>Establishes and maintains accounting policies and controls, fiscal controls, preparing financial reports and safeguarding the organization's assets | Responsibilities are within the Accounting Function as a generalist or in a combination of Disciplines</v>
      </c>
      <c r="R158" s="22" t="str">
        <f>IF(LEFT(J158,1)="E","EX",LEFT(J158,1))</f>
        <v>P</v>
      </c>
      <c r="S158" s="22" t="str">
        <f>_xlfn.XLOOKUP($R158,'[1]Career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58" s="22" t="str">
        <f>J158</f>
        <v>P2</v>
      </c>
      <c r="U158" s="40" t="str">
        <f t="shared" si="5"/>
        <v>P2</v>
      </c>
      <c r="V158" s="22" t="str">
        <f>_xlfn.XLOOKUP(T158,'[1]Career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158" s="41" t="str">
        <f>J158&amp;"-"&amp;G158</f>
        <v>P2-09</v>
      </c>
      <c r="X158" s="42" t="str">
        <f>G158</f>
        <v>09</v>
      </c>
      <c r="Y158" s="22" t="str">
        <f>_xlfn.XLOOKUP(W158,'[1]Career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158" s="43" t="str">
        <f>IFERROR(O158&amp;" - "&amp;G158,"--")</f>
        <v>Senior Specialist Accounting - 09</v>
      </c>
      <c r="AA158" s="44" t="str">
        <f>_xlfn.XLOOKUP($H158,'[1]SIG Qualifications Input'!$D:$D,'[1]SIG Qualifications Input'!$H:$H)</f>
        <v>University degree or equivalent and 2-4 years of work experience or equivalent</v>
      </c>
    </row>
    <row r="159" spans="1:27" ht="169" thickBot="1" x14ac:dyDescent="0.2">
      <c r="A159" s="34" t="str">
        <f>_xlfn.XLOOKUP(C159,'[1]SIG Job Families &amp; Descriptions'!F:F,'[1]SIG Job Families &amp; Descriptions'!B:B)</f>
        <v>Finance</v>
      </c>
      <c r="B159" s="34" t="str">
        <f>_xlfn.XLOOKUP(C159,'[1]SIG Job Families &amp; Descriptions'!F:F,'[1]SIG Job Families &amp; Descriptions'!D:D)</f>
        <v>Accounting</v>
      </c>
      <c r="C159" s="34" t="s">
        <v>70</v>
      </c>
      <c r="D159" s="30" t="str">
        <f t="shared" si="4"/>
        <v>AFB</v>
      </c>
      <c r="E159" s="31" t="str">
        <f>_xlfn.XLOOKUP(C159,'[1]SIG Job Families &amp; Descriptions'!F:F,'[1]SIG Job Families &amp; Descriptions'!A:A)</f>
        <v>AFB000</v>
      </c>
      <c r="F159" s="32" t="s">
        <v>32</v>
      </c>
      <c r="G159" s="33" t="s">
        <v>43</v>
      </c>
      <c r="H159" s="34" t="str">
        <f>F159&amp;"-"&amp;G159</f>
        <v>Professional-08</v>
      </c>
      <c r="I159" s="35" t="str">
        <f>IF(ISERROR(_xlfn.XLOOKUP(H159,'[1]SIG Level Structure'!D:D,'[1]SIG Level Structure'!D:D)),"0","1")</f>
        <v>1</v>
      </c>
      <c r="J159" s="36" t="str">
        <f>_xlfn.XLOOKUP($H159,'[1]SIG Level Structure'!$D:$D,'[1]SIG Level Structure'!F:F)</f>
        <v>P1</v>
      </c>
      <c r="K159" s="37" t="str">
        <f>E159&amp;"-"&amp;J159&amp;"-"&amp;G159</f>
        <v>AFB000-P1-08</v>
      </c>
      <c r="L159" s="37" t="str">
        <f>IFERROR(D159&amp;"-"&amp;LEFT(J159,1),"--")</f>
        <v>AFB-P</v>
      </c>
      <c r="M159" s="37" t="str">
        <f>VLOOKUP(L159,'[1]Compatible JC'!$A:$A,1,FALSE)</f>
        <v>AFB-P</v>
      </c>
      <c r="N159" s="37" t="str">
        <f>IFERROR(_xlfn.XLOOKUP(H159,'[1]SIG Level Structure'!D:D,'[1]SIG Level Structure'!C:C),"--")</f>
        <v>Specialist</v>
      </c>
      <c r="O159" s="38" t="str">
        <f>IFERROR(TRIM(N159&amp;" "&amp;C159),"--")</f>
        <v>Specialist Accounting</v>
      </c>
      <c r="P159" s="22" t="str">
        <f>_xlfn.XLOOKUP(E159,'[1]SIG Job Families &amp; Descriptions'!A:A,'[1]SIG Job Families &amp; Descriptions'!G:G)</f>
        <v>Performs general accounting activities, including the preparation, maintenance and reconciliation of ledger accounts and financial statements such as balance sheets, profit-and-loss statements and capital expenditure schedules. Prepares, records, analyzes and reports accounting transactions and ensures the integrity of accounting records for completeness, accuracy and compliance with accepted accounting policies and principles. Analyzes and prepares statutory accounts, financial statements and reports. Conducts or assists in the documentation of accounting projects.</v>
      </c>
      <c r="Q159" s="39" t="str">
        <f>_xlfn.XLOOKUP(E159,'[1]2022 GI Position Descriptions'!E:E,'[1]2022 GI Position Descriptions'!G:G)</f>
        <v>Establishes and maintains accounting policies and controls, fiscal controls, preparing financial reports and safeguarding the organization's assets | Responsibilities are within the Accounting Function as a generalist or in a combination of Disciplines</v>
      </c>
      <c r="R159" s="22" t="str">
        <f>IF(LEFT(J159,1)="E","EX",LEFT(J159,1))</f>
        <v>P</v>
      </c>
      <c r="S159" s="22" t="str">
        <f>_xlfn.XLOOKUP($R159,'[1]Career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59" s="22" t="str">
        <f>J159</f>
        <v>P1</v>
      </c>
      <c r="U159" s="40" t="str">
        <f t="shared" si="5"/>
        <v>P1</v>
      </c>
      <c r="V159" s="22" t="str">
        <f>_xlfn.XLOOKUP(T159,'[1]Career Bands &amp; Levels'!A:A,'[1]Career Bands &amp; Levels'!C:C)</f>
        <v xml:space="preserve">●	Performs routine assignments in the entry level of the Professional Career Band		
●	Typically requires a college or university degree or the equivalent work experience and has conceptual knowledge of fundamental theories, principles and practices 		
●	Has no discretion to vary from established procedures by performing structured work assignments		
●	Uses existing procedures to solve routine or standard problems		
●	Receives instruction, guidance and direction from more senior level roles		</v>
      </c>
      <c r="W159" s="41" t="str">
        <f>J159&amp;"-"&amp;G159</f>
        <v>P1-08</v>
      </c>
      <c r="X159" s="42" t="str">
        <f>G159</f>
        <v>08</v>
      </c>
      <c r="Y159" s="22" t="str">
        <f>_xlfn.XLOOKUP(W159,'[1]Career Bands &amp; Levels'!A:A,'[1]Career Bands &amp; Levels'!C:C,"No Grade Differentiator")</f>
        <v>No Grade Differentiator</v>
      </c>
      <c r="Z159" s="43" t="str">
        <f>IFERROR(O159&amp;" - "&amp;G159,"--")</f>
        <v>Specialist Accounting - 08</v>
      </c>
      <c r="AA159" s="44" t="str">
        <f>_xlfn.XLOOKUP($H159,'[1]SIG Qualifications Input'!$D:$D,'[1]SIG Qualifications Input'!$H:$H)</f>
        <v>University degree or equivalent and 0-1 year of work experience or equivalent</v>
      </c>
    </row>
    <row r="160" spans="1:27" ht="281" thickBot="1" x14ac:dyDescent="0.2">
      <c r="A160" s="34" t="str">
        <f>_xlfn.XLOOKUP(C160,'[1]SIG Job Families &amp; Descriptions'!F:F,'[1]SIG Job Families &amp; Descriptions'!B:B)</f>
        <v>Finance</v>
      </c>
      <c r="B160" s="34" t="str">
        <f>_xlfn.XLOOKUP(C160,'[1]SIG Job Families &amp; Descriptions'!F:F,'[1]SIG Job Families &amp; Descriptions'!D:D)</f>
        <v>Controlling</v>
      </c>
      <c r="C160" s="34" t="s">
        <v>71</v>
      </c>
      <c r="D160" s="30" t="str">
        <f t="shared" si="4"/>
        <v>AFT</v>
      </c>
      <c r="E160" s="31" t="str">
        <f>_xlfn.XLOOKUP(C160,'[1]SIG Job Families &amp; Descriptions'!F:F,'[1]SIG Job Families &amp; Descriptions'!A:A)</f>
        <v>AFT010</v>
      </c>
      <c r="F160" s="32" t="s">
        <v>29</v>
      </c>
      <c r="G160" s="33" t="s">
        <v>33</v>
      </c>
      <c r="H160" s="34" t="str">
        <f>F160&amp;"-"&amp;G160</f>
        <v>Management-13</v>
      </c>
      <c r="I160" s="35" t="str">
        <f>IF(ISERROR(_xlfn.XLOOKUP(H160,'[1]SIG Level Structure'!D:D,'[1]SIG Level Structure'!D:D)),"0","1")</f>
        <v>1</v>
      </c>
      <c r="J160" s="36" t="str">
        <f>_xlfn.XLOOKUP($H160,'[1]SIG Level Structure'!$D:$D,'[1]SIG Level Structure'!F:F)</f>
        <v>M2</v>
      </c>
      <c r="K160" s="37" t="str">
        <f>E160&amp;"-"&amp;J160&amp;"-"&amp;G160</f>
        <v>AFT010-M2-13</v>
      </c>
      <c r="L160" s="37" t="str">
        <f>IFERROR(D160&amp;"-"&amp;LEFT(J160,1),"--")</f>
        <v>AFT-M</v>
      </c>
      <c r="M160" s="37" t="str">
        <f>VLOOKUP(L160,'[1]Compatible JC'!$A:$A,1,FALSE)</f>
        <v>AFT-M</v>
      </c>
      <c r="N160" s="37" t="str">
        <f>IFERROR(_xlfn.XLOOKUP(H160,'[1]SIG Level Structure'!D:D,'[1]SIG Level Structure'!C:C),"--")</f>
        <v>Manager</v>
      </c>
      <c r="O160" s="38" t="str">
        <f>IFERROR(TRIM(N160&amp;" "&amp;C160),"--")</f>
        <v>Manager Controlling</v>
      </c>
      <c r="P160" s="22" t="str">
        <f>_xlfn.XLOOKUP(E160,'[1]SIG Job Families &amp; Descriptions'!A:A,'[1]SIG Job Families &amp; Descriptions'!G:G)</f>
        <v>Responsible for preparing and monitoring the organization’s budget or for establishing and implementing budgeting systems and procedures. Assignments typically include budget planning and controlling, integrated financial planning, conducting analysis of business operations and opportunities, and preparing forecasts and management reportings. 
Performs economic research and studies of rates of return, depreciation and investments. Analyzes profit-and-loss income statements and prepares reports and recommendations to management. Generates forecasts and analyzes trends in sales, finance and other areas of business. Researches economic progressions to assist the organization's financial planning. Creates financial models of "what if" scenarios for future business planning decisions in areas such as new product development, new marketing strategies, etc.</v>
      </c>
      <c r="Q160" s="39" t="str">
        <f>_xlfn.XLOOKUP(E160,'[1]2022 GI Position Descriptions'!E:E,'[1]2022 GI Position Descriptions'!G:G)</f>
        <v>Performs economic research and studies of rates of return, depreciation and investments | Analyzes profit-and-loss income statements and prepares reports and recommendations to management | Generates forecasts and analyzes trends in sales, finance and other areas of business | Researches economic progressions to assist the organization's financial planning | Creates financial models of "what if" scenarios for future business planning decisions in areas such as new product development, new marketing strategies, etc.</v>
      </c>
      <c r="R160" s="22" t="str">
        <f>IF(LEFT(J160,1)="E","EX",LEFT(J160,1))</f>
        <v>M</v>
      </c>
      <c r="S160" s="22" t="str">
        <f>_xlfn.XLOOKUP($R160,'[1]Career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160" s="22" t="str">
        <f>J160</f>
        <v>M2</v>
      </c>
      <c r="U160" s="40" t="str">
        <f t="shared" si="5"/>
        <v>M2</v>
      </c>
      <c r="V160" s="22" t="str">
        <f>_xlfn.XLOOKUP(T160,'[1]Career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160" s="41" t="str">
        <f>J160&amp;"-"&amp;G160</f>
        <v>M2-13</v>
      </c>
      <c r="X160" s="42" t="str">
        <f>G160</f>
        <v>13</v>
      </c>
      <c r="Y160" s="22" t="str">
        <f>_xlfn.XLOOKUP(W160,'[1]Career Bands &amp; Levels'!A:A,'[1]Career Bands &amp; Levels'!C:C,"No Grade Differentiator")</f>
        <v>●	Accountable for the budget, performance and results of a medium-sized team or multiple small teams of employees		
●	Exercises full management authority, including performance reviews, pay decisions, recruitment, discipline, termination and other personnel actions		
●	Addresses issues with impact beyond own team based on knowledge of related disciplines</v>
      </c>
      <c r="Z160" s="43" t="str">
        <f>IFERROR(O160&amp;" - "&amp;G160,"--")</f>
        <v>Manager Controlling - 13</v>
      </c>
      <c r="AA160" s="44" t="str">
        <f>_xlfn.XLOOKUP($H160,'[1]SIG Qualifications Input'!$D:$D,'[1]SIG Qualifications Input'!$H:$H)</f>
        <v>University degree or equivalent and 7-10 years of work experience or equivalent
Experience in managing mixed-level team(s) of professionals and subordinate managers</v>
      </c>
    </row>
    <row r="161" spans="1:27" ht="281" thickBot="1" x14ac:dyDescent="0.2">
      <c r="A161" s="34" t="str">
        <f>_xlfn.XLOOKUP(C161,'[1]SIG Job Families &amp; Descriptions'!F:F,'[1]SIG Job Families &amp; Descriptions'!B:B)</f>
        <v>Finance</v>
      </c>
      <c r="B161" s="34" t="str">
        <f>_xlfn.XLOOKUP(C161,'[1]SIG Job Families &amp; Descriptions'!F:F,'[1]SIG Job Families &amp; Descriptions'!D:D)</f>
        <v>Controlling</v>
      </c>
      <c r="C161" s="34" t="s">
        <v>71</v>
      </c>
      <c r="D161" s="30" t="str">
        <f t="shared" si="4"/>
        <v>AFT</v>
      </c>
      <c r="E161" s="31" t="str">
        <f>_xlfn.XLOOKUP(C161,'[1]SIG Job Families &amp; Descriptions'!F:F,'[1]SIG Job Families &amp; Descriptions'!A:A)</f>
        <v>AFT010</v>
      </c>
      <c r="F161" s="32" t="s">
        <v>29</v>
      </c>
      <c r="G161" s="33" t="s">
        <v>34</v>
      </c>
      <c r="H161" s="34" t="str">
        <f>F161&amp;"-"&amp;G161</f>
        <v>Management-12</v>
      </c>
      <c r="I161" s="35" t="str">
        <f>IF(ISERROR(_xlfn.XLOOKUP(H161,'[1]SIG Level Structure'!D:D,'[1]SIG Level Structure'!D:D)),"0","1")</f>
        <v>1</v>
      </c>
      <c r="J161" s="36" t="str">
        <f>_xlfn.XLOOKUP($H161,'[1]SIG Level Structure'!$D:$D,'[1]SIG Level Structure'!F:F)</f>
        <v>M2</v>
      </c>
      <c r="K161" s="37" t="str">
        <f>E161&amp;"-"&amp;J161&amp;"-"&amp;G161</f>
        <v>AFT010-M2-12</v>
      </c>
      <c r="L161" s="37" t="str">
        <f>IFERROR(D161&amp;"-"&amp;LEFT(J161,1),"--")</f>
        <v>AFT-M</v>
      </c>
      <c r="M161" s="37" t="str">
        <f>VLOOKUP(L161,'[1]Compatible JC'!$A:$A,1,FALSE)</f>
        <v>AFT-M</v>
      </c>
      <c r="N161" s="37" t="str">
        <f>IFERROR(_xlfn.XLOOKUP(H161,'[1]SIG Level Structure'!D:D,'[1]SIG Level Structure'!C:C),"--")</f>
        <v>Manager</v>
      </c>
      <c r="O161" s="38" t="str">
        <f>IFERROR(TRIM(N161&amp;" "&amp;C161),"--")</f>
        <v>Manager Controlling</v>
      </c>
      <c r="P161" s="22" t="str">
        <f>_xlfn.XLOOKUP(E161,'[1]SIG Job Families &amp; Descriptions'!A:A,'[1]SIG Job Families &amp; Descriptions'!G:G)</f>
        <v>Responsible for preparing and monitoring the organization’s budget or for establishing and implementing budgeting systems and procedures. Assignments typically include budget planning and controlling, integrated financial planning, conducting analysis of business operations and opportunities, and preparing forecasts and management reportings. 
Performs economic research and studies of rates of return, depreciation and investments. Analyzes profit-and-loss income statements and prepares reports and recommendations to management. Generates forecasts and analyzes trends in sales, finance and other areas of business. Researches economic progressions to assist the organization's financial planning. Creates financial models of "what if" scenarios for future business planning decisions in areas such as new product development, new marketing strategies, etc.</v>
      </c>
      <c r="Q161" s="39" t="str">
        <f>_xlfn.XLOOKUP(E161,'[1]2022 GI Position Descriptions'!E:E,'[1]2022 GI Position Descriptions'!G:G)</f>
        <v>Performs economic research and studies of rates of return, depreciation and investments | Analyzes profit-and-loss income statements and prepares reports and recommendations to management | Generates forecasts and analyzes trends in sales, finance and other areas of business | Researches economic progressions to assist the organization's financial planning | Creates financial models of "what if" scenarios for future business planning decisions in areas such as new product development, new marketing strategies, etc.</v>
      </c>
      <c r="R161" s="22" t="str">
        <f>IF(LEFT(J161,1)="E","EX",LEFT(J161,1))</f>
        <v>M</v>
      </c>
      <c r="S161" s="22" t="str">
        <f>_xlfn.XLOOKUP($R161,'[1]Career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161" s="22" t="str">
        <f>J161</f>
        <v>M2</v>
      </c>
      <c r="U161" s="40" t="str">
        <f t="shared" si="5"/>
        <v>M2</v>
      </c>
      <c r="V161" s="22" t="str">
        <f>_xlfn.XLOOKUP(T161,'[1]Career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161" s="41" t="str">
        <f>J161&amp;"-"&amp;G161</f>
        <v>M2-12</v>
      </c>
      <c r="X161" s="42" t="str">
        <f>G161</f>
        <v>12</v>
      </c>
      <c r="Y161" s="22" t="str">
        <f>_xlfn.XLOOKUP(W161,'[1]Career Bands &amp; Levels'!A:A,'[1]Career Bands &amp; Levels'!C:C,"No Grade Differentiator")</f>
        <v xml:space="preserve">●	Accountable for results of a small team of employees		
●	Exercises limited management authority; sets employee performance objectives, conducts performance reviews and recommends pay actions		
●	Defines team operating standards and ensures essential procedures are followed based on knowledge of own discipline		</v>
      </c>
      <c r="Z161" s="43" t="str">
        <f>IFERROR(O161&amp;" - "&amp;G161,"--")</f>
        <v>Manager Controlling - 12</v>
      </c>
      <c r="AA161" s="44" t="str">
        <f>_xlfn.XLOOKUP($H161,'[1]SIG Qualifications Input'!$D:$D,'[1]SIG Qualifications Input'!$H:$H)</f>
        <v>University degree or equivalent and 7-10 years of work experience or equivalent
Experience in managing mixed-level team(s) of professionals and subordinate managers</v>
      </c>
    </row>
    <row r="162" spans="1:27" ht="255" customHeight="1" thickBot="1" x14ac:dyDescent="0.2">
      <c r="A162" s="34" t="str">
        <f>_xlfn.XLOOKUP(C162,'[1]SIG Job Families &amp; Descriptions'!F:F,'[1]SIG Job Families &amp; Descriptions'!B:B)</f>
        <v>Finance</v>
      </c>
      <c r="B162" s="34" t="str">
        <f>_xlfn.XLOOKUP(C162,'[1]SIG Job Families &amp; Descriptions'!F:F,'[1]SIG Job Families &amp; Descriptions'!D:D)</f>
        <v>Controlling</v>
      </c>
      <c r="C162" s="34" t="s">
        <v>71</v>
      </c>
      <c r="D162" s="30" t="str">
        <f t="shared" si="4"/>
        <v>AFT</v>
      </c>
      <c r="E162" s="31" t="str">
        <f>_xlfn.XLOOKUP(C162,'[1]SIG Job Families &amp; Descriptions'!F:F,'[1]SIG Job Families &amp; Descriptions'!A:A)</f>
        <v>AFT010</v>
      </c>
      <c r="F162" s="32" t="s">
        <v>29</v>
      </c>
      <c r="G162" s="33" t="s">
        <v>35</v>
      </c>
      <c r="H162" s="34" t="str">
        <f>F162&amp;"-"&amp;G162</f>
        <v>Management-11</v>
      </c>
      <c r="I162" s="35" t="str">
        <f>IF(ISERROR(_xlfn.XLOOKUP(H162,'[1]SIG Level Structure'!D:D,'[1]SIG Level Structure'!D:D)),"0","1")</f>
        <v>1</v>
      </c>
      <c r="J162" s="36" t="str">
        <f>_xlfn.XLOOKUP($H162,'[1]SIG Level Structure'!$D:$D,'[1]SIG Level Structure'!F:F)</f>
        <v>M1</v>
      </c>
      <c r="K162" s="37" t="str">
        <f>E162&amp;"-"&amp;J162&amp;"-"&amp;G162</f>
        <v>AFT010-M1-11</v>
      </c>
      <c r="L162" s="37" t="str">
        <f>IFERROR(D162&amp;"-"&amp;LEFT(J162,1),"--")</f>
        <v>AFT-M</v>
      </c>
      <c r="M162" s="37" t="str">
        <f>VLOOKUP(L162,'[1]Compatible JC'!$A:$A,1,FALSE)</f>
        <v>AFT-M</v>
      </c>
      <c r="N162" s="37" t="str">
        <f>IFERROR(_xlfn.XLOOKUP(H162,'[1]SIG Level Structure'!D:D,'[1]SIG Level Structure'!C:C),"--")</f>
        <v>Supervisor</v>
      </c>
      <c r="O162" s="38" t="str">
        <f>IFERROR(TRIM(N162&amp;" "&amp;C162),"--")</f>
        <v>Supervisor Controlling</v>
      </c>
      <c r="P162" s="22" t="str">
        <f>_xlfn.XLOOKUP(E162,'[1]SIG Job Families &amp; Descriptions'!A:A,'[1]SIG Job Families &amp; Descriptions'!G:G)</f>
        <v>Responsible for preparing and monitoring the organization’s budget or for establishing and implementing budgeting systems and procedures. Assignments typically include budget planning and controlling, integrated financial planning, conducting analysis of business operations and opportunities, and preparing forecasts and management reportings. 
Performs economic research and studies of rates of return, depreciation and investments. Analyzes profit-and-loss income statements and prepares reports and recommendations to management. Generates forecasts and analyzes trends in sales, finance and other areas of business. Researches economic progressions to assist the organization's financial planning. Creates financial models of "what if" scenarios for future business planning decisions in areas such as new product development, new marketing strategies, etc.</v>
      </c>
      <c r="Q162" s="39" t="str">
        <f>_xlfn.XLOOKUP(E162,'[1]2022 GI Position Descriptions'!E:E,'[1]2022 GI Position Descriptions'!G:G)</f>
        <v>Performs economic research and studies of rates of return, depreciation and investments | Analyzes profit-and-loss income statements and prepares reports and recommendations to management | Generates forecasts and analyzes trends in sales, finance and other areas of business | Researches economic progressions to assist the organization's financial planning | Creates financial models of "what if" scenarios for future business planning decisions in areas such as new product development, new marketing strategies, etc.</v>
      </c>
      <c r="R162" s="22" t="str">
        <f>IF(LEFT(J162,1)="E","EX",LEFT(J162,1))</f>
        <v>M</v>
      </c>
      <c r="S162" s="22" t="str">
        <f>_xlfn.XLOOKUP($R162,'[1]Career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162" s="22" t="str">
        <f>J162</f>
        <v>M1</v>
      </c>
      <c r="U162" s="40" t="str">
        <f t="shared" si="5"/>
        <v>M1</v>
      </c>
      <c r="V162" s="22" t="str">
        <f>_xlfn.XLOOKUP(T162,'[1]Career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162" s="41" t="str">
        <f>J162&amp;"-"&amp;G162</f>
        <v>M1-11</v>
      </c>
      <c r="X162" s="42" t="str">
        <f>G162</f>
        <v>11</v>
      </c>
      <c r="Y162" s="22" t="str">
        <f>_xlfn.XLOOKUP(W162,'[1]Career Bands &amp; Levels'!A:A,'[1]Career Bands &amp; Levels'!C:C,"No Grade Differentiator")</f>
        <v xml:space="preserve">●	Accountable for the results of a large and/or moderately complex support or production operations team including subordinate work leaders		
●	Applies acquired expertise to analyze and solve problems without clear precedent		
●	Provides input on resource planning and policy development		
●	Coaches team members on performance, completes employee performance evaluations and recommends pay actions		</v>
      </c>
      <c r="Z162" s="43" t="str">
        <f>IFERROR(O162&amp;" - "&amp;G162,"--")</f>
        <v>Supervisor Controlling - 11</v>
      </c>
      <c r="AA162" s="44" t="str">
        <f>_xlfn.XLOOKUP($H162,'[1]SIG Qualifications Input'!$D:$D,'[1]SIG Qualifications Input'!$H:$H)</f>
        <v>University degree or equivalent and 5-7 years of work experience or equivalent
Experienced in application of management techniques
Experience in operationally managing a mixed-level team</v>
      </c>
    </row>
    <row r="163" spans="1:27" ht="281" thickBot="1" x14ac:dyDescent="0.2">
      <c r="A163" s="34" t="str">
        <f>_xlfn.XLOOKUP(C163,'[1]SIG Job Families &amp; Descriptions'!F:F,'[1]SIG Job Families &amp; Descriptions'!B:B)</f>
        <v>Finance</v>
      </c>
      <c r="B163" s="34" t="str">
        <f>_xlfn.XLOOKUP(C163,'[1]SIG Job Families &amp; Descriptions'!F:F,'[1]SIG Job Families &amp; Descriptions'!D:D)</f>
        <v>Controlling</v>
      </c>
      <c r="C163" s="34" t="s">
        <v>71</v>
      </c>
      <c r="D163" s="30" t="str">
        <f t="shared" si="4"/>
        <v>AFT</v>
      </c>
      <c r="E163" s="31" t="str">
        <f>_xlfn.XLOOKUP(C163,'[1]SIG Job Families &amp; Descriptions'!F:F,'[1]SIG Job Families &amp; Descriptions'!A:A)</f>
        <v>AFT010</v>
      </c>
      <c r="F163" s="32" t="s">
        <v>29</v>
      </c>
      <c r="G163" s="33" t="s">
        <v>36</v>
      </c>
      <c r="H163" s="34" t="str">
        <f>F163&amp;"-"&amp;G163</f>
        <v>Management-10</v>
      </c>
      <c r="I163" s="35" t="str">
        <f>IF(ISERROR(_xlfn.XLOOKUP(H163,'[1]SIG Level Structure'!D:D,'[1]SIG Level Structure'!D:D)),"0","1")</f>
        <v>1</v>
      </c>
      <c r="J163" s="36" t="str">
        <f>_xlfn.XLOOKUP($H163,'[1]SIG Level Structure'!$D:$D,'[1]SIG Level Structure'!F:F)</f>
        <v>M1</v>
      </c>
      <c r="K163" s="37" t="str">
        <f>E163&amp;"-"&amp;J163&amp;"-"&amp;G163</f>
        <v>AFT010-M1-10</v>
      </c>
      <c r="L163" s="37" t="str">
        <f>IFERROR(D163&amp;"-"&amp;LEFT(J163,1),"--")</f>
        <v>AFT-M</v>
      </c>
      <c r="M163" s="37" t="str">
        <f>VLOOKUP(L163,'[1]Compatible JC'!$A:$A,1,FALSE)</f>
        <v>AFT-M</v>
      </c>
      <c r="N163" s="37" t="str">
        <f>IFERROR(_xlfn.XLOOKUP(H163,'[1]SIG Level Structure'!D:D,'[1]SIG Level Structure'!C:C),"--")</f>
        <v>Supervisor</v>
      </c>
      <c r="O163" s="38" t="str">
        <f>IFERROR(TRIM(N163&amp;" "&amp;C163),"--")</f>
        <v>Supervisor Controlling</v>
      </c>
      <c r="P163" s="22" t="str">
        <f>_xlfn.XLOOKUP(E163,'[1]SIG Job Families &amp; Descriptions'!A:A,'[1]SIG Job Families &amp; Descriptions'!G:G)</f>
        <v>Responsible for preparing and monitoring the organization’s budget or for establishing and implementing budgeting systems and procedures. Assignments typically include budget planning and controlling, integrated financial planning, conducting analysis of business operations and opportunities, and preparing forecasts and management reportings. 
Performs economic research and studies of rates of return, depreciation and investments. Analyzes profit-and-loss income statements and prepares reports and recommendations to management. Generates forecasts and analyzes trends in sales, finance and other areas of business. Researches economic progressions to assist the organization's financial planning. Creates financial models of "what if" scenarios for future business planning decisions in areas such as new product development, new marketing strategies, etc.</v>
      </c>
      <c r="Q163" s="39" t="str">
        <f>_xlfn.XLOOKUP(E163,'[1]2022 GI Position Descriptions'!E:E,'[1]2022 GI Position Descriptions'!G:G)</f>
        <v>Performs economic research and studies of rates of return, depreciation and investments | Analyzes profit-and-loss income statements and prepares reports and recommendations to management | Generates forecasts and analyzes trends in sales, finance and other areas of business | Researches economic progressions to assist the organization's financial planning | Creates financial models of "what if" scenarios for future business planning decisions in areas such as new product development, new marketing strategies, etc.</v>
      </c>
      <c r="R163" s="22" t="str">
        <f>IF(LEFT(J163,1)="E","EX",LEFT(J163,1))</f>
        <v>M</v>
      </c>
      <c r="S163" s="22" t="str">
        <f>_xlfn.XLOOKUP($R163,'[1]Career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163" s="22" t="str">
        <f>J163</f>
        <v>M1</v>
      </c>
      <c r="U163" s="40" t="str">
        <f t="shared" si="5"/>
        <v>M1</v>
      </c>
      <c r="V163" s="22" t="str">
        <f>_xlfn.XLOOKUP(T163,'[1]Career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163" s="41" t="str">
        <f>J163&amp;"-"&amp;G163</f>
        <v>M1-10</v>
      </c>
      <c r="X163" s="42" t="str">
        <f>G163</f>
        <v>10</v>
      </c>
      <c r="Y163" s="22" t="str">
        <f>_xlfn.XLOOKUP(W163,'[1]Career Bands &amp; Levels'!A:A,'[1]Career Bands &amp; Levels'!C:C,"No Grade Differentiator")</f>
        <v xml:space="preserve">●	Accountable for the results of medium-sized routine support or production operations teams		
●	Solves problems based on practice and precedent		
●	Trains team members and provides input to employee performance evaluations		</v>
      </c>
      <c r="Z163" s="43" t="str">
        <f>IFERROR(O163&amp;" - "&amp;G163,"--")</f>
        <v>Supervisor Controlling - 10</v>
      </c>
      <c r="AA163" s="44" t="str">
        <f>_xlfn.XLOOKUP($H163,'[1]SIG Qualifications Input'!$D:$D,'[1]SIG Qualifications Input'!$H:$H)</f>
        <v>University degree or equivalent and 5-7 years of work experience or equivalent
Experienced in application of management techniques
Experience in operationally managing a mixed-level team</v>
      </c>
    </row>
    <row r="164" spans="1:27" ht="281" thickBot="1" x14ac:dyDescent="0.2">
      <c r="A164" s="34" t="str">
        <f>_xlfn.XLOOKUP(C164,'[1]SIG Job Families &amp; Descriptions'!F:F,'[1]SIG Job Families &amp; Descriptions'!B:B)</f>
        <v>Finance</v>
      </c>
      <c r="B164" s="34" t="str">
        <f>_xlfn.XLOOKUP(C164,'[1]SIG Job Families &amp; Descriptions'!F:F,'[1]SIG Job Families &amp; Descriptions'!D:D)</f>
        <v>Controlling</v>
      </c>
      <c r="C164" s="34" t="s">
        <v>71</v>
      </c>
      <c r="D164" s="30" t="str">
        <f t="shared" si="4"/>
        <v>AFT</v>
      </c>
      <c r="E164" s="31" t="str">
        <f>_xlfn.XLOOKUP(C164,'[1]SIG Job Families &amp; Descriptions'!F:F,'[1]SIG Job Families &amp; Descriptions'!A:A)</f>
        <v>AFT010</v>
      </c>
      <c r="F164" s="32" t="s">
        <v>32</v>
      </c>
      <c r="G164" s="33" t="s">
        <v>31</v>
      </c>
      <c r="H164" s="34" t="str">
        <f>F164&amp;"-"&amp;G164</f>
        <v>Professional-14</v>
      </c>
      <c r="I164" s="35" t="str">
        <f>IF(ISERROR(_xlfn.XLOOKUP(H164,'[1]SIG Level Structure'!D:D,'[1]SIG Level Structure'!D:D)),"0","1")</f>
        <v>1</v>
      </c>
      <c r="J164" s="36" t="str">
        <f>_xlfn.XLOOKUP($H164,'[1]SIG Level Structure'!$D:$D,'[1]SIG Level Structure'!F:F)</f>
        <v>P4</v>
      </c>
      <c r="K164" s="37" t="str">
        <f>E164&amp;"-"&amp;J164&amp;"-"&amp;G164</f>
        <v>AFT010-P4-14</v>
      </c>
      <c r="L164" s="37" t="str">
        <f>IFERROR(D164&amp;"-"&amp;LEFT(J164,1),"--")</f>
        <v>AFT-P</v>
      </c>
      <c r="M164" s="37" t="str">
        <f>VLOOKUP(L164,'[1]Compatible JC'!$A:$A,1,FALSE)</f>
        <v>AFT-P</v>
      </c>
      <c r="N164" s="37" t="str">
        <f>IFERROR(_xlfn.XLOOKUP(H164,'[1]SIG Level Structure'!D:D,'[1]SIG Level Structure'!C:C),"--")</f>
        <v>Senior Expert</v>
      </c>
      <c r="O164" s="38" t="str">
        <f>IFERROR(TRIM(N164&amp;" "&amp;C164),"--")</f>
        <v>Senior Expert Controlling</v>
      </c>
      <c r="P164" s="22" t="str">
        <f>_xlfn.XLOOKUP(E164,'[1]SIG Job Families &amp; Descriptions'!A:A,'[1]SIG Job Families &amp; Descriptions'!G:G)</f>
        <v>Responsible for preparing and monitoring the organization’s budget or for establishing and implementing budgeting systems and procedures. Assignments typically include budget planning and controlling, integrated financial planning, conducting analysis of business operations and opportunities, and preparing forecasts and management reportings. 
Performs economic research and studies of rates of return, depreciation and investments. Analyzes profit-and-loss income statements and prepares reports and recommendations to management. Generates forecasts and analyzes trends in sales, finance and other areas of business. Researches economic progressions to assist the organization's financial planning. Creates financial models of "what if" scenarios for future business planning decisions in areas such as new product development, new marketing strategies, etc.</v>
      </c>
      <c r="Q164" s="39" t="str">
        <f>_xlfn.XLOOKUP(E164,'[1]2022 GI Position Descriptions'!E:E,'[1]2022 GI Position Descriptions'!G:G)</f>
        <v>Performs economic research and studies of rates of return, depreciation and investments | Analyzes profit-and-loss income statements and prepares reports and recommendations to management | Generates forecasts and analyzes trends in sales, finance and other areas of business | Researches economic progressions to assist the organization's financial planning | Creates financial models of "what if" scenarios for future business planning decisions in areas such as new product development, new marketing strategies, etc.</v>
      </c>
      <c r="R164" s="22" t="str">
        <f>IF(LEFT(J164,1)="E","EX",LEFT(J164,1))</f>
        <v>P</v>
      </c>
      <c r="S164" s="22" t="str">
        <f>_xlfn.XLOOKUP($R164,'[1]Career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64" s="22" t="str">
        <f>J164</f>
        <v>P4</v>
      </c>
      <c r="U164" s="40" t="str">
        <f t="shared" si="5"/>
        <v>P4</v>
      </c>
      <c r="V164" s="22" t="str">
        <f>_xlfn.XLOOKUP(T164,'[1]Career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164" s="41" t="str">
        <f>J164&amp;"-"&amp;G164</f>
        <v>P4-14</v>
      </c>
      <c r="X164" s="42" t="str">
        <f>G164</f>
        <v>14</v>
      </c>
      <c r="Y164" s="22" t="str">
        <f>_xlfn.XLOOKUP(W164,'[1]Career Bands &amp; Levels'!A:A,'[1]Career Bands &amp; Levels'!C:C,"No Grade Differentiator")</f>
        <v xml:space="preserve">●	Guides others in resolving complex issues in own specialized area and solves complex problems with implications on cross-functional business processes and outcomes		
●	Serves as an advisor and applies knowledge of strategies that can be deployed within own function and discipline		
●	Applies working knowledge of the theories and concepts in other disciplines		
●	May lead teams or projects with broad visibility		</v>
      </c>
      <c r="Z164" s="43" t="str">
        <f>IFERROR(O164&amp;" - "&amp;G164,"--")</f>
        <v>Senior Expert Controlling - 14</v>
      </c>
      <c r="AA164" s="44" t="str">
        <f>_xlfn.XLOOKUP($H164,'[1]SIG Qualifications Input'!$D:$D,'[1]SIG Qualifications Input'!$H:$H)</f>
        <v>University degree or equivalent and 8-10 years of work experience or equivalent, 
Experience in functionally leading (sub-)projects / teams</v>
      </c>
    </row>
    <row r="165" spans="1:27" ht="281" thickBot="1" x14ac:dyDescent="0.2">
      <c r="A165" s="34" t="str">
        <f>_xlfn.XLOOKUP(C165,'[1]SIG Job Families &amp; Descriptions'!F:F,'[1]SIG Job Families &amp; Descriptions'!B:B)</f>
        <v>Finance</v>
      </c>
      <c r="B165" s="34" t="str">
        <f>_xlfn.XLOOKUP(C165,'[1]SIG Job Families &amp; Descriptions'!F:F,'[1]SIG Job Families &amp; Descriptions'!D:D)</f>
        <v>Controlling</v>
      </c>
      <c r="C165" s="34" t="s">
        <v>71</v>
      </c>
      <c r="D165" s="30" t="str">
        <f t="shared" si="4"/>
        <v>AFT</v>
      </c>
      <c r="E165" s="31" t="str">
        <f>_xlfn.XLOOKUP(C165,'[1]SIG Job Families &amp; Descriptions'!F:F,'[1]SIG Job Families &amp; Descriptions'!A:A)</f>
        <v>AFT010</v>
      </c>
      <c r="F165" s="32" t="s">
        <v>32</v>
      </c>
      <c r="G165" s="33" t="s">
        <v>33</v>
      </c>
      <c r="H165" s="34" t="str">
        <f>F165&amp;"-"&amp;G165</f>
        <v>Professional-13</v>
      </c>
      <c r="I165" s="35" t="str">
        <f>IF(ISERROR(_xlfn.XLOOKUP(H165,'[1]SIG Level Structure'!D:D,'[1]SIG Level Structure'!D:D)),"0","1")</f>
        <v>1</v>
      </c>
      <c r="J165" s="36" t="str">
        <f>_xlfn.XLOOKUP($H165,'[1]SIG Level Structure'!$D:$D,'[1]SIG Level Structure'!F:F)</f>
        <v>P4</v>
      </c>
      <c r="K165" s="37" t="str">
        <f>E165&amp;"-"&amp;J165&amp;"-"&amp;G165</f>
        <v>AFT010-P4-13</v>
      </c>
      <c r="L165" s="37" t="str">
        <f>IFERROR(D165&amp;"-"&amp;LEFT(J165,1),"--")</f>
        <v>AFT-P</v>
      </c>
      <c r="M165" s="37" t="str">
        <f>VLOOKUP(L165,'[1]Compatible JC'!$A:$A,1,FALSE)</f>
        <v>AFT-P</v>
      </c>
      <c r="N165" s="37" t="str">
        <f>IFERROR(_xlfn.XLOOKUP(H165,'[1]SIG Level Structure'!D:D,'[1]SIG Level Structure'!C:C),"--")</f>
        <v>Senior Expert</v>
      </c>
      <c r="O165" s="38" t="str">
        <f>IFERROR(TRIM(N165&amp;" "&amp;C165),"--")</f>
        <v>Senior Expert Controlling</v>
      </c>
      <c r="P165" s="22" t="str">
        <f>_xlfn.XLOOKUP(E165,'[1]SIG Job Families &amp; Descriptions'!A:A,'[1]SIG Job Families &amp; Descriptions'!G:G)</f>
        <v>Responsible for preparing and monitoring the organization’s budget or for establishing and implementing budgeting systems and procedures. Assignments typically include budget planning and controlling, integrated financial planning, conducting analysis of business operations and opportunities, and preparing forecasts and management reportings. 
Performs economic research and studies of rates of return, depreciation and investments. Analyzes profit-and-loss income statements and prepares reports and recommendations to management. Generates forecasts and analyzes trends in sales, finance and other areas of business. Researches economic progressions to assist the organization's financial planning. Creates financial models of "what if" scenarios for future business planning decisions in areas such as new product development, new marketing strategies, etc.</v>
      </c>
      <c r="Q165" s="39" t="str">
        <f>_xlfn.XLOOKUP(E165,'[1]2022 GI Position Descriptions'!E:E,'[1]2022 GI Position Descriptions'!G:G)</f>
        <v>Performs economic research and studies of rates of return, depreciation and investments | Analyzes profit-and-loss income statements and prepares reports and recommendations to management | Generates forecasts and analyzes trends in sales, finance and other areas of business | Researches economic progressions to assist the organization's financial planning | Creates financial models of "what if" scenarios for future business planning decisions in areas such as new product development, new marketing strategies, etc.</v>
      </c>
      <c r="R165" s="22" t="str">
        <f>IF(LEFT(J165,1)="E","EX",LEFT(J165,1))</f>
        <v>P</v>
      </c>
      <c r="S165" s="22" t="str">
        <f>_xlfn.XLOOKUP($R165,'[1]Career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65" s="22" t="str">
        <f>J165</f>
        <v>P4</v>
      </c>
      <c r="U165" s="40" t="str">
        <f t="shared" si="5"/>
        <v>P4</v>
      </c>
      <c r="V165" s="22" t="str">
        <f>_xlfn.XLOOKUP(T165,'[1]Career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165" s="41" t="str">
        <f>J165&amp;"-"&amp;G165</f>
        <v>P4-13</v>
      </c>
      <c r="X165" s="42" t="str">
        <f>G165</f>
        <v>13</v>
      </c>
      <c r="Y165" s="22" t="str">
        <f>_xlfn.XLOOKUP(W165,'[1]Career Bands &amp; Levels'!A:A,'[1]Career Bands &amp; Levels'!C:C,"No Grade Differentiator")</f>
        <v xml:space="preserve">●	Guides others in resolving complex issues in specialized area based on existing solutions and procedures		
●	Serves as an expert within own discipline		
●	May lead function teams or projects and serves as a best practices/quality resource		
●	Trains/mentors junior staff		</v>
      </c>
      <c r="Z165" s="43" t="str">
        <f>IFERROR(O165&amp;" - "&amp;G165,"--")</f>
        <v>Senior Expert Controlling - 13</v>
      </c>
      <c r="AA165" s="44" t="str">
        <f>_xlfn.XLOOKUP($H165,'[1]SIG Qualifications Input'!$D:$D,'[1]SIG Qualifications Input'!$H:$H)</f>
        <v>University degree or equivalent and 8-10 years of work experience or equivalent, 
Experience in functionally leading (sub-)projects / teams</v>
      </c>
    </row>
    <row r="166" spans="1:27" ht="255" customHeight="1" thickBot="1" x14ac:dyDescent="0.2">
      <c r="A166" s="34" t="str">
        <f>_xlfn.XLOOKUP(C166,'[1]SIG Job Families &amp; Descriptions'!F:F,'[1]SIG Job Families &amp; Descriptions'!B:B)</f>
        <v>Finance</v>
      </c>
      <c r="B166" s="34" t="str">
        <f>_xlfn.XLOOKUP(C166,'[1]SIG Job Families &amp; Descriptions'!F:F,'[1]SIG Job Families &amp; Descriptions'!D:D)</f>
        <v>Controlling</v>
      </c>
      <c r="C166" s="34" t="s">
        <v>71</v>
      </c>
      <c r="D166" s="30" t="str">
        <f t="shared" si="4"/>
        <v>AFT</v>
      </c>
      <c r="E166" s="31" t="str">
        <f>_xlfn.XLOOKUP(C166,'[1]SIG Job Families &amp; Descriptions'!F:F,'[1]SIG Job Families &amp; Descriptions'!A:A)</f>
        <v>AFT010</v>
      </c>
      <c r="F166" s="32" t="s">
        <v>32</v>
      </c>
      <c r="G166" s="33" t="s">
        <v>34</v>
      </c>
      <c r="H166" s="34" t="str">
        <f>F166&amp;"-"&amp;G166</f>
        <v>Professional-12</v>
      </c>
      <c r="I166" s="35" t="str">
        <f>IF(ISERROR(_xlfn.XLOOKUP(H166,'[1]SIG Level Structure'!D:D,'[1]SIG Level Structure'!D:D)),"0","1")</f>
        <v>1</v>
      </c>
      <c r="J166" s="36" t="str">
        <f>_xlfn.XLOOKUP($H166,'[1]SIG Level Structure'!$D:$D,'[1]SIG Level Structure'!F:F)</f>
        <v>P3</v>
      </c>
      <c r="K166" s="37" t="str">
        <f>E166&amp;"-"&amp;J166&amp;"-"&amp;G166</f>
        <v>AFT010-P3-12</v>
      </c>
      <c r="L166" s="37" t="str">
        <f>IFERROR(D166&amp;"-"&amp;LEFT(J166,1),"--")</f>
        <v>AFT-P</v>
      </c>
      <c r="M166" s="37" t="str">
        <f>VLOOKUP(L166,'[1]Compatible JC'!$A:$A,1,FALSE)</f>
        <v>AFT-P</v>
      </c>
      <c r="N166" s="37" t="str">
        <f>IFERROR(_xlfn.XLOOKUP(H166,'[1]SIG Level Structure'!D:D,'[1]SIG Level Structure'!C:C),"--")</f>
        <v>Expert</v>
      </c>
      <c r="O166" s="38" t="str">
        <f>IFERROR(TRIM(N166&amp;" "&amp;C166),"--")</f>
        <v>Expert Controlling</v>
      </c>
      <c r="P166" s="22" t="str">
        <f>_xlfn.XLOOKUP(E166,'[1]SIG Job Families &amp; Descriptions'!A:A,'[1]SIG Job Families &amp; Descriptions'!G:G)</f>
        <v>Responsible for preparing and monitoring the organization’s budget or for establishing and implementing budgeting systems and procedures. Assignments typically include budget planning and controlling, integrated financial planning, conducting analysis of business operations and opportunities, and preparing forecasts and management reportings. 
Performs economic research and studies of rates of return, depreciation and investments. Analyzes profit-and-loss income statements and prepares reports and recommendations to management. Generates forecasts and analyzes trends in sales, finance and other areas of business. Researches economic progressions to assist the organization's financial planning. Creates financial models of "what if" scenarios for future business planning decisions in areas such as new product development, new marketing strategies, etc.</v>
      </c>
      <c r="Q166" s="39" t="str">
        <f>_xlfn.XLOOKUP(E166,'[1]2022 GI Position Descriptions'!E:E,'[1]2022 GI Position Descriptions'!G:G)</f>
        <v>Performs economic research and studies of rates of return, depreciation and investments | Analyzes profit-and-loss income statements and prepares reports and recommendations to management | Generates forecasts and analyzes trends in sales, finance and other areas of business | Researches economic progressions to assist the organization's financial planning | Creates financial models of "what if" scenarios for future business planning decisions in areas such as new product development, new marketing strategies, etc.</v>
      </c>
      <c r="R166" s="22" t="str">
        <f>IF(LEFT(J166,1)="E","EX",LEFT(J166,1))</f>
        <v>P</v>
      </c>
      <c r="S166" s="22" t="str">
        <f>_xlfn.XLOOKUP($R166,'[1]Career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66" s="22" t="str">
        <f>J166</f>
        <v>P3</v>
      </c>
      <c r="U166" s="40" t="str">
        <f t="shared" si="5"/>
        <v>P3</v>
      </c>
      <c r="V166" s="22" t="str">
        <f>_xlfn.XLOOKUP(T166,'[1]Career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166" s="41" t="str">
        <f>J166&amp;"-"&amp;G166</f>
        <v>P3-12</v>
      </c>
      <c r="X166" s="42" t="str">
        <f>G166</f>
        <v>12</v>
      </c>
      <c r="Y166" s="22" t="str">
        <f>_xlfn.XLOOKUP(W166,'[1]Career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166" s="43" t="str">
        <f>IFERROR(O166&amp;" - "&amp;G166,"--")</f>
        <v>Expert Controlling - 12</v>
      </c>
      <c r="AA166" s="44" t="str">
        <f>_xlfn.XLOOKUP($H166,'[1]SIG Qualifications Input'!$D:$D,'[1]SIG Qualifications Input'!$H:$H)</f>
        <v>University degree or equivalent and 4-8 years of work experience or equivalent, 
Initial experience in functionally leading (sub-) projects</v>
      </c>
    </row>
    <row r="167" spans="1:27" ht="281" thickBot="1" x14ac:dyDescent="0.2">
      <c r="A167" s="34" t="str">
        <f>_xlfn.XLOOKUP(C167,'[1]SIG Job Families &amp; Descriptions'!F:F,'[1]SIG Job Families &amp; Descriptions'!B:B)</f>
        <v>Finance</v>
      </c>
      <c r="B167" s="34" t="str">
        <f>_xlfn.XLOOKUP(C167,'[1]SIG Job Families &amp; Descriptions'!F:F,'[1]SIG Job Families &amp; Descriptions'!D:D)</f>
        <v>Controlling</v>
      </c>
      <c r="C167" s="34" t="s">
        <v>71</v>
      </c>
      <c r="D167" s="30" t="str">
        <f t="shared" si="4"/>
        <v>AFT</v>
      </c>
      <c r="E167" s="31" t="str">
        <f>_xlfn.XLOOKUP(C167,'[1]SIG Job Families &amp; Descriptions'!F:F,'[1]SIG Job Families &amp; Descriptions'!A:A)</f>
        <v>AFT010</v>
      </c>
      <c r="F167" s="32" t="s">
        <v>32</v>
      </c>
      <c r="G167" s="33" t="s">
        <v>35</v>
      </c>
      <c r="H167" s="34" t="str">
        <f>F167&amp;"-"&amp;G167</f>
        <v>Professional-11</v>
      </c>
      <c r="I167" s="35" t="str">
        <f>IF(ISERROR(_xlfn.XLOOKUP(H167,'[1]SIG Level Structure'!D:D,'[1]SIG Level Structure'!D:D)),"0","1")</f>
        <v>1</v>
      </c>
      <c r="J167" s="36" t="str">
        <f>_xlfn.XLOOKUP($H167,'[1]SIG Level Structure'!$D:$D,'[1]SIG Level Structure'!F:F)</f>
        <v>P3</v>
      </c>
      <c r="K167" s="37" t="str">
        <f>E167&amp;"-"&amp;J167&amp;"-"&amp;G167</f>
        <v>AFT010-P3-11</v>
      </c>
      <c r="L167" s="37" t="str">
        <f>IFERROR(D167&amp;"-"&amp;LEFT(J167,1),"--")</f>
        <v>AFT-P</v>
      </c>
      <c r="M167" s="37" t="str">
        <f>VLOOKUP(L167,'[1]Compatible JC'!$A:$A,1,FALSE)</f>
        <v>AFT-P</v>
      </c>
      <c r="N167" s="37" t="str">
        <f>IFERROR(_xlfn.XLOOKUP(H167,'[1]SIG Level Structure'!D:D,'[1]SIG Level Structure'!C:C),"--")</f>
        <v>Expert</v>
      </c>
      <c r="O167" s="38" t="str">
        <f>IFERROR(TRIM(N167&amp;" "&amp;C167),"--")</f>
        <v>Expert Controlling</v>
      </c>
      <c r="P167" s="22" t="str">
        <f>_xlfn.XLOOKUP(E167,'[1]SIG Job Families &amp; Descriptions'!A:A,'[1]SIG Job Families &amp; Descriptions'!G:G)</f>
        <v>Responsible for preparing and monitoring the organization’s budget or for establishing and implementing budgeting systems and procedures. Assignments typically include budget planning and controlling, integrated financial planning, conducting analysis of business operations and opportunities, and preparing forecasts and management reportings. 
Performs economic research and studies of rates of return, depreciation and investments. Analyzes profit-and-loss income statements and prepares reports and recommendations to management. Generates forecasts and analyzes trends in sales, finance and other areas of business. Researches economic progressions to assist the organization's financial planning. Creates financial models of "what if" scenarios for future business planning decisions in areas such as new product development, new marketing strategies, etc.</v>
      </c>
      <c r="Q167" s="39" t="str">
        <f>_xlfn.XLOOKUP(E167,'[1]2022 GI Position Descriptions'!E:E,'[1]2022 GI Position Descriptions'!G:G)</f>
        <v>Performs economic research and studies of rates of return, depreciation and investments | Analyzes profit-and-loss income statements and prepares reports and recommendations to management | Generates forecasts and analyzes trends in sales, finance and other areas of business | Researches economic progressions to assist the organization's financial planning | Creates financial models of "what if" scenarios for future business planning decisions in areas such as new product development, new marketing strategies, etc.</v>
      </c>
      <c r="R167" s="22" t="str">
        <f>IF(LEFT(J167,1)="E","EX",LEFT(J167,1))</f>
        <v>P</v>
      </c>
      <c r="S167" s="22" t="str">
        <f>_xlfn.XLOOKUP($R167,'[1]Career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67" s="22" t="str">
        <f>J167</f>
        <v>P3</v>
      </c>
      <c r="U167" s="40" t="str">
        <f t="shared" si="5"/>
        <v>P3</v>
      </c>
      <c r="V167" s="22" t="str">
        <f>_xlfn.XLOOKUP(T167,'[1]Career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167" s="41" t="str">
        <f>J167&amp;"-"&amp;G167</f>
        <v>P3-11</v>
      </c>
      <c r="X167" s="42" t="str">
        <f>G167</f>
        <v>11</v>
      </c>
      <c r="Y167" s="22" t="str">
        <f>_xlfn.XLOOKUP(W167,'[1]Career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167" s="43" t="str">
        <f>IFERROR(O167&amp;" - "&amp;G167,"--")</f>
        <v>Expert Controlling - 11</v>
      </c>
      <c r="AA167" s="44" t="str">
        <f>_xlfn.XLOOKUP($H167,'[1]SIG Qualifications Input'!$D:$D,'[1]SIG Qualifications Input'!$H:$H)</f>
        <v>University degree or equivalent and 4-8 years of work experience or equivalent, 
Initial experience in functionally leading (sub-) projects</v>
      </c>
    </row>
    <row r="168" spans="1:27" ht="281" thickBot="1" x14ac:dyDescent="0.2">
      <c r="A168" s="34" t="str">
        <f>_xlfn.XLOOKUP(C168,'[1]SIG Job Families &amp; Descriptions'!F:F,'[1]SIG Job Families &amp; Descriptions'!B:B)</f>
        <v>Finance</v>
      </c>
      <c r="B168" s="34" t="str">
        <f>_xlfn.XLOOKUP(C168,'[1]SIG Job Families &amp; Descriptions'!F:F,'[1]SIG Job Families &amp; Descriptions'!D:D)</f>
        <v>Controlling</v>
      </c>
      <c r="C168" s="34" t="s">
        <v>71</v>
      </c>
      <c r="D168" s="30" t="str">
        <f t="shared" si="4"/>
        <v>AFT</v>
      </c>
      <c r="E168" s="31" t="str">
        <f>_xlfn.XLOOKUP(C168,'[1]SIG Job Families &amp; Descriptions'!F:F,'[1]SIG Job Families &amp; Descriptions'!A:A)</f>
        <v>AFT010</v>
      </c>
      <c r="F168" s="32" t="s">
        <v>32</v>
      </c>
      <c r="G168" s="33" t="s">
        <v>36</v>
      </c>
      <c r="H168" s="34" t="str">
        <f>F168&amp;"-"&amp;G168</f>
        <v>Professional-10</v>
      </c>
      <c r="I168" s="35" t="str">
        <f>IF(ISERROR(_xlfn.XLOOKUP(H168,'[1]SIG Level Structure'!D:D,'[1]SIG Level Structure'!D:D)),"0","1")</f>
        <v>1</v>
      </c>
      <c r="J168" s="36" t="str">
        <f>_xlfn.XLOOKUP($H168,'[1]SIG Level Structure'!$D:$D,'[1]SIG Level Structure'!F:F)</f>
        <v>P2</v>
      </c>
      <c r="K168" s="37" t="str">
        <f>E168&amp;"-"&amp;J168&amp;"-"&amp;G168</f>
        <v>AFT010-P2-10</v>
      </c>
      <c r="L168" s="37" t="str">
        <f>IFERROR(D168&amp;"-"&amp;LEFT(J168,1),"--")</f>
        <v>AFT-P</v>
      </c>
      <c r="M168" s="37" t="str">
        <f>VLOOKUP(L168,'[1]Compatible JC'!$A:$A,1,FALSE)</f>
        <v>AFT-P</v>
      </c>
      <c r="N168" s="37" t="str">
        <f>IFERROR(_xlfn.XLOOKUP(H168,'[1]SIG Level Structure'!D:D,'[1]SIG Level Structure'!C:C),"--")</f>
        <v>Senior Specialist</v>
      </c>
      <c r="O168" s="38" t="str">
        <f>IFERROR(TRIM(N168&amp;" "&amp;C168),"--")</f>
        <v>Senior Specialist Controlling</v>
      </c>
      <c r="P168" s="22" t="str">
        <f>_xlfn.XLOOKUP(E168,'[1]SIG Job Families &amp; Descriptions'!A:A,'[1]SIG Job Families &amp; Descriptions'!G:G)</f>
        <v>Responsible for preparing and monitoring the organization’s budget or for establishing and implementing budgeting systems and procedures. Assignments typically include budget planning and controlling, integrated financial planning, conducting analysis of business operations and opportunities, and preparing forecasts and management reportings. 
Performs economic research and studies of rates of return, depreciation and investments. Analyzes profit-and-loss income statements and prepares reports and recommendations to management. Generates forecasts and analyzes trends in sales, finance and other areas of business. Researches economic progressions to assist the organization's financial planning. Creates financial models of "what if" scenarios for future business planning decisions in areas such as new product development, new marketing strategies, etc.</v>
      </c>
      <c r="Q168" s="39" t="str">
        <f>_xlfn.XLOOKUP(E168,'[1]2022 GI Position Descriptions'!E:E,'[1]2022 GI Position Descriptions'!G:G)</f>
        <v>Performs economic research and studies of rates of return, depreciation and investments | Analyzes profit-and-loss income statements and prepares reports and recommendations to management | Generates forecasts and analyzes trends in sales, finance and other areas of business | Researches economic progressions to assist the organization's financial planning | Creates financial models of "what if" scenarios for future business planning decisions in areas such as new product development, new marketing strategies, etc.</v>
      </c>
      <c r="R168" s="22" t="str">
        <f>IF(LEFT(J168,1)="E","EX",LEFT(J168,1))</f>
        <v>P</v>
      </c>
      <c r="S168" s="22" t="str">
        <f>_xlfn.XLOOKUP($R168,'[1]Career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68" s="22" t="str">
        <f>J168</f>
        <v>P2</v>
      </c>
      <c r="U168" s="40" t="str">
        <f t="shared" si="5"/>
        <v>P2</v>
      </c>
      <c r="V168" s="22" t="str">
        <f>_xlfn.XLOOKUP(T168,'[1]Career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168" s="41" t="str">
        <f>J168&amp;"-"&amp;G168</f>
        <v>P2-10</v>
      </c>
      <c r="X168" s="42" t="str">
        <f>G168</f>
        <v>10</v>
      </c>
      <c r="Y168" s="22" t="str">
        <f>_xlfn.XLOOKUP(W168,'[1]Career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168" s="43" t="str">
        <f>IFERROR(O168&amp;" - "&amp;G168,"--")</f>
        <v>Senior Specialist Controlling - 10</v>
      </c>
      <c r="AA168" s="44" t="str">
        <f>_xlfn.XLOOKUP($H168,'[1]SIG Qualifications Input'!$D:$D,'[1]SIG Qualifications Input'!$H:$H)</f>
        <v>University degree or equivalent and 2-4 years of work experience or equivalent</v>
      </c>
    </row>
    <row r="169" spans="1:27" ht="281" thickBot="1" x14ac:dyDescent="0.2">
      <c r="A169" s="34" t="str">
        <f>_xlfn.XLOOKUP(C169,'[1]SIG Job Families &amp; Descriptions'!F:F,'[1]SIG Job Families &amp; Descriptions'!B:B)</f>
        <v>Finance</v>
      </c>
      <c r="B169" s="34" t="str">
        <f>_xlfn.XLOOKUP(C169,'[1]SIG Job Families &amp; Descriptions'!F:F,'[1]SIG Job Families &amp; Descriptions'!D:D)</f>
        <v>Controlling</v>
      </c>
      <c r="C169" s="34" t="s">
        <v>71</v>
      </c>
      <c r="D169" s="30" t="str">
        <f t="shared" si="4"/>
        <v>AFT</v>
      </c>
      <c r="E169" s="31" t="str">
        <f>_xlfn.XLOOKUP(C169,'[1]SIG Job Families &amp; Descriptions'!F:F,'[1]SIG Job Families &amp; Descriptions'!A:A)</f>
        <v>AFT010</v>
      </c>
      <c r="F169" s="32" t="s">
        <v>32</v>
      </c>
      <c r="G169" s="33" t="s">
        <v>37</v>
      </c>
      <c r="H169" s="34" t="str">
        <f>F169&amp;"-"&amp;G169</f>
        <v>Professional-09</v>
      </c>
      <c r="I169" s="35" t="str">
        <f>IF(ISERROR(_xlfn.XLOOKUP(H169,'[1]SIG Level Structure'!D:D,'[1]SIG Level Structure'!D:D)),"0","1")</f>
        <v>1</v>
      </c>
      <c r="J169" s="36" t="str">
        <f>_xlfn.XLOOKUP($H169,'[1]SIG Level Structure'!$D:$D,'[1]SIG Level Structure'!F:F)</f>
        <v>P2</v>
      </c>
      <c r="K169" s="37" t="str">
        <f>E169&amp;"-"&amp;J169&amp;"-"&amp;G169</f>
        <v>AFT010-P2-09</v>
      </c>
      <c r="L169" s="37" t="str">
        <f>IFERROR(D169&amp;"-"&amp;LEFT(J169,1),"--")</f>
        <v>AFT-P</v>
      </c>
      <c r="M169" s="37" t="str">
        <f>VLOOKUP(L169,'[1]Compatible JC'!$A:$A,1,FALSE)</f>
        <v>AFT-P</v>
      </c>
      <c r="N169" s="37" t="str">
        <f>IFERROR(_xlfn.XLOOKUP(H169,'[1]SIG Level Structure'!D:D,'[1]SIG Level Structure'!C:C),"--")</f>
        <v>Senior Specialist</v>
      </c>
      <c r="O169" s="38" t="str">
        <f>IFERROR(TRIM(N169&amp;" "&amp;C169),"--")</f>
        <v>Senior Specialist Controlling</v>
      </c>
      <c r="P169" s="22" t="str">
        <f>_xlfn.XLOOKUP(E169,'[1]SIG Job Families &amp; Descriptions'!A:A,'[1]SIG Job Families &amp; Descriptions'!G:G)</f>
        <v>Responsible for preparing and monitoring the organization’s budget or for establishing and implementing budgeting systems and procedures. Assignments typically include budget planning and controlling, integrated financial planning, conducting analysis of business operations and opportunities, and preparing forecasts and management reportings. 
Performs economic research and studies of rates of return, depreciation and investments. Analyzes profit-and-loss income statements and prepares reports and recommendations to management. Generates forecasts and analyzes trends in sales, finance and other areas of business. Researches economic progressions to assist the organization's financial planning. Creates financial models of "what if" scenarios for future business planning decisions in areas such as new product development, new marketing strategies, etc.</v>
      </c>
      <c r="Q169" s="39" t="str">
        <f>_xlfn.XLOOKUP(E169,'[1]2022 GI Position Descriptions'!E:E,'[1]2022 GI Position Descriptions'!G:G)</f>
        <v>Performs economic research and studies of rates of return, depreciation and investments | Analyzes profit-and-loss income statements and prepares reports and recommendations to management | Generates forecasts and analyzes trends in sales, finance and other areas of business | Researches economic progressions to assist the organization's financial planning | Creates financial models of "what if" scenarios for future business planning decisions in areas such as new product development, new marketing strategies, etc.</v>
      </c>
      <c r="R169" s="22" t="str">
        <f>IF(LEFT(J169,1)="E","EX",LEFT(J169,1))</f>
        <v>P</v>
      </c>
      <c r="S169" s="22" t="str">
        <f>_xlfn.XLOOKUP($R169,'[1]Career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69" s="22" t="str">
        <f>J169</f>
        <v>P2</v>
      </c>
      <c r="U169" s="40" t="str">
        <f t="shared" si="5"/>
        <v>P2</v>
      </c>
      <c r="V169" s="22" t="str">
        <f>_xlfn.XLOOKUP(T169,'[1]Career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169" s="41" t="str">
        <f>J169&amp;"-"&amp;G169</f>
        <v>P2-09</v>
      </c>
      <c r="X169" s="42" t="str">
        <f>G169</f>
        <v>09</v>
      </c>
      <c r="Y169" s="22" t="str">
        <f>_xlfn.XLOOKUP(W169,'[1]Career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169" s="43" t="str">
        <f>IFERROR(O169&amp;" - "&amp;G169,"--")</f>
        <v>Senior Specialist Controlling - 09</v>
      </c>
      <c r="AA169" s="44" t="str">
        <f>_xlfn.XLOOKUP($H169,'[1]SIG Qualifications Input'!$D:$D,'[1]SIG Qualifications Input'!$H:$H)</f>
        <v>University degree or equivalent and 2-4 years of work experience or equivalent</v>
      </c>
    </row>
    <row r="170" spans="1:27" ht="281" thickBot="1" x14ac:dyDescent="0.2">
      <c r="A170" s="34" t="str">
        <f>_xlfn.XLOOKUP(C170,'[1]SIG Job Families &amp; Descriptions'!F:F,'[1]SIG Job Families &amp; Descriptions'!B:B)</f>
        <v>Finance</v>
      </c>
      <c r="B170" s="34" t="str">
        <f>_xlfn.XLOOKUP(C170,'[1]SIG Job Families &amp; Descriptions'!F:F,'[1]SIG Job Families &amp; Descriptions'!D:D)</f>
        <v>Controlling</v>
      </c>
      <c r="C170" s="34" t="s">
        <v>71</v>
      </c>
      <c r="D170" s="30" t="str">
        <f t="shared" si="4"/>
        <v>AFT</v>
      </c>
      <c r="E170" s="31" t="str">
        <f>_xlfn.XLOOKUP(C170,'[1]SIG Job Families &amp; Descriptions'!F:F,'[1]SIG Job Families &amp; Descriptions'!A:A)</f>
        <v>AFT010</v>
      </c>
      <c r="F170" s="32" t="s">
        <v>32</v>
      </c>
      <c r="G170" s="33" t="s">
        <v>43</v>
      </c>
      <c r="H170" s="34" t="str">
        <f>F170&amp;"-"&amp;G170</f>
        <v>Professional-08</v>
      </c>
      <c r="I170" s="35" t="str">
        <f>IF(ISERROR(_xlfn.XLOOKUP(H170,'[1]SIG Level Structure'!D:D,'[1]SIG Level Structure'!D:D)),"0","1")</f>
        <v>1</v>
      </c>
      <c r="J170" s="36" t="str">
        <f>_xlfn.XLOOKUP($H170,'[1]SIG Level Structure'!$D:$D,'[1]SIG Level Structure'!F:F)</f>
        <v>P1</v>
      </c>
      <c r="K170" s="37" t="str">
        <f>E170&amp;"-"&amp;J170&amp;"-"&amp;G170</f>
        <v>AFT010-P1-08</v>
      </c>
      <c r="L170" s="37" t="str">
        <f>IFERROR(D170&amp;"-"&amp;LEFT(J170,1),"--")</f>
        <v>AFT-P</v>
      </c>
      <c r="M170" s="37" t="str">
        <f>VLOOKUP(L170,'[1]Compatible JC'!$A:$A,1,FALSE)</f>
        <v>AFT-P</v>
      </c>
      <c r="N170" s="37" t="str">
        <f>IFERROR(_xlfn.XLOOKUP(H170,'[1]SIG Level Structure'!D:D,'[1]SIG Level Structure'!C:C),"--")</f>
        <v>Specialist</v>
      </c>
      <c r="O170" s="38" t="str">
        <f>IFERROR(TRIM(N170&amp;" "&amp;C170),"--")</f>
        <v>Specialist Controlling</v>
      </c>
      <c r="P170" s="22" t="str">
        <f>_xlfn.XLOOKUP(E170,'[1]SIG Job Families &amp; Descriptions'!A:A,'[1]SIG Job Families &amp; Descriptions'!G:G)</f>
        <v>Responsible for preparing and monitoring the organization’s budget or for establishing and implementing budgeting systems and procedures. Assignments typically include budget planning and controlling, integrated financial planning, conducting analysis of business operations and opportunities, and preparing forecasts and management reportings. 
Performs economic research and studies of rates of return, depreciation and investments. Analyzes profit-and-loss income statements and prepares reports and recommendations to management. Generates forecasts and analyzes trends in sales, finance and other areas of business. Researches economic progressions to assist the organization's financial planning. Creates financial models of "what if" scenarios for future business planning decisions in areas such as new product development, new marketing strategies, etc.</v>
      </c>
      <c r="Q170" s="39" t="str">
        <f>_xlfn.XLOOKUP(E170,'[1]2022 GI Position Descriptions'!E:E,'[1]2022 GI Position Descriptions'!G:G)</f>
        <v>Performs economic research and studies of rates of return, depreciation and investments | Analyzes profit-and-loss income statements and prepares reports and recommendations to management | Generates forecasts and analyzes trends in sales, finance and other areas of business | Researches economic progressions to assist the organization's financial planning | Creates financial models of "what if" scenarios for future business planning decisions in areas such as new product development, new marketing strategies, etc.</v>
      </c>
      <c r="R170" s="22" t="str">
        <f>IF(LEFT(J170,1)="E","EX",LEFT(J170,1))</f>
        <v>P</v>
      </c>
      <c r="S170" s="22" t="str">
        <f>_xlfn.XLOOKUP($R170,'[1]Career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70" s="22" t="str">
        <f>J170</f>
        <v>P1</v>
      </c>
      <c r="U170" s="40" t="str">
        <f t="shared" si="5"/>
        <v>P1</v>
      </c>
      <c r="V170" s="22" t="str">
        <f>_xlfn.XLOOKUP(T170,'[1]Career Bands &amp; Levels'!A:A,'[1]Career Bands &amp; Levels'!C:C)</f>
        <v xml:space="preserve">●	Performs routine assignments in the entry level of the Professional Career Band		
●	Typically requires a college or university degree or the equivalent work experience and has conceptual knowledge of fundamental theories, principles and practices 		
●	Has no discretion to vary from established procedures by performing structured work assignments		
●	Uses existing procedures to solve routine or standard problems		
●	Receives instruction, guidance and direction from more senior level roles		</v>
      </c>
      <c r="W170" s="41" t="str">
        <f>J170&amp;"-"&amp;G170</f>
        <v>P1-08</v>
      </c>
      <c r="X170" s="42" t="str">
        <f>G170</f>
        <v>08</v>
      </c>
      <c r="Y170" s="22" t="str">
        <f>_xlfn.XLOOKUP(W170,'[1]Career Bands &amp; Levels'!A:A,'[1]Career Bands &amp; Levels'!C:C,"No Grade Differentiator")</f>
        <v>No Grade Differentiator</v>
      </c>
      <c r="Z170" s="43" t="str">
        <f>IFERROR(O170&amp;" - "&amp;G170,"--")</f>
        <v>Specialist Controlling - 08</v>
      </c>
      <c r="AA170" s="44" t="str">
        <f>_xlfn.XLOOKUP($H170,'[1]SIG Qualifications Input'!$D:$D,'[1]SIG Qualifications Input'!$H:$H)</f>
        <v>University degree or equivalent and 0-1 year of work experience or equivalent</v>
      </c>
    </row>
    <row r="171" spans="1:27" ht="183" thickBot="1" x14ac:dyDescent="0.2">
      <c r="A171" s="34" t="str">
        <f>_xlfn.XLOOKUP(C171,'[1]SIG Job Families &amp; Descriptions'!F:F,'[1]SIG Job Families &amp; Descriptions'!B:B)</f>
        <v>Finance</v>
      </c>
      <c r="B171" s="34" t="str">
        <f>_xlfn.XLOOKUP(C171,'[1]SIG Job Families &amp; Descriptions'!F:F,'[1]SIG Job Families &amp; Descriptions'!D:D)</f>
        <v>Tax</v>
      </c>
      <c r="C171" s="34" t="s">
        <v>72</v>
      </c>
      <c r="D171" s="30" t="str">
        <f t="shared" si="4"/>
        <v>AFT</v>
      </c>
      <c r="E171" s="31" t="str">
        <f>_xlfn.XLOOKUP(C171,'[1]SIG Job Families &amp; Descriptions'!F:F,'[1]SIG Job Families &amp; Descriptions'!A:A)</f>
        <v>AFT050</v>
      </c>
      <c r="F171" s="32" t="s">
        <v>29</v>
      </c>
      <c r="G171" s="33" t="s">
        <v>30</v>
      </c>
      <c r="H171" s="34" t="str">
        <f>F171&amp;"-"&amp;G171</f>
        <v>Management-15</v>
      </c>
      <c r="I171" s="35" t="str">
        <f>IF(ISERROR(_xlfn.XLOOKUP(H171,'[1]SIG Level Structure'!D:D,'[1]SIG Level Structure'!D:D)),"0","1")</f>
        <v>1</v>
      </c>
      <c r="J171" s="36" t="str">
        <f>_xlfn.XLOOKUP($H171,'[1]SIG Level Structure'!$D:$D,'[1]SIG Level Structure'!F:F)</f>
        <v>M3</v>
      </c>
      <c r="K171" s="37" t="str">
        <f>E171&amp;"-"&amp;J171&amp;"-"&amp;G171</f>
        <v>AFT050-M3-15</v>
      </c>
      <c r="L171" s="37" t="str">
        <f>IFERROR(D171&amp;"-"&amp;LEFT(J171,1),"--")</f>
        <v>AFT-M</v>
      </c>
      <c r="M171" s="37" t="str">
        <f>VLOOKUP(L171,'[1]Compatible JC'!$A:$A,1,FALSE)</f>
        <v>AFT-M</v>
      </c>
      <c r="N171" s="37" t="str">
        <f>IFERROR(_xlfn.XLOOKUP(H171,'[1]SIG Level Structure'!D:D,'[1]SIG Level Structure'!C:C),"--")</f>
        <v>Senior Manager</v>
      </c>
      <c r="O171" s="38" t="str">
        <f>IFERROR(TRIM(N171&amp;" "&amp;C171),"--")</f>
        <v>Senior Manager Tax</v>
      </c>
      <c r="P171" s="22" t="str">
        <f>_xlfn.XLOOKUP(E171,'[1]SIG Job Families &amp; Descriptions'!A:A,'[1]SIG Job Families &amp; Descriptions'!G:G)</f>
        <v xml:space="preserve">Design, develops and implements tax strategy for the organization taking into account analyses of existing and upcoming tax legislation. Prepares and maintains tex record, returns, reports and other relatied material. Devise legal means to minimize tax liability and recommends respective alternative tax treatments to alleviate or reduce tax burden. Conducts research as necessary to advise management of the tax implications resulting from projected organizational actions. May be responsible for tax accounting.
</v>
      </c>
      <c r="Q171" s="39" t="str">
        <f>_xlfn.XLOOKUP(E171,'[1]2022 GI Position Descriptions'!E:E,'[1]2022 GI Position Descriptions'!G:G)</f>
        <v>Prepares and maintains tax records, returns, reports and other related materials | Recommends alternative tax treatments to alleviate or reduce tax burden | May be responsible for tax accounting</v>
      </c>
      <c r="R171" s="22" t="str">
        <f>IF(LEFT(J171,1)="E","EX",LEFT(J171,1))</f>
        <v>M</v>
      </c>
      <c r="S171" s="22" t="str">
        <f>_xlfn.XLOOKUP($R171,'[1]Career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171" s="22" t="str">
        <f>J171</f>
        <v>M3</v>
      </c>
      <c r="U171" s="40" t="str">
        <f t="shared" si="5"/>
        <v>M3</v>
      </c>
      <c r="V171" s="22" t="str">
        <f>_xlfn.XLOOKUP(T171,'[1]Career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171" s="41" t="str">
        <f>J171&amp;"-"&amp;G171</f>
        <v>M3-15</v>
      </c>
      <c r="X171" s="42" t="str">
        <f>G171</f>
        <v>15</v>
      </c>
      <c r="Y171" s="22" t="str">
        <f>_xlfn.XLOOKUP(W171,'[1]Career Bands &amp; Levels'!A:A,'[1]Career Bands &amp; Levels'!C:C,"No Grade Differentiator")</f>
        <v xml:space="preserve">●	Looks beyond existing methodologies and own discipline to define and resolve complex problems
●	Develops plans and delivers results in fast-changing businesses and/or regulatory environments
●	Provides input to functional or departmental strategy		
●	Manages large, potentially diverse teams of managers and/or senior professionals		
		</v>
      </c>
      <c r="Z171" s="43" t="str">
        <f>IFERROR(O171&amp;" - "&amp;G171,"--")</f>
        <v>Senior Manager Tax - 15</v>
      </c>
      <c r="AA171" s="44" t="str">
        <f>_xlfn.XLOOKUP($H171,'[1]SIG Qualifications Input'!$D:$D,'[1]SIG Qualifications Input'!$H:$H)</f>
        <v xml:space="preserve">University degree or equivalent and 10+ years of work experience or equivalent
Profound experience in managing performance and results of diverse activities / multiple teams </v>
      </c>
    </row>
    <row r="172" spans="1:27" ht="183" thickBot="1" x14ac:dyDescent="0.2">
      <c r="A172" s="34" t="str">
        <f>_xlfn.XLOOKUP(C172,'[1]SIG Job Families &amp; Descriptions'!F:F,'[1]SIG Job Families &amp; Descriptions'!B:B)</f>
        <v>Finance</v>
      </c>
      <c r="B172" s="34" t="str">
        <f>_xlfn.XLOOKUP(C172,'[1]SIG Job Families &amp; Descriptions'!F:F,'[1]SIG Job Families &amp; Descriptions'!D:D)</f>
        <v>Tax</v>
      </c>
      <c r="C172" s="34" t="s">
        <v>72</v>
      </c>
      <c r="D172" s="30" t="str">
        <f t="shared" si="4"/>
        <v>AFT</v>
      </c>
      <c r="E172" s="31" t="str">
        <f>_xlfn.XLOOKUP(C172,'[1]SIG Job Families &amp; Descriptions'!F:F,'[1]SIG Job Families &amp; Descriptions'!A:A)</f>
        <v>AFT050</v>
      </c>
      <c r="F172" s="32" t="s">
        <v>29</v>
      </c>
      <c r="G172" s="33" t="s">
        <v>31</v>
      </c>
      <c r="H172" s="34" t="str">
        <f>F172&amp;"-"&amp;G172</f>
        <v>Management-14</v>
      </c>
      <c r="I172" s="35" t="str">
        <f>IF(ISERROR(_xlfn.XLOOKUP(H172,'[1]SIG Level Structure'!D:D,'[1]SIG Level Structure'!D:D)),"0","1")</f>
        <v>1</v>
      </c>
      <c r="J172" s="36" t="str">
        <f>_xlfn.XLOOKUP($H172,'[1]SIG Level Structure'!$D:$D,'[1]SIG Level Structure'!F:F)</f>
        <v>M3</v>
      </c>
      <c r="K172" s="37" t="str">
        <f>E172&amp;"-"&amp;J172&amp;"-"&amp;G172</f>
        <v>AFT050-M3-14</v>
      </c>
      <c r="L172" s="37" t="str">
        <f>IFERROR(D172&amp;"-"&amp;LEFT(J172,1),"--")</f>
        <v>AFT-M</v>
      </c>
      <c r="M172" s="37" t="str">
        <f>VLOOKUP(L172,'[1]Compatible JC'!$A:$A,1,FALSE)</f>
        <v>AFT-M</v>
      </c>
      <c r="N172" s="37" t="str">
        <f>IFERROR(_xlfn.XLOOKUP(H172,'[1]SIG Level Structure'!D:D,'[1]SIG Level Structure'!C:C),"--")</f>
        <v>Senior Manager</v>
      </c>
      <c r="O172" s="38" t="str">
        <f>IFERROR(TRIM(N172&amp;" "&amp;C172),"--")</f>
        <v>Senior Manager Tax</v>
      </c>
      <c r="P172" s="22" t="str">
        <f>_xlfn.XLOOKUP(E172,'[1]SIG Job Families &amp; Descriptions'!A:A,'[1]SIG Job Families &amp; Descriptions'!G:G)</f>
        <v xml:space="preserve">Design, develops and implements tax strategy for the organization taking into account analyses of existing and upcoming tax legislation. Prepares and maintains tex record, returns, reports and other relatied material. Devise legal means to minimize tax liability and recommends respective alternative tax treatments to alleviate or reduce tax burden. Conducts research as necessary to advise management of the tax implications resulting from projected organizational actions. May be responsible for tax accounting.
</v>
      </c>
      <c r="Q172" s="39" t="str">
        <f>_xlfn.XLOOKUP(E172,'[1]2022 GI Position Descriptions'!E:E,'[1]2022 GI Position Descriptions'!G:G)</f>
        <v>Prepares and maintains tax records, returns, reports and other related materials | Recommends alternative tax treatments to alleviate or reduce tax burden | May be responsible for tax accounting</v>
      </c>
      <c r="R172" s="22" t="str">
        <f>IF(LEFT(J172,1)="E","EX",LEFT(J172,1))</f>
        <v>M</v>
      </c>
      <c r="S172" s="22" t="str">
        <f>_xlfn.XLOOKUP($R172,'[1]Career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172" s="22" t="str">
        <f>J172</f>
        <v>M3</v>
      </c>
      <c r="U172" s="40" t="str">
        <f t="shared" si="5"/>
        <v>M3</v>
      </c>
      <c r="V172" s="22" t="str">
        <f>_xlfn.XLOOKUP(T172,'[1]Career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172" s="41" t="str">
        <f>J172&amp;"-"&amp;G172</f>
        <v>M3-14</v>
      </c>
      <c r="X172" s="42" t="str">
        <f>G172</f>
        <v>14</v>
      </c>
      <c r="Y172" s="22" t="str">
        <f>_xlfn.XLOOKUP(W172,'[1]Career Bands &amp; Levels'!A:A,'[1]Career Bands &amp; Levels'!C:C,"No Grade Differentiator")</f>
        <v xml:space="preserve">●	Identifies applications of functional knowledge and existing methodologies to complex problems	
●	Manages large teams of professionals and/or junior managers		
		</v>
      </c>
      <c r="Z172" s="43" t="str">
        <f>IFERROR(O172&amp;" - "&amp;G172,"--")</f>
        <v>Senior Manager Tax - 14</v>
      </c>
      <c r="AA172" s="44" t="str">
        <f>_xlfn.XLOOKUP($H172,'[1]SIG Qualifications Input'!$D:$D,'[1]SIG Qualifications Input'!$H:$H)</f>
        <v xml:space="preserve">University degree or equivalent and 10+ years of work experience or equivalent
Profound experience in managing performance and results of diverse activities / multiple teams </v>
      </c>
    </row>
    <row r="173" spans="1:27" ht="183" thickBot="1" x14ac:dyDescent="0.2">
      <c r="A173" s="34" t="str">
        <f>_xlfn.XLOOKUP(C173,'[1]SIG Job Families &amp; Descriptions'!F:F,'[1]SIG Job Families &amp; Descriptions'!B:B)</f>
        <v>Finance</v>
      </c>
      <c r="B173" s="34" t="str">
        <f>_xlfn.XLOOKUP(C173,'[1]SIG Job Families &amp; Descriptions'!F:F,'[1]SIG Job Families &amp; Descriptions'!D:D)</f>
        <v>Tax</v>
      </c>
      <c r="C173" s="34" t="s">
        <v>72</v>
      </c>
      <c r="D173" s="30" t="str">
        <f t="shared" si="4"/>
        <v>AFT</v>
      </c>
      <c r="E173" s="31" t="str">
        <f>_xlfn.XLOOKUP(C173,'[1]SIG Job Families &amp; Descriptions'!F:F,'[1]SIG Job Families &amp; Descriptions'!A:A)</f>
        <v>AFT050</v>
      </c>
      <c r="F173" s="32" t="s">
        <v>29</v>
      </c>
      <c r="G173" s="33" t="s">
        <v>33</v>
      </c>
      <c r="H173" s="34" t="str">
        <f>F173&amp;"-"&amp;G173</f>
        <v>Management-13</v>
      </c>
      <c r="I173" s="35" t="str">
        <f>IF(ISERROR(_xlfn.XLOOKUP(H173,'[1]SIG Level Structure'!D:D,'[1]SIG Level Structure'!D:D)),"0","1")</f>
        <v>1</v>
      </c>
      <c r="J173" s="36" t="str">
        <f>_xlfn.XLOOKUP($H173,'[1]SIG Level Structure'!$D:$D,'[1]SIG Level Structure'!F:F)</f>
        <v>M2</v>
      </c>
      <c r="K173" s="37" t="str">
        <f>E173&amp;"-"&amp;J173&amp;"-"&amp;G173</f>
        <v>AFT050-M2-13</v>
      </c>
      <c r="L173" s="37" t="str">
        <f>IFERROR(D173&amp;"-"&amp;LEFT(J173,1),"--")</f>
        <v>AFT-M</v>
      </c>
      <c r="M173" s="37" t="str">
        <f>VLOOKUP(L173,'[1]Compatible JC'!$A:$A,1,FALSE)</f>
        <v>AFT-M</v>
      </c>
      <c r="N173" s="37" t="str">
        <f>IFERROR(_xlfn.XLOOKUP(H173,'[1]SIG Level Structure'!D:D,'[1]SIG Level Structure'!C:C),"--")</f>
        <v>Manager</v>
      </c>
      <c r="O173" s="38" t="str">
        <f>IFERROR(TRIM(N173&amp;" "&amp;C173),"--")</f>
        <v>Manager Tax</v>
      </c>
      <c r="P173" s="22" t="str">
        <f>_xlfn.XLOOKUP(E173,'[1]SIG Job Families &amp; Descriptions'!A:A,'[1]SIG Job Families &amp; Descriptions'!G:G)</f>
        <v xml:space="preserve">Design, develops and implements tax strategy for the organization taking into account analyses of existing and upcoming tax legislation. Prepares and maintains tex record, returns, reports and other relatied material. Devise legal means to minimize tax liability and recommends respective alternative tax treatments to alleviate or reduce tax burden. Conducts research as necessary to advise management of the tax implications resulting from projected organizational actions. May be responsible for tax accounting.
</v>
      </c>
      <c r="Q173" s="39" t="str">
        <f>_xlfn.XLOOKUP(E173,'[1]2022 GI Position Descriptions'!E:E,'[1]2022 GI Position Descriptions'!G:G)</f>
        <v>Prepares and maintains tax records, returns, reports and other related materials | Recommends alternative tax treatments to alleviate or reduce tax burden | May be responsible for tax accounting</v>
      </c>
      <c r="R173" s="22" t="str">
        <f>IF(LEFT(J173,1)="E","EX",LEFT(J173,1))</f>
        <v>M</v>
      </c>
      <c r="S173" s="22" t="str">
        <f>_xlfn.XLOOKUP($R173,'[1]Career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173" s="22" t="str">
        <f>J173</f>
        <v>M2</v>
      </c>
      <c r="U173" s="40" t="str">
        <f t="shared" si="5"/>
        <v>M2</v>
      </c>
      <c r="V173" s="22" t="str">
        <f>_xlfn.XLOOKUP(T173,'[1]Career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173" s="41" t="str">
        <f>J173&amp;"-"&amp;G173</f>
        <v>M2-13</v>
      </c>
      <c r="X173" s="42" t="str">
        <f>G173</f>
        <v>13</v>
      </c>
      <c r="Y173" s="22" t="str">
        <f>_xlfn.XLOOKUP(W173,'[1]Career Bands &amp; Levels'!A:A,'[1]Career Bands &amp; Levels'!C:C,"No Grade Differentiator")</f>
        <v>●	Accountable for the budget, performance and results of a medium-sized team or multiple small teams of employees		
●	Exercises full management authority, including performance reviews, pay decisions, recruitment, discipline, termination and other personnel actions		
●	Addresses issues with impact beyond own team based on knowledge of related disciplines</v>
      </c>
      <c r="Z173" s="43" t="str">
        <f>IFERROR(O173&amp;" - "&amp;G173,"--")</f>
        <v>Manager Tax - 13</v>
      </c>
      <c r="AA173" s="44" t="str">
        <f>_xlfn.XLOOKUP($H173,'[1]SIG Qualifications Input'!$D:$D,'[1]SIG Qualifications Input'!$H:$H)</f>
        <v>University degree or equivalent and 7-10 years of work experience or equivalent
Experience in managing mixed-level team(s) of professionals and subordinate managers</v>
      </c>
    </row>
    <row r="174" spans="1:27" ht="183" thickBot="1" x14ac:dyDescent="0.2">
      <c r="A174" s="34" t="str">
        <f>_xlfn.XLOOKUP(C174,'[1]SIG Job Families &amp; Descriptions'!F:F,'[1]SIG Job Families &amp; Descriptions'!B:B)</f>
        <v>Finance</v>
      </c>
      <c r="B174" s="34" t="str">
        <f>_xlfn.XLOOKUP(C174,'[1]SIG Job Families &amp; Descriptions'!F:F,'[1]SIG Job Families &amp; Descriptions'!D:D)</f>
        <v>Tax</v>
      </c>
      <c r="C174" s="34" t="s">
        <v>72</v>
      </c>
      <c r="D174" s="30" t="str">
        <f t="shared" si="4"/>
        <v>AFT</v>
      </c>
      <c r="E174" s="31" t="str">
        <f>_xlfn.XLOOKUP(C174,'[1]SIG Job Families &amp; Descriptions'!F:F,'[1]SIG Job Families &amp; Descriptions'!A:A)</f>
        <v>AFT050</v>
      </c>
      <c r="F174" s="32" t="s">
        <v>29</v>
      </c>
      <c r="G174" s="33" t="s">
        <v>34</v>
      </c>
      <c r="H174" s="34" t="str">
        <f>F174&amp;"-"&amp;G174</f>
        <v>Management-12</v>
      </c>
      <c r="I174" s="35" t="str">
        <f>IF(ISERROR(_xlfn.XLOOKUP(H174,'[1]SIG Level Structure'!D:D,'[1]SIG Level Structure'!D:D)),"0","1")</f>
        <v>1</v>
      </c>
      <c r="J174" s="36" t="str">
        <f>_xlfn.XLOOKUP($H174,'[1]SIG Level Structure'!$D:$D,'[1]SIG Level Structure'!F:F)</f>
        <v>M2</v>
      </c>
      <c r="K174" s="37" t="str">
        <f>E174&amp;"-"&amp;J174&amp;"-"&amp;G174</f>
        <v>AFT050-M2-12</v>
      </c>
      <c r="L174" s="37" t="str">
        <f>IFERROR(D174&amp;"-"&amp;LEFT(J174,1),"--")</f>
        <v>AFT-M</v>
      </c>
      <c r="M174" s="37" t="str">
        <f>VLOOKUP(L174,'[1]Compatible JC'!$A:$A,1,FALSE)</f>
        <v>AFT-M</v>
      </c>
      <c r="N174" s="37" t="str">
        <f>IFERROR(_xlfn.XLOOKUP(H174,'[1]SIG Level Structure'!D:D,'[1]SIG Level Structure'!C:C),"--")</f>
        <v>Manager</v>
      </c>
      <c r="O174" s="38" t="str">
        <f>IFERROR(TRIM(N174&amp;" "&amp;C174),"--")</f>
        <v>Manager Tax</v>
      </c>
      <c r="P174" s="22" t="str">
        <f>_xlfn.XLOOKUP(E174,'[1]SIG Job Families &amp; Descriptions'!A:A,'[1]SIG Job Families &amp; Descriptions'!G:G)</f>
        <v xml:space="preserve">Design, develops and implements tax strategy for the organization taking into account analyses of existing and upcoming tax legislation. Prepares and maintains tex record, returns, reports and other relatied material. Devise legal means to minimize tax liability and recommends respective alternative tax treatments to alleviate or reduce tax burden. Conducts research as necessary to advise management of the tax implications resulting from projected organizational actions. May be responsible for tax accounting.
</v>
      </c>
      <c r="Q174" s="39" t="str">
        <f>_xlfn.XLOOKUP(E174,'[1]2022 GI Position Descriptions'!E:E,'[1]2022 GI Position Descriptions'!G:G)</f>
        <v>Prepares and maintains tax records, returns, reports and other related materials | Recommends alternative tax treatments to alleviate or reduce tax burden | May be responsible for tax accounting</v>
      </c>
      <c r="R174" s="22" t="str">
        <f>IF(LEFT(J174,1)="E","EX",LEFT(J174,1))</f>
        <v>M</v>
      </c>
      <c r="S174" s="22" t="str">
        <f>_xlfn.XLOOKUP($R174,'[1]Career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174" s="22" t="str">
        <f>J174</f>
        <v>M2</v>
      </c>
      <c r="U174" s="40" t="str">
        <f t="shared" si="5"/>
        <v>M2</v>
      </c>
      <c r="V174" s="22" t="str">
        <f>_xlfn.XLOOKUP(T174,'[1]Career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174" s="41" t="str">
        <f>J174&amp;"-"&amp;G174</f>
        <v>M2-12</v>
      </c>
      <c r="X174" s="42" t="str">
        <f>G174</f>
        <v>12</v>
      </c>
      <c r="Y174" s="22" t="str">
        <f>_xlfn.XLOOKUP(W174,'[1]Career Bands &amp; Levels'!A:A,'[1]Career Bands &amp; Levels'!C:C,"No Grade Differentiator")</f>
        <v xml:space="preserve">●	Accountable for results of a small team of employees		
●	Exercises limited management authority; sets employee performance objectives, conducts performance reviews and recommends pay actions		
●	Defines team operating standards and ensures essential procedures are followed based on knowledge of own discipline		</v>
      </c>
      <c r="Z174" s="43" t="str">
        <f>IFERROR(O174&amp;" - "&amp;G174,"--")</f>
        <v>Manager Tax - 12</v>
      </c>
      <c r="AA174" s="44" t="str">
        <f>_xlfn.XLOOKUP($H174,'[1]SIG Qualifications Input'!$D:$D,'[1]SIG Qualifications Input'!$H:$H)</f>
        <v>University degree or equivalent and 7-10 years of work experience or equivalent
Experience in managing mixed-level team(s) of professionals and subordinate managers</v>
      </c>
    </row>
    <row r="175" spans="1:27" ht="183" thickBot="1" x14ac:dyDescent="0.2">
      <c r="A175" s="34" t="str">
        <f>_xlfn.XLOOKUP(C175,'[1]SIG Job Families &amp; Descriptions'!F:F,'[1]SIG Job Families &amp; Descriptions'!B:B)</f>
        <v>Finance</v>
      </c>
      <c r="B175" s="34" t="str">
        <f>_xlfn.XLOOKUP(C175,'[1]SIG Job Families &amp; Descriptions'!F:F,'[1]SIG Job Families &amp; Descriptions'!D:D)</f>
        <v>Tax</v>
      </c>
      <c r="C175" s="34" t="s">
        <v>72</v>
      </c>
      <c r="D175" s="30" t="str">
        <f t="shared" si="4"/>
        <v>AFT</v>
      </c>
      <c r="E175" s="31" t="str">
        <f>_xlfn.XLOOKUP(C175,'[1]SIG Job Families &amp; Descriptions'!F:F,'[1]SIG Job Families &amp; Descriptions'!A:A)</f>
        <v>AFT050</v>
      </c>
      <c r="F175" s="32" t="s">
        <v>29</v>
      </c>
      <c r="G175" s="33" t="s">
        <v>35</v>
      </c>
      <c r="H175" s="34" t="str">
        <f>F175&amp;"-"&amp;G175</f>
        <v>Management-11</v>
      </c>
      <c r="I175" s="35" t="str">
        <f>IF(ISERROR(_xlfn.XLOOKUP(H175,'[1]SIG Level Structure'!D:D,'[1]SIG Level Structure'!D:D)),"0","1")</f>
        <v>1</v>
      </c>
      <c r="J175" s="36" t="str">
        <f>_xlfn.XLOOKUP($H175,'[1]SIG Level Structure'!$D:$D,'[1]SIG Level Structure'!F:F)</f>
        <v>M1</v>
      </c>
      <c r="K175" s="37" t="str">
        <f>E175&amp;"-"&amp;J175&amp;"-"&amp;G175</f>
        <v>AFT050-M1-11</v>
      </c>
      <c r="L175" s="37" t="str">
        <f>IFERROR(D175&amp;"-"&amp;LEFT(J175,1),"--")</f>
        <v>AFT-M</v>
      </c>
      <c r="M175" s="37" t="str">
        <f>VLOOKUP(L175,'[1]Compatible JC'!$A:$A,1,FALSE)</f>
        <v>AFT-M</v>
      </c>
      <c r="N175" s="37" t="str">
        <f>IFERROR(_xlfn.XLOOKUP(H175,'[1]SIG Level Structure'!D:D,'[1]SIG Level Structure'!C:C),"--")</f>
        <v>Supervisor</v>
      </c>
      <c r="O175" s="38" t="str">
        <f>IFERROR(TRIM(N175&amp;" "&amp;C175),"--")</f>
        <v>Supervisor Tax</v>
      </c>
      <c r="P175" s="22" t="str">
        <f>_xlfn.XLOOKUP(E175,'[1]SIG Job Families &amp; Descriptions'!A:A,'[1]SIG Job Families &amp; Descriptions'!G:G)</f>
        <v xml:space="preserve">Design, develops and implements tax strategy for the organization taking into account analyses of existing and upcoming tax legislation. Prepares and maintains tex record, returns, reports and other relatied material. Devise legal means to minimize tax liability and recommends respective alternative tax treatments to alleviate or reduce tax burden. Conducts research as necessary to advise management of the tax implications resulting from projected organizational actions. May be responsible for tax accounting.
</v>
      </c>
      <c r="Q175" s="39" t="str">
        <f>_xlfn.XLOOKUP(E175,'[1]2022 GI Position Descriptions'!E:E,'[1]2022 GI Position Descriptions'!G:G)</f>
        <v>Prepares and maintains tax records, returns, reports and other related materials | Recommends alternative tax treatments to alleviate or reduce tax burden | May be responsible for tax accounting</v>
      </c>
      <c r="R175" s="22" t="str">
        <f>IF(LEFT(J175,1)="E","EX",LEFT(J175,1))</f>
        <v>M</v>
      </c>
      <c r="S175" s="22" t="str">
        <f>_xlfn.XLOOKUP($R175,'[1]Career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175" s="22" t="str">
        <f>J175</f>
        <v>M1</v>
      </c>
      <c r="U175" s="40" t="str">
        <f t="shared" si="5"/>
        <v>M1</v>
      </c>
      <c r="V175" s="22" t="str">
        <f>_xlfn.XLOOKUP(T175,'[1]Career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175" s="41" t="str">
        <f>J175&amp;"-"&amp;G175</f>
        <v>M1-11</v>
      </c>
      <c r="X175" s="42" t="str">
        <f>G175</f>
        <v>11</v>
      </c>
      <c r="Y175" s="22" t="str">
        <f>_xlfn.XLOOKUP(W175,'[1]Career Bands &amp; Levels'!A:A,'[1]Career Bands &amp; Levels'!C:C,"No Grade Differentiator")</f>
        <v xml:space="preserve">●	Accountable for the results of a large and/or moderately complex support or production operations team including subordinate work leaders		
●	Applies acquired expertise to analyze and solve problems without clear precedent		
●	Provides input on resource planning and policy development		
●	Coaches team members on performance, completes employee performance evaluations and recommends pay actions		</v>
      </c>
      <c r="Z175" s="43" t="str">
        <f>IFERROR(O175&amp;" - "&amp;G175,"--")</f>
        <v>Supervisor Tax - 11</v>
      </c>
      <c r="AA175" s="44" t="str">
        <f>_xlfn.XLOOKUP($H175,'[1]SIG Qualifications Input'!$D:$D,'[1]SIG Qualifications Input'!$H:$H)</f>
        <v>University degree or equivalent and 5-7 years of work experience or equivalent
Experienced in application of management techniques
Experience in operationally managing a mixed-level team</v>
      </c>
    </row>
    <row r="176" spans="1:27" ht="183" thickBot="1" x14ac:dyDescent="0.2">
      <c r="A176" s="34" t="str">
        <f>_xlfn.XLOOKUP(C176,'[1]SIG Job Families &amp; Descriptions'!F:F,'[1]SIG Job Families &amp; Descriptions'!B:B)</f>
        <v>Finance</v>
      </c>
      <c r="B176" s="34" t="str">
        <f>_xlfn.XLOOKUP(C176,'[1]SIG Job Families &amp; Descriptions'!F:F,'[1]SIG Job Families &amp; Descriptions'!D:D)</f>
        <v>Tax</v>
      </c>
      <c r="C176" s="34" t="s">
        <v>72</v>
      </c>
      <c r="D176" s="30" t="str">
        <f t="shared" si="4"/>
        <v>AFT</v>
      </c>
      <c r="E176" s="31" t="str">
        <f>_xlfn.XLOOKUP(C176,'[1]SIG Job Families &amp; Descriptions'!F:F,'[1]SIG Job Families &amp; Descriptions'!A:A)</f>
        <v>AFT050</v>
      </c>
      <c r="F176" s="32" t="s">
        <v>29</v>
      </c>
      <c r="G176" s="33" t="s">
        <v>36</v>
      </c>
      <c r="H176" s="34" t="str">
        <f>F176&amp;"-"&amp;G176</f>
        <v>Management-10</v>
      </c>
      <c r="I176" s="35" t="str">
        <f>IF(ISERROR(_xlfn.XLOOKUP(H176,'[1]SIG Level Structure'!D:D,'[1]SIG Level Structure'!D:D)),"0","1")</f>
        <v>1</v>
      </c>
      <c r="J176" s="36" t="str">
        <f>_xlfn.XLOOKUP($H176,'[1]SIG Level Structure'!$D:$D,'[1]SIG Level Structure'!F:F)</f>
        <v>M1</v>
      </c>
      <c r="K176" s="37" t="str">
        <f>E176&amp;"-"&amp;J176&amp;"-"&amp;G176</f>
        <v>AFT050-M1-10</v>
      </c>
      <c r="L176" s="37" t="str">
        <f>IFERROR(D176&amp;"-"&amp;LEFT(J176,1),"--")</f>
        <v>AFT-M</v>
      </c>
      <c r="M176" s="37" t="str">
        <f>VLOOKUP(L176,'[1]Compatible JC'!$A:$A,1,FALSE)</f>
        <v>AFT-M</v>
      </c>
      <c r="N176" s="37" t="str">
        <f>IFERROR(_xlfn.XLOOKUP(H176,'[1]SIG Level Structure'!D:D,'[1]SIG Level Structure'!C:C),"--")</f>
        <v>Supervisor</v>
      </c>
      <c r="O176" s="38" t="str">
        <f>IFERROR(TRIM(N176&amp;" "&amp;C176),"--")</f>
        <v>Supervisor Tax</v>
      </c>
      <c r="P176" s="22" t="str">
        <f>_xlfn.XLOOKUP(E176,'[1]SIG Job Families &amp; Descriptions'!A:A,'[1]SIG Job Families &amp; Descriptions'!G:G)</f>
        <v xml:space="preserve">Design, develops and implements tax strategy for the organization taking into account analyses of existing and upcoming tax legislation. Prepares and maintains tex record, returns, reports and other relatied material. Devise legal means to minimize tax liability and recommends respective alternative tax treatments to alleviate or reduce tax burden. Conducts research as necessary to advise management of the tax implications resulting from projected organizational actions. May be responsible for tax accounting.
</v>
      </c>
      <c r="Q176" s="39" t="str">
        <f>_xlfn.XLOOKUP(E176,'[1]2022 GI Position Descriptions'!E:E,'[1]2022 GI Position Descriptions'!G:G)</f>
        <v>Prepares and maintains tax records, returns, reports and other related materials | Recommends alternative tax treatments to alleviate or reduce tax burden | May be responsible for tax accounting</v>
      </c>
      <c r="R176" s="22" t="str">
        <f>IF(LEFT(J176,1)="E","EX",LEFT(J176,1))</f>
        <v>M</v>
      </c>
      <c r="S176" s="22" t="str">
        <f>_xlfn.XLOOKUP($R176,'[1]Career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176" s="22" t="str">
        <f>J176</f>
        <v>M1</v>
      </c>
      <c r="U176" s="40" t="str">
        <f t="shared" si="5"/>
        <v>M1</v>
      </c>
      <c r="V176" s="22" t="str">
        <f>_xlfn.XLOOKUP(T176,'[1]Career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176" s="41" t="str">
        <f>J176&amp;"-"&amp;G176</f>
        <v>M1-10</v>
      </c>
      <c r="X176" s="42" t="str">
        <f>G176</f>
        <v>10</v>
      </c>
      <c r="Y176" s="22" t="str">
        <f>_xlfn.XLOOKUP(W176,'[1]Career Bands &amp; Levels'!A:A,'[1]Career Bands &amp; Levels'!C:C,"No Grade Differentiator")</f>
        <v xml:space="preserve">●	Accountable for the results of medium-sized routine support or production operations teams		
●	Solves problems based on practice and precedent		
●	Trains team members and provides input to employee performance evaluations		</v>
      </c>
      <c r="Z176" s="43" t="str">
        <f>IFERROR(O176&amp;" - "&amp;G176,"--")</f>
        <v>Supervisor Tax - 10</v>
      </c>
      <c r="AA176" s="44" t="str">
        <f>_xlfn.XLOOKUP($H176,'[1]SIG Qualifications Input'!$D:$D,'[1]SIG Qualifications Input'!$H:$H)</f>
        <v>University degree or equivalent and 5-7 years of work experience or equivalent
Experienced in application of management techniques
Experience in operationally managing a mixed-level team</v>
      </c>
    </row>
    <row r="177" spans="1:27" ht="183" thickBot="1" x14ac:dyDescent="0.2">
      <c r="A177" s="34" t="str">
        <f>_xlfn.XLOOKUP(C177,'[1]SIG Job Families &amp; Descriptions'!F:F,'[1]SIG Job Families &amp; Descriptions'!B:B)</f>
        <v>Finance</v>
      </c>
      <c r="B177" s="34" t="str">
        <f>_xlfn.XLOOKUP(C177,'[1]SIG Job Families &amp; Descriptions'!F:F,'[1]SIG Job Families &amp; Descriptions'!D:D)</f>
        <v>Tax</v>
      </c>
      <c r="C177" s="34" t="s">
        <v>72</v>
      </c>
      <c r="D177" s="30" t="str">
        <f t="shared" si="4"/>
        <v>AFT</v>
      </c>
      <c r="E177" s="31" t="str">
        <f>_xlfn.XLOOKUP(C177,'[1]SIG Job Families &amp; Descriptions'!F:F,'[1]SIG Job Families &amp; Descriptions'!A:A)</f>
        <v>AFT050</v>
      </c>
      <c r="F177" s="32" t="s">
        <v>32</v>
      </c>
      <c r="G177" s="33" t="s">
        <v>34</v>
      </c>
      <c r="H177" s="34" t="str">
        <f>F177&amp;"-"&amp;G177</f>
        <v>Professional-12</v>
      </c>
      <c r="I177" s="35" t="str">
        <f>IF(ISERROR(_xlfn.XLOOKUP(H177,'[1]SIG Level Structure'!D:D,'[1]SIG Level Structure'!D:D)),"0","1")</f>
        <v>1</v>
      </c>
      <c r="J177" s="36" t="str">
        <f>_xlfn.XLOOKUP($H177,'[1]SIG Level Structure'!$D:$D,'[1]SIG Level Structure'!F:F)</f>
        <v>P3</v>
      </c>
      <c r="K177" s="37" t="str">
        <f>E177&amp;"-"&amp;J177&amp;"-"&amp;G177</f>
        <v>AFT050-P3-12</v>
      </c>
      <c r="L177" s="37" t="str">
        <f>IFERROR(D177&amp;"-"&amp;LEFT(J177,1),"--")</f>
        <v>AFT-P</v>
      </c>
      <c r="M177" s="37" t="str">
        <f>VLOOKUP(L177,'[1]Compatible JC'!$A:$A,1,FALSE)</f>
        <v>AFT-P</v>
      </c>
      <c r="N177" s="37" t="str">
        <f>IFERROR(_xlfn.XLOOKUP(H177,'[1]SIG Level Structure'!D:D,'[1]SIG Level Structure'!C:C),"--")</f>
        <v>Expert</v>
      </c>
      <c r="O177" s="38" t="str">
        <f>IFERROR(TRIM(N177&amp;" "&amp;C177),"--")</f>
        <v>Expert Tax</v>
      </c>
      <c r="P177" s="22" t="str">
        <f>_xlfn.XLOOKUP(E177,'[1]SIG Job Families &amp; Descriptions'!A:A,'[1]SIG Job Families &amp; Descriptions'!G:G)</f>
        <v xml:space="preserve">Design, develops and implements tax strategy for the organization taking into account analyses of existing and upcoming tax legislation. Prepares and maintains tex record, returns, reports and other relatied material. Devise legal means to minimize tax liability and recommends respective alternative tax treatments to alleviate or reduce tax burden. Conducts research as necessary to advise management of the tax implications resulting from projected organizational actions. May be responsible for tax accounting.
</v>
      </c>
      <c r="Q177" s="39" t="str">
        <f>_xlfn.XLOOKUP(E177,'[1]2022 GI Position Descriptions'!E:E,'[1]2022 GI Position Descriptions'!G:G)</f>
        <v>Prepares and maintains tax records, returns, reports and other related materials | Recommends alternative tax treatments to alleviate or reduce tax burden | May be responsible for tax accounting</v>
      </c>
      <c r="R177" s="22" t="str">
        <f>IF(LEFT(J177,1)="E","EX",LEFT(J177,1))</f>
        <v>P</v>
      </c>
      <c r="S177" s="22" t="str">
        <f>_xlfn.XLOOKUP($R177,'[1]Career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77" s="22" t="str">
        <f>J177</f>
        <v>P3</v>
      </c>
      <c r="U177" s="40" t="str">
        <f t="shared" si="5"/>
        <v>P3</v>
      </c>
      <c r="V177" s="22" t="str">
        <f>_xlfn.XLOOKUP(T177,'[1]Career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177" s="41" t="str">
        <f>J177&amp;"-"&amp;G177</f>
        <v>P3-12</v>
      </c>
      <c r="X177" s="42" t="str">
        <f>G177</f>
        <v>12</v>
      </c>
      <c r="Y177" s="22" t="str">
        <f>_xlfn.XLOOKUP(W177,'[1]Career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177" s="43" t="str">
        <f>IFERROR(O177&amp;" - "&amp;G177,"--")</f>
        <v>Expert Tax - 12</v>
      </c>
      <c r="AA177" s="44" t="str">
        <f>_xlfn.XLOOKUP($H177,'[1]SIG Qualifications Input'!$D:$D,'[1]SIG Qualifications Input'!$H:$H)</f>
        <v>University degree or equivalent and 4-8 years of work experience or equivalent, 
Initial experience in functionally leading (sub-) projects</v>
      </c>
    </row>
    <row r="178" spans="1:27" ht="183" thickBot="1" x14ac:dyDescent="0.2">
      <c r="A178" s="34" t="str">
        <f>_xlfn.XLOOKUP(C178,'[1]SIG Job Families &amp; Descriptions'!F:F,'[1]SIG Job Families &amp; Descriptions'!B:B)</f>
        <v>Finance</v>
      </c>
      <c r="B178" s="34" t="str">
        <f>_xlfn.XLOOKUP(C178,'[1]SIG Job Families &amp; Descriptions'!F:F,'[1]SIG Job Families &amp; Descriptions'!D:D)</f>
        <v>Tax</v>
      </c>
      <c r="C178" s="34" t="s">
        <v>72</v>
      </c>
      <c r="D178" s="30" t="str">
        <f t="shared" si="4"/>
        <v>AFT</v>
      </c>
      <c r="E178" s="31" t="str">
        <f>_xlfn.XLOOKUP(C178,'[1]SIG Job Families &amp; Descriptions'!F:F,'[1]SIG Job Families &amp; Descriptions'!A:A)</f>
        <v>AFT050</v>
      </c>
      <c r="F178" s="32" t="s">
        <v>32</v>
      </c>
      <c r="G178" s="33" t="s">
        <v>35</v>
      </c>
      <c r="H178" s="34" t="str">
        <f>F178&amp;"-"&amp;G178</f>
        <v>Professional-11</v>
      </c>
      <c r="I178" s="35" t="str">
        <f>IF(ISERROR(_xlfn.XLOOKUP(H178,'[1]SIG Level Structure'!D:D,'[1]SIG Level Structure'!D:D)),"0","1")</f>
        <v>1</v>
      </c>
      <c r="J178" s="36" t="str">
        <f>_xlfn.XLOOKUP($H178,'[1]SIG Level Structure'!$D:$D,'[1]SIG Level Structure'!F:F)</f>
        <v>P3</v>
      </c>
      <c r="K178" s="37" t="str">
        <f>E178&amp;"-"&amp;J178&amp;"-"&amp;G178</f>
        <v>AFT050-P3-11</v>
      </c>
      <c r="L178" s="37" t="str">
        <f>IFERROR(D178&amp;"-"&amp;LEFT(J178,1),"--")</f>
        <v>AFT-P</v>
      </c>
      <c r="M178" s="37" t="str">
        <f>VLOOKUP(L178,'[1]Compatible JC'!$A:$A,1,FALSE)</f>
        <v>AFT-P</v>
      </c>
      <c r="N178" s="37" t="str">
        <f>IFERROR(_xlfn.XLOOKUP(H178,'[1]SIG Level Structure'!D:D,'[1]SIG Level Structure'!C:C),"--")</f>
        <v>Expert</v>
      </c>
      <c r="O178" s="38" t="str">
        <f>IFERROR(TRIM(N178&amp;" "&amp;C178),"--")</f>
        <v>Expert Tax</v>
      </c>
      <c r="P178" s="22" t="str">
        <f>_xlfn.XLOOKUP(E178,'[1]SIG Job Families &amp; Descriptions'!A:A,'[1]SIG Job Families &amp; Descriptions'!G:G)</f>
        <v xml:space="preserve">Design, develops and implements tax strategy for the organization taking into account analyses of existing and upcoming tax legislation. Prepares and maintains tex record, returns, reports and other relatied material. Devise legal means to minimize tax liability and recommends respective alternative tax treatments to alleviate or reduce tax burden. Conducts research as necessary to advise management of the tax implications resulting from projected organizational actions. May be responsible for tax accounting.
</v>
      </c>
      <c r="Q178" s="39" t="str">
        <f>_xlfn.XLOOKUP(E178,'[1]2022 GI Position Descriptions'!E:E,'[1]2022 GI Position Descriptions'!G:G)</f>
        <v>Prepares and maintains tax records, returns, reports and other related materials | Recommends alternative tax treatments to alleviate or reduce tax burden | May be responsible for tax accounting</v>
      </c>
      <c r="R178" s="22" t="str">
        <f>IF(LEFT(J178,1)="E","EX",LEFT(J178,1))</f>
        <v>P</v>
      </c>
      <c r="S178" s="22" t="str">
        <f>_xlfn.XLOOKUP($R178,'[1]Career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78" s="22" t="str">
        <f>J178</f>
        <v>P3</v>
      </c>
      <c r="U178" s="40" t="str">
        <f t="shared" si="5"/>
        <v>P3</v>
      </c>
      <c r="V178" s="22" t="str">
        <f>_xlfn.XLOOKUP(T178,'[1]Career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178" s="41" t="str">
        <f>J178&amp;"-"&amp;G178</f>
        <v>P3-11</v>
      </c>
      <c r="X178" s="42" t="str">
        <f>G178</f>
        <v>11</v>
      </c>
      <c r="Y178" s="22" t="str">
        <f>_xlfn.XLOOKUP(W178,'[1]Career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178" s="43" t="str">
        <f>IFERROR(O178&amp;" - "&amp;G178,"--")</f>
        <v>Expert Tax - 11</v>
      </c>
      <c r="AA178" s="44" t="str">
        <f>_xlfn.XLOOKUP($H178,'[1]SIG Qualifications Input'!$D:$D,'[1]SIG Qualifications Input'!$H:$H)</f>
        <v>University degree or equivalent and 4-8 years of work experience or equivalent, 
Initial experience in functionally leading (sub-) projects</v>
      </c>
    </row>
    <row r="179" spans="1:27" ht="183" thickBot="1" x14ac:dyDescent="0.2">
      <c r="A179" s="34" t="str">
        <f>_xlfn.XLOOKUP(C179,'[1]SIG Job Families &amp; Descriptions'!F:F,'[1]SIG Job Families &amp; Descriptions'!B:B)</f>
        <v>Finance</v>
      </c>
      <c r="B179" s="34" t="str">
        <f>_xlfn.XLOOKUP(C179,'[1]SIG Job Families &amp; Descriptions'!F:F,'[1]SIG Job Families &amp; Descriptions'!D:D)</f>
        <v>Tax</v>
      </c>
      <c r="C179" s="34" t="s">
        <v>72</v>
      </c>
      <c r="D179" s="30" t="str">
        <f t="shared" si="4"/>
        <v>AFT</v>
      </c>
      <c r="E179" s="31" t="str">
        <f>_xlfn.XLOOKUP(C179,'[1]SIG Job Families &amp; Descriptions'!F:F,'[1]SIG Job Families &amp; Descriptions'!A:A)</f>
        <v>AFT050</v>
      </c>
      <c r="F179" s="32" t="s">
        <v>32</v>
      </c>
      <c r="G179" s="33" t="s">
        <v>36</v>
      </c>
      <c r="H179" s="34" t="str">
        <f>F179&amp;"-"&amp;G179</f>
        <v>Professional-10</v>
      </c>
      <c r="I179" s="35" t="str">
        <f>IF(ISERROR(_xlfn.XLOOKUP(H179,'[1]SIG Level Structure'!D:D,'[1]SIG Level Structure'!D:D)),"0","1")</f>
        <v>1</v>
      </c>
      <c r="J179" s="36" t="str">
        <f>_xlfn.XLOOKUP($H179,'[1]SIG Level Structure'!$D:$D,'[1]SIG Level Structure'!F:F)</f>
        <v>P2</v>
      </c>
      <c r="K179" s="37" t="str">
        <f>E179&amp;"-"&amp;J179&amp;"-"&amp;G179</f>
        <v>AFT050-P2-10</v>
      </c>
      <c r="L179" s="37" t="str">
        <f>IFERROR(D179&amp;"-"&amp;LEFT(J179,1),"--")</f>
        <v>AFT-P</v>
      </c>
      <c r="M179" s="37" t="str">
        <f>VLOOKUP(L179,'[1]Compatible JC'!$A:$A,1,FALSE)</f>
        <v>AFT-P</v>
      </c>
      <c r="N179" s="37" t="str">
        <f>IFERROR(_xlfn.XLOOKUP(H179,'[1]SIG Level Structure'!D:D,'[1]SIG Level Structure'!C:C),"--")</f>
        <v>Senior Specialist</v>
      </c>
      <c r="O179" s="38" t="str">
        <f>IFERROR(TRIM(N179&amp;" "&amp;C179),"--")</f>
        <v>Senior Specialist Tax</v>
      </c>
      <c r="P179" s="22" t="str">
        <f>_xlfn.XLOOKUP(E179,'[1]SIG Job Families &amp; Descriptions'!A:A,'[1]SIG Job Families &amp; Descriptions'!G:G)</f>
        <v xml:space="preserve">Design, develops and implements tax strategy for the organization taking into account analyses of existing and upcoming tax legislation. Prepares and maintains tex record, returns, reports and other relatied material. Devise legal means to minimize tax liability and recommends respective alternative tax treatments to alleviate or reduce tax burden. Conducts research as necessary to advise management of the tax implications resulting from projected organizational actions. May be responsible for tax accounting.
</v>
      </c>
      <c r="Q179" s="39" t="str">
        <f>_xlfn.XLOOKUP(E179,'[1]2022 GI Position Descriptions'!E:E,'[1]2022 GI Position Descriptions'!G:G)</f>
        <v>Prepares and maintains tax records, returns, reports and other related materials | Recommends alternative tax treatments to alleviate or reduce tax burden | May be responsible for tax accounting</v>
      </c>
      <c r="R179" s="22" t="str">
        <f>IF(LEFT(J179,1)="E","EX",LEFT(J179,1))</f>
        <v>P</v>
      </c>
      <c r="S179" s="22" t="str">
        <f>_xlfn.XLOOKUP($R179,'[1]Career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79" s="22" t="str">
        <f>J179</f>
        <v>P2</v>
      </c>
      <c r="U179" s="40" t="str">
        <f t="shared" si="5"/>
        <v>P2</v>
      </c>
      <c r="V179" s="22" t="str">
        <f>_xlfn.XLOOKUP(T179,'[1]Career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179" s="41" t="str">
        <f>J179&amp;"-"&amp;G179</f>
        <v>P2-10</v>
      </c>
      <c r="X179" s="42" t="str">
        <f>G179</f>
        <v>10</v>
      </c>
      <c r="Y179" s="22" t="str">
        <f>_xlfn.XLOOKUP(W179,'[1]Career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179" s="43" t="str">
        <f>IFERROR(O179&amp;" - "&amp;G179,"--")</f>
        <v>Senior Specialist Tax - 10</v>
      </c>
      <c r="AA179" s="44" t="str">
        <f>_xlfn.XLOOKUP($H179,'[1]SIG Qualifications Input'!$D:$D,'[1]SIG Qualifications Input'!$H:$H)</f>
        <v>University degree or equivalent and 2-4 years of work experience or equivalent</v>
      </c>
    </row>
    <row r="180" spans="1:27" ht="183" thickBot="1" x14ac:dyDescent="0.2">
      <c r="A180" s="34" t="str">
        <f>_xlfn.XLOOKUP(C180,'[1]SIG Job Families &amp; Descriptions'!F:F,'[1]SIG Job Families &amp; Descriptions'!B:B)</f>
        <v>Finance</v>
      </c>
      <c r="B180" s="34" t="str">
        <f>_xlfn.XLOOKUP(C180,'[1]SIG Job Families &amp; Descriptions'!F:F,'[1]SIG Job Families &amp; Descriptions'!D:D)</f>
        <v>Tax</v>
      </c>
      <c r="C180" s="34" t="s">
        <v>72</v>
      </c>
      <c r="D180" s="30" t="str">
        <f t="shared" si="4"/>
        <v>AFT</v>
      </c>
      <c r="E180" s="31" t="str">
        <f>_xlfn.XLOOKUP(C180,'[1]SIG Job Families &amp; Descriptions'!F:F,'[1]SIG Job Families &amp; Descriptions'!A:A)</f>
        <v>AFT050</v>
      </c>
      <c r="F180" s="32" t="s">
        <v>32</v>
      </c>
      <c r="G180" s="33" t="s">
        <v>37</v>
      </c>
      <c r="H180" s="34" t="str">
        <f>F180&amp;"-"&amp;G180</f>
        <v>Professional-09</v>
      </c>
      <c r="I180" s="35" t="str">
        <f>IF(ISERROR(_xlfn.XLOOKUP(H180,'[1]SIG Level Structure'!D:D,'[1]SIG Level Structure'!D:D)),"0","1")</f>
        <v>1</v>
      </c>
      <c r="J180" s="36" t="str">
        <f>_xlfn.XLOOKUP($H180,'[1]SIG Level Structure'!$D:$D,'[1]SIG Level Structure'!F:F)</f>
        <v>P2</v>
      </c>
      <c r="K180" s="37" t="str">
        <f>E180&amp;"-"&amp;J180&amp;"-"&amp;G180</f>
        <v>AFT050-P2-09</v>
      </c>
      <c r="L180" s="37" t="str">
        <f>IFERROR(D180&amp;"-"&amp;LEFT(J180,1),"--")</f>
        <v>AFT-P</v>
      </c>
      <c r="M180" s="37" t="str">
        <f>VLOOKUP(L180,'[1]Compatible JC'!$A:$A,1,FALSE)</f>
        <v>AFT-P</v>
      </c>
      <c r="N180" s="37" t="str">
        <f>IFERROR(_xlfn.XLOOKUP(H180,'[1]SIG Level Structure'!D:D,'[1]SIG Level Structure'!C:C),"--")</f>
        <v>Senior Specialist</v>
      </c>
      <c r="O180" s="38" t="str">
        <f>IFERROR(TRIM(N180&amp;" "&amp;C180),"--")</f>
        <v>Senior Specialist Tax</v>
      </c>
      <c r="P180" s="22" t="str">
        <f>_xlfn.XLOOKUP(E180,'[1]SIG Job Families &amp; Descriptions'!A:A,'[1]SIG Job Families &amp; Descriptions'!G:G)</f>
        <v xml:space="preserve">Design, develops and implements tax strategy for the organization taking into account analyses of existing and upcoming tax legislation. Prepares and maintains tex record, returns, reports and other relatied material. Devise legal means to minimize tax liability and recommends respective alternative tax treatments to alleviate or reduce tax burden. Conducts research as necessary to advise management of the tax implications resulting from projected organizational actions. May be responsible for tax accounting.
</v>
      </c>
      <c r="Q180" s="39" t="str">
        <f>_xlfn.XLOOKUP(E180,'[1]2022 GI Position Descriptions'!E:E,'[1]2022 GI Position Descriptions'!G:G)</f>
        <v>Prepares and maintains tax records, returns, reports and other related materials | Recommends alternative tax treatments to alleviate or reduce tax burden | May be responsible for tax accounting</v>
      </c>
      <c r="R180" s="22" t="str">
        <f>IF(LEFT(J180,1)="E","EX",LEFT(J180,1))</f>
        <v>P</v>
      </c>
      <c r="S180" s="22" t="str">
        <f>_xlfn.XLOOKUP($R180,'[1]Career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80" s="22" t="str">
        <f>J180</f>
        <v>P2</v>
      </c>
      <c r="U180" s="40" t="str">
        <f t="shared" si="5"/>
        <v>P2</v>
      </c>
      <c r="V180" s="22" t="str">
        <f>_xlfn.XLOOKUP(T180,'[1]Career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180" s="41" t="str">
        <f>J180&amp;"-"&amp;G180</f>
        <v>P2-09</v>
      </c>
      <c r="X180" s="42" t="str">
        <f>G180</f>
        <v>09</v>
      </c>
      <c r="Y180" s="22" t="str">
        <f>_xlfn.XLOOKUP(W180,'[1]Career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180" s="43" t="str">
        <f>IFERROR(O180&amp;" - "&amp;G180,"--")</f>
        <v>Senior Specialist Tax - 09</v>
      </c>
      <c r="AA180" s="44" t="str">
        <f>_xlfn.XLOOKUP($H180,'[1]SIG Qualifications Input'!$D:$D,'[1]SIG Qualifications Input'!$H:$H)</f>
        <v>University degree or equivalent and 2-4 years of work experience or equivalent</v>
      </c>
    </row>
    <row r="181" spans="1:27" ht="183" thickBot="1" x14ac:dyDescent="0.2">
      <c r="A181" s="34" t="str">
        <f>_xlfn.XLOOKUP(C181,'[1]SIG Job Families &amp; Descriptions'!F:F,'[1]SIG Job Families &amp; Descriptions'!B:B)</f>
        <v>Finance</v>
      </c>
      <c r="B181" s="34" t="str">
        <f>_xlfn.XLOOKUP(C181,'[1]SIG Job Families &amp; Descriptions'!F:F,'[1]SIG Job Families &amp; Descriptions'!D:D)</f>
        <v>Treasury</v>
      </c>
      <c r="C181" s="34" t="s">
        <v>73</v>
      </c>
      <c r="D181" s="30" t="str">
        <f t="shared" si="4"/>
        <v>AFT</v>
      </c>
      <c r="E181" s="31" t="str">
        <f>_xlfn.XLOOKUP(C181,'[1]SIG Job Families &amp; Descriptions'!F:F,'[1]SIG Job Families &amp; Descriptions'!A:A)</f>
        <v>AFT030</v>
      </c>
      <c r="F181" s="32" t="s">
        <v>29</v>
      </c>
      <c r="G181" s="33" t="s">
        <v>33</v>
      </c>
      <c r="H181" s="34" t="str">
        <f>F181&amp;"-"&amp;G181</f>
        <v>Management-13</v>
      </c>
      <c r="I181" s="35" t="str">
        <f>IF(ISERROR(_xlfn.XLOOKUP(H181,'[1]SIG Level Structure'!D:D,'[1]SIG Level Structure'!D:D)),"0","1")</f>
        <v>1</v>
      </c>
      <c r="J181" s="36" t="str">
        <f>_xlfn.XLOOKUP($H181,'[1]SIG Level Structure'!$D:$D,'[1]SIG Level Structure'!F:F)</f>
        <v>M2</v>
      </c>
      <c r="K181" s="37" t="str">
        <f>E181&amp;"-"&amp;J181&amp;"-"&amp;G181</f>
        <v>AFT030-M2-13</v>
      </c>
      <c r="L181" s="37" t="str">
        <f>IFERROR(D181&amp;"-"&amp;LEFT(J181,1),"--")</f>
        <v>AFT-M</v>
      </c>
      <c r="M181" s="37" t="str">
        <f>VLOOKUP(L181,'[1]Compatible JC'!$A:$A,1,FALSE)</f>
        <v>AFT-M</v>
      </c>
      <c r="N181" s="37" t="str">
        <f>IFERROR(_xlfn.XLOOKUP(H181,'[1]SIG Level Structure'!D:D,'[1]SIG Level Structure'!C:C),"--")</f>
        <v>Manager</v>
      </c>
      <c r="O181" s="38" t="str">
        <f>IFERROR(TRIM(N181&amp;" "&amp;C181),"--")</f>
        <v>Manager Treasury</v>
      </c>
      <c r="P181" s="22" t="str">
        <f>_xlfn.XLOOKUP(E181,'[1]SIG Job Families &amp; Descriptions'!A:A,'[1]SIG Job Families &amp; Descriptions'!G:G)</f>
        <v>Performs treasury operations involving cash funds, foreign exchange, debt and capital management. Provides analytical and technical support to treasury-related activities.</v>
      </c>
      <c r="Q181" s="39" t="str">
        <f>_xlfn.XLOOKUP(E181,'[1]2022 GI Position Descriptions'!E:E,'[1]2022 GI Position Descriptions'!G:G)</f>
        <v>Performs treasury operations involving cash funds, foreign exchange, debt and capital management | Provides analytical and technical support to treasury-related activities</v>
      </c>
      <c r="R181" s="22" t="str">
        <f>IF(LEFT(J181,1)="E","EX",LEFT(J181,1))</f>
        <v>M</v>
      </c>
      <c r="S181" s="22" t="str">
        <f>_xlfn.XLOOKUP($R181,'[1]Career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181" s="22" t="str">
        <f>J181</f>
        <v>M2</v>
      </c>
      <c r="U181" s="40" t="str">
        <f t="shared" si="5"/>
        <v>M2</v>
      </c>
      <c r="V181" s="22" t="str">
        <f>_xlfn.XLOOKUP(T181,'[1]Career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181" s="41" t="str">
        <f>J181&amp;"-"&amp;G181</f>
        <v>M2-13</v>
      </c>
      <c r="X181" s="42" t="str">
        <f>G181</f>
        <v>13</v>
      </c>
      <c r="Y181" s="22" t="str">
        <f>_xlfn.XLOOKUP(W181,'[1]Career Bands &amp; Levels'!A:A,'[1]Career Bands &amp; Levels'!C:C,"No Grade Differentiator")</f>
        <v>●	Accountable for the budget, performance and results of a medium-sized team or multiple small teams of employees		
●	Exercises full management authority, including performance reviews, pay decisions, recruitment, discipline, termination and other personnel actions		
●	Addresses issues with impact beyond own team based on knowledge of related disciplines</v>
      </c>
      <c r="Z181" s="43" t="str">
        <f>IFERROR(O181&amp;" - "&amp;G181,"--")</f>
        <v>Manager Treasury - 13</v>
      </c>
      <c r="AA181" s="44" t="str">
        <f>_xlfn.XLOOKUP($H181,'[1]SIG Qualifications Input'!$D:$D,'[1]SIG Qualifications Input'!$H:$H)</f>
        <v>University degree or equivalent and 7-10 years of work experience or equivalent
Experience in managing mixed-level team(s) of professionals and subordinate managers</v>
      </c>
    </row>
    <row r="182" spans="1:27" ht="183" thickBot="1" x14ac:dyDescent="0.2">
      <c r="A182" s="34" t="str">
        <f>_xlfn.XLOOKUP(C182,'[1]SIG Job Families &amp; Descriptions'!F:F,'[1]SIG Job Families &amp; Descriptions'!B:B)</f>
        <v>Finance</v>
      </c>
      <c r="B182" s="34" t="str">
        <f>_xlfn.XLOOKUP(C182,'[1]SIG Job Families &amp; Descriptions'!F:F,'[1]SIG Job Families &amp; Descriptions'!D:D)</f>
        <v>Treasury</v>
      </c>
      <c r="C182" s="34" t="s">
        <v>73</v>
      </c>
      <c r="D182" s="30" t="str">
        <f t="shared" si="4"/>
        <v>AFT</v>
      </c>
      <c r="E182" s="31" t="str">
        <f>_xlfn.XLOOKUP(C182,'[1]SIG Job Families &amp; Descriptions'!F:F,'[1]SIG Job Families &amp; Descriptions'!A:A)</f>
        <v>AFT030</v>
      </c>
      <c r="F182" s="32" t="s">
        <v>29</v>
      </c>
      <c r="G182" s="33" t="s">
        <v>34</v>
      </c>
      <c r="H182" s="34" t="str">
        <f>F182&amp;"-"&amp;G182</f>
        <v>Management-12</v>
      </c>
      <c r="I182" s="35" t="str">
        <f>IF(ISERROR(_xlfn.XLOOKUP(H182,'[1]SIG Level Structure'!D:D,'[1]SIG Level Structure'!D:D)),"0","1")</f>
        <v>1</v>
      </c>
      <c r="J182" s="36" t="str">
        <f>_xlfn.XLOOKUP($H182,'[1]SIG Level Structure'!$D:$D,'[1]SIG Level Structure'!F:F)</f>
        <v>M2</v>
      </c>
      <c r="K182" s="37" t="str">
        <f>E182&amp;"-"&amp;J182&amp;"-"&amp;G182</f>
        <v>AFT030-M2-12</v>
      </c>
      <c r="L182" s="37" t="str">
        <f>IFERROR(D182&amp;"-"&amp;LEFT(J182,1),"--")</f>
        <v>AFT-M</v>
      </c>
      <c r="M182" s="37" t="str">
        <f>VLOOKUP(L182,'[1]Compatible JC'!$A:$A,1,FALSE)</f>
        <v>AFT-M</v>
      </c>
      <c r="N182" s="37" t="str">
        <f>IFERROR(_xlfn.XLOOKUP(H182,'[1]SIG Level Structure'!D:D,'[1]SIG Level Structure'!C:C),"--")</f>
        <v>Manager</v>
      </c>
      <c r="O182" s="38" t="str">
        <f>IFERROR(TRIM(N182&amp;" "&amp;C182),"--")</f>
        <v>Manager Treasury</v>
      </c>
      <c r="P182" s="22" t="str">
        <f>_xlfn.XLOOKUP(E182,'[1]SIG Job Families &amp; Descriptions'!A:A,'[1]SIG Job Families &amp; Descriptions'!G:G)</f>
        <v>Performs treasury operations involving cash funds, foreign exchange, debt and capital management. Provides analytical and technical support to treasury-related activities.</v>
      </c>
      <c r="Q182" s="39" t="str">
        <f>_xlfn.XLOOKUP(E182,'[1]2022 GI Position Descriptions'!E:E,'[1]2022 GI Position Descriptions'!G:G)</f>
        <v>Performs treasury operations involving cash funds, foreign exchange, debt and capital management | Provides analytical and technical support to treasury-related activities</v>
      </c>
      <c r="R182" s="22" t="str">
        <f>IF(LEFT(J182,1)="E","EX",LEFT(J182,1))</f>
        <v>M</v>
      </c>
      <c r="S182" s="22" t="str">
        <f>_xlfn.XLOOKUP($R182,'[1]Career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182" s="22" t="str">
        <f>J182</f>
        <v>M2</v>
      </c>
      <c r="U182" s="40" t="str">
        <f t="shared" si="5"/>
        <v>M2</v>
      </c>
      <c r="V182" s="22" t="str">
        <f>_xlfn.XLOOKUP(T182,'[1]Career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182" s="41" t="str">
        <f>J182&amp;"-"&amp;G182</f>
        <v>M2-12</v>
      </c>
      <c r="X182" s="42" t="str">
        <f>G182</f>
        <v>12</v>
      </c>
      <c r="Y182" s="22" t="str">
        <f>_xlfn.XLOOKUP(W182,'[1]Career Bands &amp; Levels'!A:A,'[1]Career Bands &amp; Levels'!C:C,"No Grade Differentiator")</f>
        <v xml:space="preserve">●	Accountable for results of a small team of employees		
●	Exercises limited management authority; sets employee performance objectives, conducts performance reviews and recommends pay actions		
●	Defines team operating standards and ensures essential procedures are followed based on knowledge of own discipline		</v>
      </c>
      <c r="Z182" s="43" t="str">
        <f>IFERROR(O182&amp;" - "&amp;G182,"--")</f>
        <v>Manager Treasury - 12</v>
      </c>
      <c r="AA182" s="44" t="str">
        <f>_xlfn.XLOOKUP($H182,'[1]SIG Qualifications Input'!$D:$D,'[1]SIG Qualifications Input'!$H:$H)</f>
        <v>University degree or equivalent and 7-10 years of work experience or equivalent
Experience in managing mixed-level team(s) of professionals and subordinate managers</v>
      </c>
    </row>
    <row r="183" spans="1:27" ht="169" thickBot="1" x14ac:dyDescent="0.2">
      <c r="A183" s="34" t="str">
        <f>_xlfn.XLOOKUP(C183,'[1]SIG Job Families &amp; Descriptions'!F:F,'[1]SIG Job Families &amp; Descriptions'!B:B)</f>
        <v>Finance</v>
      </c>
      <c r="B183" s="34" t="str">
        <f>_xlfn.XLOOKUP(C183,'[1]SIG Job Families &amp; Descriptions'!F:F,'[1]SIG Job Families &amp; Descriptions'!D:D)</f>
        <v>Treasury</v>
      </c>
      <c r="C183" s="34" t="s">
        <v>73</v>
      </c>
      <c r="D183" s="30" t="str">
        <f t="shared" si="4"/>
        <v>AFT</v>
      </c>
      <c r="E183" s="31" t="str">
        <f>_xlfn.XLOOKUP(C183,'[1]SIG Job Families &amp; Descriptions'!F:F,'[1]SIG Job Families &amp; Descriptions'!A:A)</f>
        <v>AFT030</v>
      </c>
      <c r="F183" s="32" t="s">
        <v>32</v>
      </c>
      <c r="G183" s="33" t="s">
        <v>34</v>
      </c>
      <c r="H183" s="34" t="str">
        <f>F183&amp;"-"&amp;G183</f>
        <v>Professional-12</v>
      </c>
      <c r="I183" s="35" t="str">
        <f>IF(ISERROR(_xlfn.XLOOKUP(H183,'[1]SIG Level Structure'!D:D,'[1]SIG Level Structure'!D:D)),"0","1")</f>
        <v>1</v>
      </c>
      <c r="J183" s="36" t="str">
        <f>_xlfn.XLOOKUP($H183,'[1]SIG Level Structure'!$D:$D,'[1]SIG Level Structure'!F:F)</f>
        <v>P3</v>
      </c>
      <c r="K183" s="37" t="str">
        <f>E183&amp;"-"&amp;J183&amp;"-"&amp;G183</f>
        <v>AFT030-P3-12</v>
      </c>
      <c r="L183" s="37" t="str">
        <f>IFERROR(D183&amp;"-"&amp;LEFT(J183,1),"--")</f>
        <v>AFT-P</v>
      </c>
      <c r="M183" s="37" t="str">
        <f>VLOOKUP(L183,'[1]Compatible JC'!$A:$A,1,FALSE)</f>
        <v>AFT-P</v>
      </c>
      <c r="N183" s="37" t="str">
        <f>IFERROR(_xlfn.XLOOKUP(H183,'[1]SIG Level Structure'!D:D,'[1]SIG Level Structure'!C:C),"--")</f>
        <v>Expert</v>
      </c>
      <c r="O183" s="38" t="str">
        <f>IFERROR(TRIM(N183&amp;" "&amp;C183),"--")</f>
        <v>Expert Treasury</v>
      </c>
      <c r="P183" s="22" t="str">
        <f>_xlfn.XLOOKUP(E183,'[1]SIG Job Families &amp; Descriptions'!A:A,'[1]SIG Job Families &amp; Descriptions'!G:G)</f>
        <v>Performs treasury operations involving cash funds, foreign exchange, debt and capital management. Provides analytical and technical support to treasury-related activities.</v>
      </c>
      <c r="Q183" s="39" t="str">
        <f>_xlfn.XLOOKUP(E183,'[1]2022 GI Position Descriptions'!E:E,'[1]2022 GI Position Descriptions'!G:G)</f>
        <v>Performs treasury operations involving cash funds, foreign exchange, debt and capital management | Provides analytical and technical support to treasury-related activities</v>
      </c>
      <c r="R183" s="22" t="str">
        <f>IF(LEFT(J183,1)="E","EX",LEFT(J183,1))</f>
        <v>P</v>
      </c>
      <c r="S183" s="22" t="str">
        <f>_xlfn.XLOOKUP($R183,'[1]Career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83" s="22" t="str">
        <f>J183</f>
        <v>P3</v>
      </c>
      <c r="U183" s="40" t="str">
        <f t="shared" si="5"/>
        <v>P3</v>
      </c>
      <c r="V183" s="22" t="str">
        <f>_xlfn.XLOOKUP(T183,'[1]Career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183" s="41" t="str">
        <f>J183&amp;"-"&amp;G183</f>
        <v>P3-12</v>
      </c>
      <c r="X183" s="42" t="str">
        <f>G183</f>
        <v>12</v>
      </c>
      <c r="Y183" s="22" t="str">
        <f>_xlfn.XLOOKUP(W183,'[1]Career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183" s="43" t="str">
        <f>IFERROR(O183&amp;" - "&amp;G183,"--")</f>
        <v>Expert Treasury - 12</v>
      </c>
      <c r="AA183" s="44" t="str">
        <f>_xlfn.XLOOKUP($H183,'[1]SIG Qualifications Input'!$D:$D,'[1]SIG Qualifications Input'!$H:$H)</f>
        <v>University degree or equivalent and 4-8 years of work experience or equivalent, 
Initial experience in functionally leading (sub-) projects</v>
      </c>
    </row>
    <row r="184" spans="1:27" ht="169" thickBot="1" x14ac:dyDescent="0.2">
      <c r="A184" s="34" t="str">
        <f>_xlfn.XLOOKUP(C184,'[1]SIG Job Families &amp; Descriptions'!F:F,'[1]SIG Job Families &amp; Descriptions'!B:B)</f>
        <v>Finance</v>
      </c>
      <c r="B184" s="34" t="str">
        <f>_xlfn.XLOOKUP(C184,'[1]SIG Job Families &amp; Descriptions'!F:F,'[1]SIG Job Families &amp; Descriptions'!D:D)</f>
        <v>Treasury</v>
      </c>
      <c r="C184" s="34" t="s">
        <v>73</v>
      </c>
      <c r="D184" s="30" t="str">
        <f t="shared" si="4"/>
        <v>AFT</v>
      </c>
      <c r="E184" s="31" t="str">
        <f>_xlfn.XLOOKUP(C184,'[1]SIG Job Families &amp; Descriptions'!F:F,'[1]SIG Job Families &amp; Descriptions'!A:A)</f>
        <v>AFT030</v>
      </c>
      <c r="F184" s="32" t="s">
        <v>32</v>
      </c>
      <c r="G184" s="33" t="s">
        <v>35</v>
      </c>
      <c r="H184" s="34" t="str">
        <f>F184&amp;"-"&amp;G184</f>
        <v>Professional-11</v>
      </c>
      <c r="I184" s="35" t="str">
        <f>IF(ISERROR(_xlfn.XLOOKUP(H184,'[1]SIG Level Structure'!D:D,'[1]SIG Level Structure'!D:D)),"0","1")</f>
        <v>1</v>
      </c>
      <c r="J184" s="36" t="str">
        <f>_xlfn.XLOOKUP($H184,'[1]SIG Level Structure'!$D:$D,'[1]SIG Level Structure'!F:F)</f>
        <v>P3</v>
      </c>
      <c r="K184" s="37" t="str">
        <f>E184&amp;"-"&amp;J184&amp;"-"&amp;G184</f>
        <v>AFT030-P3-11</v>
      </c>
      <c r="L184" s="37" t="str">
        <f>IFERROR(D184&amp;"-"&amp;LEFT(J184,1),"--")</f>
        <v>AFT-P</v>
      </c>
      <c r="M184" s="37" t="str">
        <f>VLOOKUP(L184,'[1]Compatible JC'!$A:$A,1,FALSE)</f>
        <v>AFT-P</v>
      </c>
      <c r="N184" s="37" t="str">
        <f>IFERROR(_xlfn.XLOOKUP(H184,'[1]SIG Level Structure'!D:D,'[1]SIG Level Structure'!C:C),"--")</f>
        <v>Expert</v>
      </c>
      <c r="O184" s="38" t="str">
        <f>IFERROR(TRIM(N184&amp;" "&amp;C184),"--")</f>
        <v>Expert Treasury</v>
      </c>
      <c r="P184" s="22" t="str">
        <f>_xlfn.XLOOKUP(E184,'[1]SIG Job Families &amp; Descriptions'!A:A,'[1]SIG Job Families &amp; Descriptions'!G:G)</f>
        <v>Performs treasury operations involving cash funds, foreign exchange, debt and capital management. Provides analytical and technical support to treasury-related activities.</v>
      </c>
      <c r="Q184" s="39" t="str">
        <f>_xlfn.XLOOKUP(E184,'[1]2022 GI Position Descriptions'!E:E,'[1]2022 GI Position Descriptions'!G:G)</f>
        <v>Performs treasury operations involving cash funds, foreign exchange, debt and capital management | Provides analytical and technical support to treasury-related activities</v>
      </c>
      <c r="R184" s="22" t="str">
        <f>IF(LEFT(J184,1)="E","EX",LEFT(J184,1))</f>
        <v>P</v>
      </c>
      <c r="S184" s="22" t="str">
        <f>_xlfn.XLOOKUP($R184,'[1]Career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84" s="22" t="str">
        <f>J184</f>
        <v>P3</v>
      </c>
      <c r="U184" s="40" t="str">
        <f t="shared" si="5"/>
        <v>P3</v>
      </c>
      <c r="V184" s="22" t="str">
        <f>_xlfn.XLOOKUP(T184,'[1]Career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184" s="41" t="str">
        <f>J184&amp;"-"&amp;G184</f>
        <v>P3-11</v>
      </c>
      <c r="X184" s="42" t="str">
        <f>G184</f>
        <v>11</v>
      </c>
      <c r="Y184" s="22" t="str">
        <f>_xlfn.XLOOKUP(W184,'[1]Career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184" s="43" t="str">
        <f>IFERROR(O184&amp;" - "&amp;G184,"--")</f>
        <v>Expert Treasury - 11</v>
      </c>
      <c r="AA184" s="44" t="str">
        <f>_xlfn.XLOOKUP($H184,'[1]SIG Qualifications Input'!$D:$D,'[1]SIG Qualifications Input'!$H:$H)</f>
        <v>University degree or equivalent and 4-8 years of work experience or equivalent, 
Initial experience in functionally leading (sub-) projects</v>
      </c>
    </row>
    <row r="185" spans="1:27" ht="169" thickBot="1" x14ac:dyDescent="0.2">
      <c r="A185" s="34" t="str">
        <f>_xlfn.XLOOKUP(C185,'[1]SIG Job Families &amp; Descriptions'!F:F,'[1]SIG Job Families &amp; Descriptions'!B:B)</f>
        <v>Finance</v>
      </c>
      <c r="B185" s="34" t="str">
        <f>_xlfn.XLOOKUP(C185,'[1]SIG Job Families &amp; Descriptions'!F:F,'[1]SIG Job Families &amp; Descriptions'!D:D)</f>
        <v>Treasury</v>
      </c>
      <c r="C185" s="34" t="s">
        <v>73</v>
      </c>
      <c r="D185" s="30" t="str">
        <f t="shared" si="4"/>
        <v>AFT</v>
      </c>
      <c r="E185" s="31" t="str">
        <f>_xlfn.XLOOKUP(C185,'[1]SIG Job Families &amp; Descriptions'!F:F,'[1]SIG Job Families &amp; Descriptions'!A:A)</f>
        <v>AFT030</v>
      </c>
      <c r="F185" s="32" t="s">
        <v>32</v>
      </c>
      <c r="G185" s="33" t="s">
        <v>36</v>
      </c>
      <c r="H185" s="34" t="str">
        <f>F185&amp;"-"&amp;G185</f>
        <v>Professional-10</v>
      </c>
      <c r="I185" s="35" t="str">
        <f>IF(ISERROR(_xlfn.XLOOKUP(H185,'[1]SIG Level Structure'!D:D,'[1]SIG Level Structure'!D:D)),"0","1")</f>
        <v>1</v>
      </c>
      <c r="J185" s="36" t="str">
        <f>_xlfn.XLOOKUP($H185,'[1]SIG Level Structure'!$D:$D,'[1]SIG Level Structure'!F:F)</f>
        <v>P2</v>
      </c>
      <c r="K185" s="37" t="str">
        <f>E185&amp;"-"&amp;J185&amp;"-"&amp;G185</f>
        <v>AFT030-P2-10</v>
      </c>
      <c r="L185" s="37" t="str">
        <f>IFERROR(D185&amp;"-"&amp;LEFT(J185,1),"--")</f>
        <v>AFT-P</v>
      </c>
      <c r="M185" s="37" t="str">
        <f>VLOOKUP(L185,'[1]Compatible JC'!$A:$A,1,FALSE)</f>
        <v>AFT-P</v>
      </c>
      <c r="N185" s="37" t="str">
        <f>IFERROR(_xlfn.XLOOKUP(H185,'[1]SIG Level Structure'!D:D,'[1]SIG Level Structure'!C:C),"--")</f>
        <v>Senior Specialist</v>
      </c>
      <c r="O185" s="38" t="str">
        <f>IFERROR(TRIM(N185&amp;" "&amp;C185),"--")</f>
        <v>Senior Specialist Treasury</v>
      </c>
      <c r="P185" s="22" t="str">
        <f>_xlfn.XLOOKUP(E185,'[1]SIG Job Families &amp; Descriptions'!A:A,'[1]SIG Job Families &amp; Descriptions'!G:G)</f>
        <v>Performs treasury operations involving cash funds, foreign exchange, debt and capital management. Provides analytical and technical support to treasury-related activities.</v>
      </c>
      <c r="Q185" s="39" t="str">
        <f>_xlfn.XLOOKUP(E185,'[1]2022 GI Position Descriptions'!E:E,'[1]2022 GI Position Descriptions'!G:G)</f>
        <v>Performs treasury operations involving cash funds, foreign exchange, debt and capital management | Provides analytical and technical support to treasury-related activities</v>
      </c>
      <c r="R185" s="22" t="str">
        <f>IF(LEFT(J185,1)="E","EX",LEFT(J185,1))</f>
        <v>P</v>
      </c>
      <c r="S185" s="22" t="str">
        <f>_xlfn.XLOOKUP($R185,'[1]Career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85" s="22" t="str">
        <f>J185</f>
        <v>P2</v>
      </c>
      <c r="U185" s="40" t="str">
        <f t="shared" si="5"/>
        <v>P2</v>
      </c>
      <c r="V185" s="22" t="str">
        <f>_xlfn.XLOOKUP(T185,'[1]Career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185" s="41" t="str">
        <f>J185&amp;"-"&amp;G185</f>
        <v>P2-10</v>
      </c>
      <c r="X185" s="42" t="str">
        <f>G185</f>
        <v>10</v>
      </c>
      <c r="Y185" s="22" t="str">
        <f>_xlfn.XLOOKUP(W185,'[1]Career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185" s="43" t="str">
        <f>IFERROR(O185&amp;" - "&amp;G185,"--")</f>
        <v>Senior Specialist Treasury - 10</v>
      </c>
      <c r="AA185" s="44" t="str">
        <f>_xlfn.XLOOKUP($H185,'[1]SIG Qualifications Input'!$D:$D,'[1]SIG Qualifications Input'!$H:$H)</f>
        <v>University degree or equivalent and 2-4 years of work experience or equivalent</v>
      </c>
    </row>
    <row r="186" spans="1:27" ht="169" thickBot="1" x14ac:dyDescent="0.2">
      <c r="A186" s="34" t="str">
        <f>_xlfn.XLOOKUP(C186,'[1]SIG Job Families &amp; Descriptions'!F:F,'[1]SIG Job Families &amp; Descriptions'!B:B)</f>
        <v>Finance</v>
      </c>
      <c r="B186" s="34" t="str">
        <f>_xlfn.XLOOKUP(C186,'[1]SIG Job Families &amp; Descriptions'!F:F,'[1]SIG Job Families &amp; Descriptions'!D:D)</f>
        <v>Treasury</v>
      </c>
      <c r="C186" s="34" t="s">
        <v>73</v>
      </c>
      <c r="D186" s="30" t="str">
        <f t="shared" si="4"/>
        <v>AFT</v>
      </c>
      <c r="E186" s="31" t="str">
        <f>_xlfn.XLOOKUP(C186,'[1]SIG Job Families &amp; Descriptions'!F:F,'[1]SIG Job Families &amp; Descriptions'!A:A)</f>
        <v>AFT030</v>
      </c>
      <c r="F186" s="32" t="s">
        <v>32</v>
      </c>
      <c r="G186" s="33" t="s">
        <v>37</v>
      </c>
      <c r="H186" s="34" t="str">
        <f>F186&amp;"-"&amp;G186</f>
        <v>Professional-09</v>
      </c>
      <c r="I186" s="35" t="str">
        <f>IF(ISERROR(_xlfn.XLOOKUP(H186,'[1]SIG Level Structure'!D:D,'[1]SIG Level Structure'!D:D)),"0","1")</f>
        <v>1</v>
      </c>
      <c r="J186" s="36" t="str">
        <f>_xlfn.XLOOKUP($H186,'[1]SIG Level Structure'!$D:$D,'[1]SIG Level Structure'!F:F)</f>
        <v>P2</v>
      </c>
      <c r="K186" s="37" t="str">
        <f>E186&amp;"-"&amp;J186&amp;"-"&amp;G186</f>
        <v>AFT030-P2-09</v>
      </c>
      <c r="L186" s="37" t="str">
        <f>IFERROR(D186&amp;"-"&amp;LEFT(J186,1),"--")</f>
        <v>AFT-P</v>
      </c>
      <c r="M186" s="37" t="str">
        <f>VLOOKUP(L186,'[1]Compatible JC'!$A:$A,1,FALSE)</f>
        <v>AFT-P</v>
      </c>
      <c r="N186" s="37" t="str">
        <f>IFERROR(_xlfn.XLOOKUP(H186,'[1]SIG Level Structure'!D:D,'[1]SIG Level Structure'!C:C),"--")</f>
        <v>Senior Specialist</v>
      </c>
      <c r="O186" s="38" t="str">
        <f>IFERROR(TRIM(N186&amp;" "&amp;C186),"--")</f>
        <v>Senior Specialist Treasury</v>
      </c>
      <c r="P186" s="22" t="str">
        <f>_xlfn.XLOOKUP(E186,'[1]SIG Job Families &amp; Descriptions'!A:A,'[1]SIG Job Families &amp; Descriptions'!G:G)</f>
        <v>Performs treasury operations involving cash funds, foreign exchange, debt and capital management. Provides analytical and technical support to treasury-related activities.</v>
      </c>
      <c r="Q186" s="39" t="str">
        <f>_xlfn.XLOOKUP(E186,'[1]2022 GI Position Descriptions'!E:E,'[1]2022 GI Position Descriptions'!G:G)</f>
        <v>Performs treasury operations involving cash funds, foreign exchange, debt and capital management | Provides analytical and technical support to treasury-related activities</v>
      </c>
      <c r="R186" s="22" t="str">
        <f>IF(LEFT(J186,1)="E","EX",LEFT(J186,1))</f>
        <v>P</v>
      </c>
      <c r="S186" s="22" t="str">
        <f>_xlfn.XLOOKUP($R186,'[1]Career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86" s="22" t="str">
        <f>J186</f>
        <v>P2</v>
      </c>
      <c r="U186" s="40" t="str">
        <f t="shared" si="5"/>
        <v>P2</v>
      </c>
      <c r="V186" s="22" t="str">
        <f>_xlfn.XLOOKUP(T186,'[1]Career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186" s="41" t="str">
        <f>J186&amp;"-"&amp;G186</f>
        <v>P2-09</v>
      </c>
      <c r="X186" s="42" t="str">
        <f>G186</f>
        <v>09</v>
      </c>
      <c r="Y186" s="22" t="str">
        <f>_xlfn.XLOOKUP(W186,'[1]Career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186" s="43" t="str">
        <f>IFERROR(O186&amp;" - "&amp;G186,"--")</f>
        <v>Senior Specialist Treasury - 09</v>
      </c>
      <c r="AA186" s="44" t="str">
        <f>_xlfn.XLOOKUP($H186,'[1]SIG Qualifications Input'!$D:$D,'[1]SIG Qualifications Input'!$H:$H)</f>
        <v>University degree or equivalent and 2-4 years of work experience or equivalent</v>
      </c>
    </row>
    <row r="187" spans="1:27" ht="169" thickBot="1" x14ac:dyDescent="0.2">
      <c r="A187" s="34" t="str">
        <f>_xlfn.XLOOKUP(C187,'[1]SIG Job Families &amp; Descriptions'!F:F,'[1]SIG Job Families &amp; Descriptions'!B:B)</f>
        <v>Finance</v>
      </c>
      <c r="B187" s="34" t="str">
        <f>_xlfn.XLOOKUP(C187,'[1]SIG Job Families &amp; Descriptions'!F:F,'[1]SIG Job Families &amp; Descriptions'!D:D)</f>
        <v>Credit Management</v>
      </c>
      <c r="C187" s="34" t="s">
        <v>74</v>
      </c>
      <c r="D187" s="30" t="str">
        <f t="shared" si="4"/>
        <v>AFC</v>
      </c>
      <c r="E187" s="31" t="str">
        <f>_xlfn.XLOOKUP(C187,'[1]SIG Job Families &amp; Descriptions'!F:F,'[1]SIG Job Families &amp; Descriptions'!A:A)</f>
        <v>AFC010</v>
      </c>
      <c r="F187" s="32" t="s">
        <v>32</v>
      </c>
      <c r="G187" s="33" t="s">
        <v>31</v>
      </c>
      <c r="H187" s="34" t="str">
        <f>F187&amp;"-"&amp;G187</f>
        <v>Professional-14</v>
      </c>
      <c r="I187" s="35" t="str">
        <f>IF(ISERROR(_xlfn.XLOOKUP(H187,'[1]SIG Level Structure'!D:D,'[1]SIG Level Structure'!D:D)),"0","1")</f>
        <v>1</v>
      </c>
      <c r="J187" s="36" t="str">
        <f>_xlfn.XLOOKUP($H187,'[1]SIG Level Structure'!$D:$D,'[1]SIG Level Structure'!F:F)</f>
        <v>P4</v>
      </c>
      <c r="K187" s="37" t="str">
        <f>E187&amp;"-"&amp;J187&amp;"-"&amp;G187</f>
        <v>AFC010-P4-14</v>
      </c>
      <c r="L187" s="37" t="str">
        <f>IFERROR(D187&amp;"-"&amp;LEFT(J187,1),"--")</f>
        <v>AFC-P</v>
      </c>
      <c r="M187" s="37" t="str">
        <f>VLOOKUP(L187,'[1]Compatible JC'!$A:$A,1,FALSE)</f>
        <v>AFC-P</v>
      </c>
      <c r="N187" s="37" t="str">
        <f>IFERROR(_xlfn.XLOOKUP(H187,'[1]SIG Level Structure'!D:D,'[1]SIG Level Structure'!C:C),"--")</f>
        <v>Senior Expert</v>
      </c>
      <c r="O187" s="38" t="str">
        <f>IFERROR(TRIM(N187&amp;" "&amp;C187),"--")</f>
        <v>Senior Expert Credit Management</v>
      </c>
      <c r="P187" s="22" t="str">
        <f>_xlfn.XLOOKUP(E187,'[1]SIG Job Families &amp; Descriptions'!A:A,'[1]SIG Job Families &amp; Descriptions'!G:G)</f>
        <v xml:space="preserve">Minimizes financial risk to the organization by assessing and advising on creditworthiness of prospective and existing customers. Investigates credit applications and approves applications within established guidelines for organizations and individuals. Liaises with corporate customers and other departments to resolve credit problems. Collects and negotiates terms of payment on overdue accounts with corporate and individual clients. Conducts investigations and collection activities from an office or in the field.
</v>
      </c>
      <c r="Q187" s="39" t="str">
        <f>_xlfn.XLOOKUP(E187,'[1]2022 GI Position Descriptions'!E:E,'[1]2022 GI Position Descriptions'!G:G)</f>
        <v>Minimizes financial risk to the organization by assessing and advising on creditworthiness of prospective and existing customers | Investigates credit applications and approves applications within established guidelines for organizations and individuals | Liaises with corporate customers and other departments to resolve credit problems</v>
      </c>
      <c r="R187" s="22" t="str">
        <f>IF(LEFT(J187,1)="E","EX",LEFT(J187,1))</f>
        <v>P</v>
      </c>
      <c r="S187" s="22" t="str">
        <f>_xlfn.XLOOKUP($R187,'[1]Career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87" s="22" t="str">
        <f>J187</f>
        <v>P4</v>
      </c>
      <c r="U187" s="40" t="str">
        <f t="shared" si="5"/>
        <v>P4</v>
      </c>
      <c r="V187" s="22" t="str">
        <f>_xlfn.XLOOKUP(T187,'[1]Career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187" s="41" t="str">
        <f>J187&amp;"-"&amp;G187</f>
        <v>P4-14</v>
      </c>
      <c r="X187" s="42" t="str">
        <f>G187</f>
        <v>14</v>
      </c>
      <c r="Y187" s="22" t="str">
        <f>_xlfn.XLOOKUP(W187,'[1]Career Bands &amp; Levels'!A:A,'[1]Career Bands &amp; Levels'!C:C,"No Grade Differentiator")</f>
        <v xml:space="preserve">●	Guides others in resolving complex issues in own specialized area and solves complex problems with implications on cross-functional business processes and outcomes		
●	Serves as an advisor and applies knowledge of strategies that can be deployed within own function and discipline		
●	Applies working knowledge of the theories and concepts in other disciplines		
●	May lead teams or projects with broad visibility		</v>
      </c>
      <c r="Z187" s="43" t="str">
        <f>IFERROR(O187&amp;" - "&amp;G187,"--")</f>
        <v>Senior Expert Credit Management - 14</v>
      </c>
      <c r="AA187" s="44" t="str">
        <f>_xlfn.XLOOKUP($H187,'[1]SIG Qualifications Input'!$D:$D,'[1]SIG Qualifications Input'!$H:$H)</f>
        <v>University degree or equivalent and 8-10 years of work experience or equivalent, 
Experience in functionally leading (sub-)projects / teams</v>
      </c>
    </row>
    <row r="188" spans="1:27" ht="169" thickBot="1" x14ac:dyDescent="0.2">
      <c r="A188" s="34" t="str">
        <f>_xlfn.XLOOKUP(C188,'[1]SIG Job Families &amp; Descriptions'!F:F,'[1]SIG Job Families &amp; Descriptions'!B:B)</f>
        <v>Finance</v>
      </c>
      <c r="B188" s="34" t="str">
        <f>_xlfn.XLOOKUP(C188,'[1]SIG Job Families &amp; Descriptions'!F:F,'[1]SIG Job Families &amp; Descriptions'!D:D)</f>
        <v>Credit Management</v>
      </c>
      <c r="C188" s="34" t="s">
        <v>74</v>
      </c>
      <c r="D188" s="30" t="str">
        <f t="shared" si="4"/>
        <v>AFC</v>
      </c>
      <c r="E188" s="31" t="str">
        <f>_xlfn.XLOOKUP(C188,'[1]SIG Job Families &amp; Descriptions'!F:F,'[1]SIG Job Families &amp; Descriptions'!A:A)</f>
        <v>AFC010</v>
      </c>
      <c r="F188" s="32" t="s">
        <v>32</v>
      </c>
      <c r="G188" s="33" t="s">
        <v>33</v>
      </c>
      <c r="H188" s="34" t="str">
        <f>F188&amp;"-"&amp;G188</f>
        <v>Professional-13</v>
      </c>
      <c r="I188" s="35" t="str">
        <f>IF(ISERROR(_xlfn.XLOOKUP(H188,'[1]SIG Level Structure'!D:D,'[1]SIG Level Structure'!D:D)),"0","1")</f>
        <v>1</v>
      </c>
      <c r="J188" s="36" t="str">
        <f>_xlfn.XLOOKUP($H188,'[1]SIG Level Structure'!$D:$D,'[1]SIG Level Structure'!F:F)</f>
        <v>P4</v>
      </c>
      <c r="K188" s="37" t="str">
        <f>E188&amp;"-"&amp;J188&amp;"-"&amp;G188</f>
        <v>AFC010-P4-13</v>
      </c>
      <c r="L188" s="37" t="str">
        <f>IFERROR(D188&amp;"-"&amp;LEFT(J188,1),"--")</f>
        <v>AFC-P</v>
      </c>
      <c r="M188" s="37" t="str">
        <f>VLOOKUP(L188,'[1]Compatible JC'!$A:$A,1,FALSE)</f>
        <v>AFC-P</v>
      </c>
      <c r="N188" s="37" t="str">
        <f>IFERROR(_xlfn.XLOOKUP(H188,'[1]SIG Level Structure'!D:D,'[1]SIG Level Structure'!C:C),"--")</f>
        <v>Senior Expert</v>
      </c>
      <c r="O188" s="38" t="str">
        <f>IFERROR(TRIM(N188&amp;" "&amp;C188),"--")</f>
        <v>Senior Expert Credit Management</v>
      </c>
      <c r="P188" s="22" t="str">
        <f>_xlfn.XLOOKUP(E188,'[1]SIG Job Families &amp; Descriptions'!A:A,'[1]SIG Job Families &amp; Descriptions'!G:G)</f>
        <v xml:space="preserve">Minimizes financial risk to the organization by assessing and advising on creditworthiness of prospective and existing customers. Investigates credit applications and approves applications within established guidelines for organizations and individuals. Liaises with corporate customers and other departments to resolve credit problems. Collects and negotiates terms of payment on overdue accounts with corporate and individual clients. Conducts investigations and collection activities from an office or in the field.
</v>
      </c>
      <c r="Q188" s="39" t="str">
        <f>_xlfn.XLOOKUP(E188,'[1]2022 GI Position Descriptions'!E:E,'[1]2022 GI Position Descriptions'!G:G)</f>
        <v>Minimizes financial risk to the organization by assessing and advising on creditworthiness of prospective and existing customers | Investigates credit applications and approves applications within established guidelines for organizations and individuals | Liaises with corporate customers and other departments to resolve credit problems</v>
      </c>
      <c r="R188" s="22" t="str">
        <f>IF(LEFT(J188,1)="E","EX",LEFT(J188,1))</f>
        <v>P</v>
      </c>
      <c r="S188" s="22" t="str">
        <f>_xlfn.XLOOKUP($R188,'[1]Career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88" s="22" t="str">
        <f>J188</f>
        <v>P4</v>
      </c>
      <c r="U188" s="40" t="str">
        <f t="shared" si="5"/>
        <v>P4</v>
      </c>
      <c r="V188" s="22" t="str">
        <f>_xlfn.XLOOKUP(T188,'[1]Career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188" s="41" t="str">
        <f>J188&amp;"-"&amp;G188</f>
        <v>P4-13</v>
      </c>
      <c r="X188" s="42" t="str">
        <f>G188</f>
        <v>13</v>
      </c>
      <c r="Y188" s="22" t="str">
        <f>_xlfn.XLOOKUP(W188,'[1]Career Bands &amp; Levels'!A:A,'[1]Career Bands &amp; Levels'!C:C,"No Grade Differentiator")</f>
        <v xml:space="preserve">●	Guides others in resolving complex issues in specialized area based on existing solutions and procedures		
●	Serves as an expert within own discipline		
●	May lead function teams or projects and serves as a best practices/quality resource		
●	Trains/mentors junior staff		</v>
      </c>
      <c r="Z188" s="43" t="str">
        <f>IFERROR(O188&amp;" - "&amp;G188,"--")</f>
        <v>Senior Expert Credit Management - 13</v>
      </c>
      <c r="AA188" s="44" t="str">
        <f>_xlfn.XLOOKUP($H188,'[1]SIG Qualifications Input'!$D:$D,'[1]SIG Qualifications Input'!$H:$H)</f>
        <v>University degree or equivalent and 8-10 years of work experience or equivalent, 
Experience in functionally leading (sub-)projects / teams</v>
      </c>
    </row>
    <row r="189" spans="1:27" ht="169" thickBot="1" x14ac:dyDescent="0.2">
      <c r="A189" s="34" t="str">
        <f>_xlfn.XLOOKUP(C189,'[1]SIG Job Families &amp; Descriptions'!F:F,'[1]SIG Job Families &amp; Descriptions'!B:B)</f>
        <v>Finance</v>
      </c>
      <c r="B189" s="34" t="str">
        <f>_xlfn.XLOOKUP(C189,'[1]SIG Job Families &amp; Descriptions'!F:F,'[1]SIG Job Families &amp; Descriptions'!D:D)</f>
        <v>Credit Management</v>
      </c>
      <c r="C189" s="34" t="s">
        <v>74</v>
      </c>
      <c r="D189" s="30" t="str">
        <f t="shared" si="4"/>
        <v>AFC</v>
      </c>
      <c r="E189" s="31" t="str">
        <f>_xlfn.XLOOKUP(C189,'[1]SIG Job Families &amp; Descriptions'!F:F,'[1]SIG Job Families &amp; Descriptions'!A:A)</f>
        <v>AFC010</v>
      </c>
      <c r="F189" s="32" t="s">
        <v>32</v>
      </c>
      <c r="G189" s="33" t="s">
        <v>34</v>
      </c>
      <c r="H189" s="34" t="str">
        <f>F189&amp;"-"&amp;G189</f>
        <v>Professional-12</v>
      </c>
      <c r="I189" s="35" t="str">
        <f>IF(ISERROR(_xlfn.XLOOKUP(H189,'[1]SIG Level Structure'!D:D,'[1]SIG Level Structure'!D:D)),"0","1")</f>
        <v>1</v>
      </c>
      <c r="J189" s="36" t="str">
        <f>_xlfn.XLOOKUP($H189,'[1]SIG Level Structure'!$D:$D,'[1]SIG Level Structure'!F:F)</f>
        <v>P3</v>
      </c>
      <c r="K189" s="37" t="str">
        <f>E189&amp;"-"&amp;J189&amp;"-"&amp;G189</f>
        <v>AFC010-P3-12</v>
      </c>
      <c r="L189" s="37" t="str">
        <f>IFERROR(D189&amp;"-"&amp;LEFT(J189,1),"--")</f>
        <v>AFC-P</v>
      </c>
      <c r="M189" s="37" t="str">
        <f>VLOOKUP(L189,'[1]Compatible JC'!$A:$A,1,FALSE)</f>
        <v>AFC-P</v>
      </c>
      <c r="N189" s="37" t="str">
        <f>IFERROR(_xlfn.XLOOKUP(H189,'[1]SIG Level Structure'!D:D,'[1]SIG Level Structure'!C:C),"--")</f>
        <v>Expert</v>
      </c>
      <c r="O189" s="38" t="str">
        <f>IFERROR(TRIM(N189&amp;" "&amp;C189),"--")</f>
        <v>Expert Credit Management</v>
      </c>
      <c r="P189" s="22" t="str">
        <f>_xlfn.XLOOKUP(E189,'[1]SIG Job Families &amp; Descriptions'!A:A,'[1]SIG Job Families &amp; Descriptions'!G:G)</f>
        <v xml:space="preserve">Minimizes financial risk to the organization by assessing and advising on creditworthiness of prospective and existing customers. Investigates credit applications and approves applications within established guidelines for organizations and individuals. Liaises with corporate customers and other departments to resolve credit problems. Collects and negotiates terms of payment on overdue accounts with corporate and individual clients. Conducts investigations and collection activities from an office or in the field.
</v>
      </c>
      <c r="Q189" s="39" t="str">
        <f>_xlfn.XLOOKUP(E189,'[1]2022 GI Position Descriptions'!E:E,'[1]2022 GI Position Descriptions'!G:G)</f>
        <v>Minimizes financial risk to the organization by assessing and advising on creditworthiness of prospective and existing customers | Investigates credit applications and approves applications within established guidelines for organizations and individuals | Liaises with corporate customers and other departments to resolve credit problems</v>
      </c>
      <c r="R189" s="22" t="str">
        <f>IF(LEFT(J189,1)="E","EX",LEFT(J189,1))</f>
        <v>P</v>
      </c>
      <c r="S189" s="22" t="str">
        <f>_xlfn.XLOOKUP($R189,'[1]Career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89" s="22" t="str">
        <f>J189</f>
        <v>P3</v>
      </c>
      <c r="U189" s="40" t="str">
        <f t="shared" si="5"/>
        <v>P3</v>
      </c>
      <c r="V189" s="22" t="str">
        <f>_xlfn.XLOOKUP(T189,'[1]Career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189" s="41" t="str">
        <f>J189&amp;"-"&amp;G189</f>
        <v>P3-12</v>
      </c>
      <c r="X189" s="42" t="str">
        <f>G189</f>
        <v>12</v>
      </c>
      <c r="Y189" s="22" t="str">
        <f>_xlfn.XLOOKUP(W189,'[1]Career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189" s="43" t="str">
        <f>IFERROR(O189&amp;" - "&amp;G189,"--")</f>
        <v>Expert Credit Management - 12</v>
      </c>
      <c r="AA189" s="44" t="str">
        <f>_xlfn.XLOOKUP($H189,'[1]SIG Qualifications Input'!$D:$D,'[1]SIG Qualifications Input'!$H:$H)</f>
        <v>University degree or equivalent and 4-8 years of work experience or equivalent, 
Initial experience in functionally leading (sub-) projects</v>
      </c>
    </row>
    <row r="190" spans="1:27" ht="169" thickBot="1" x14ac:dyDescent="0.2">
      <c r="A190" s="34" t="str">
        <f>_xlfn.XLOOKUP(C190,'[1]SIG Job Families &amp; Descriptions'!F:F,'[1]SIG Job Families &amp; Descriptions'!B:B)</f>
        <v>Finance</v>
      </c>
      <c r="B190" s="34" t="str">
        <f>_xlfn.XLOOKUP(C190,'[1]SIG Job Families &amp; Descriptions'!F:F,'[1]SIG Job Families &amp; Descriptions'!D:D)</f>
        <v>Credit Management</v>
      </c>
      <c r="C190" s="34" t="s">
        <v>74</v>
      </c>
      <c r="D190" s="30" t="str">
        <f t="shared" si="4"/>
        <v>AFC</v>
      </c>
      <c r="E190" s="31" t="str">
        <f>_xlfn.XLOOKUP(C190,'[1]SIG Job Families &amp; Descriptions'!F:F,'[1]SIG Job Families &amp; Descriptions'!A:A)</f>
        <v>AFC010</v>
      </c>
      <c r="F190" s="32" t="s">
        <v>32</v>
      </c>
      <c r="G190" s="33" t="s">
        <v>35</v>
      </c>
      <c r="H190" s="34" t="str">
        <f>F190&amp;"-"&amp;G190</f>
        <v>Professional-11</v>
      </c>
      <c r="I190" s="35" t="str">
        <f>IF(ISERROR(_xlfn.XLOOKUP(H190,'[1]SIG Level Structure'!D:D,'[1]SIG Level Structure'!D:D)),"0","1")</f>
        <v>1</v>
      </c>
      <c r="J190" s="36" t="str">
        <f>_xlfn.XLOOKUP($H190,'[1]SIG Level Structure'!$D:$D,'[1]SIG Level Structure'!F:F)</f>
        <v>P3</v>
      </c>
      <c r="K190" s="37" t="str">
        <f>E190&amp;"-"&amp;J190&amp;"-"&amp;G190</f>
        <v>AFC010-P3-11</v>
      </c>
      <c r="L190" s="37" t="str">
        <f>IFERROR(D190&amp;"-"&amp;LEFT(J190,1),"--")</f>
        <v>AFC-P</v>
      </c>
      <c r="M190" s="37" t="str">
        <f>VLOOKUP(L190,'[1]Compatible JC'!$A:$A,1,FALSE)</f>
        <v>AFC-P</v>
      </c>
      <c r="N190" s="37" t="str">
        <f>IFERROR(_xlfn.XLOOKUP(H190,'[1]SIG Level Structure'!D:D,'[1]SIG Level Structure'!C:C),"--")</f>
        <v>Expert</v>
      </c>
      <c r="O190" s="38" t="str">
        <f>IFERROR(TRIM(N190&amp;" "&amp;C190),"--")</f>
        <v>Expert Credit Management</v>
      </c>
      <c r="P190" s="22" t="str">
        <f>_xlfn.XLOOKUP(E190,'[1]SIG Job Families &amp; Descriptions'!A:A,'[1]SIG Job Families &amp; Descriptions'!G:G)</f>
        <v xml:space="preserve">Minimizes financial risk to the organization by assessing and advising on creditworthiness of prospective and existing customers. Investigates credit applications and approves applications within established guidelines for organizations and individuals. Liaises with corporate customers and other departments to resolve credit problems. Collects and negotiates terms of payment on overdue accounts with corporate and individual clients. Conducts investigations and collection activities from an office or in the field.
</v>
      </c>
      <c r="Q190" s="39" t="str">
        <f>_xlfn.XLOOKUP(E190,'[1]2022 GI Position Descriptions'!E:E,'[1]2022 GI Position Descriptions'!G:G)</f>
        <v>Minimizes financial risk to the organization by assessing and advising on creditworthiness of prospective and existing customers | Investigates credit applications and approves applications within established guidelines for organizations and individuals | Liaises with corporate customers and other departments to resolve credit problems</v>
      </c>
      <c r="R190" s="22" t="str">
        <f>IF(LEFT(J190,1)="E","EX",LEFT(J190,1))</f>
        <v>P</v>
      </c>
      <c r="S190" s="22" t="str">
        <f>_xlfn.XLOOKUP($R190,'[1]Career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90" s="22" t="str">
        <f>J190</f>
        <v>P3</v>
      </c>
      <c r="U190" s="40" t="str">
        <f t="shared" si="5"/>
        <v>P3</v>
      </c>
      <c r="V190" s="22" t="str">
        <f>_xlfn.XLOOKUP(T190,'[1]Career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190" s="41" t="str">
        <f>J190&amp;"-"&amp;G190</f>
        <v>P3-11</v>
      </c>
      <c r="X190" s="42" t="str">
        <f>G190</f>
        <v>11</v>
      </c>
      <c r="Y190" s="22" t="str">
        <f>_xlfn.XLOOKUP(W190,'[1]Career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190" s="43" t="str">
        <f>IFERROR(O190&amp;" - "&amp;G190,"--")</f>
        <v>Expert Credit Management - 11</v>
      </c>
      <c r="AA190" s="44" t="str">
        <f>_xlfn.XLOOKUP($H190,'[1]SIG Qualifications Input'!$D:$D,'[1]SIG Qualifications Input'!$H:$H)</f>
        <v>University degree or equivalent and 4-8 years of work experience or equivalent, 
Initial experience in functionally leading (sub-) projects</v>
      </c>
    </row>
    <row r="191" spans="1:27" ht="169" thickBot="1" x14ac:dyDescent="0.2">
      <c r="A191" s="34" t="str">
        <f>_xlfn.XLOOKUP(C191,'[1]SIG Job Families &amp; Descriptions'!F:F,'[1]SIG Job Families &amp; Descriptions'!B:B)</f>
        <v>Finance</v>
      </c>
      <c r="B191" s="34" t="str">
        <f>_xlfn.XLOOKUP(C191,'[1]SIG Job Families &amp; Descriptions'!F:F,'[1]SIG Job Families &amp; Descriptions'!D:D)</f>
        <v>Credit Management</v>
      </c>
      <c r="C191" s="34" t="s">
        <v>74</v>
      </c>
      <c r="D191" s="30" t="str">
        <f t="shared" si="4"/>
        <v>AFC</v>
      </c>
      <c r="E191" s="31" t="str">
        <f>_xlfn.XLOOKUP(C191,'[1]SIG Job Families &amp; Descriptions'!F:F,'[1]SIG Job Families &amp; Descriptions'!A:A)</f>
        <v>AFC010</v>
      </c>
      <c r="F191" s="32" t="s">
        <v>32</v>
      </c>
      <c r="G191" s="33" t="s">
        <v>36</v>
      </c>
      <c r="H191" s="34" t="str">
        <f>F191&amp;"-"&amp;G191</f>
        <v>Professional-10</v>
      </c>
      <c r="I191" s="35" t="str">
        <f>IF(ISERROR(_xlfn.XLOOKUP(H191,'[1]SIG Level Structure'!D:D,'[1]SIG Level Structure'!D:D)),"0","1")</f>
        <v>1</v>
      </c>
      <c r="J191" s="36" t="str">
        <f>_xlfn.XLOOKUP($H191,'[1]SIG Level Structure'!$D:$D,'[1]SIG Level Structure'!F:F)</f>
        <v>P2</v>
      </c>
      <c r="K191" s="37" t="str">
        <f>E191&amp;"-"&amp;J191&amp;"-"&amp;G191</f>
        <v>AFC010-P2-10</v>
      </c>
      <c r="L191" s="37" t="str">
        <f>IFERROR(D191&amp;"-"&amp;LEFT(J191,1),"--")</f>
        <v>AFC-P</v>
      </c>
      <c r="M191" s="37" t="str">
        <f>VLOOKUP(L191,'[1]Compatible JC'!$A:$A,1,FALSE)</f>
        <v>AFC-P</v>
      </c>
      <c r="N191" s="37" t="str">
        <f>IFERROR(_xlfn.XLOOKUP(H191,'[1]SIG Level Structure'!D:D,'[1]SIG Level Structure'!C:C),"--")</f>
        <v>Senior Specialist</v>
      </c>
      <c r="O191" s="38" t="str">
        <f>IFERROR(TRIM(N191&amp;" "&amp;C191),"--")</f>
        <v>Senior Specialist Credit Management</v>
      </c>
      <c r="P191" s="22" t="str">
        <f>_xlfn.XLOOKUP(E191,'[1]SIG Job Families &amp; Descriptions'!A:A,'[1]SIG Job Families &amp; Descriptions'!G:G)</f>
        <v xml:space="preserve">Minimizes financial risk to the organization by assessing and advising on creditworthiness of prospective and existing customers. Investigates credit applications and approves applications within established guidelines for organizations and individuals. Liaises with corporate customers and other departments to resolve credit problems. Collects and negotiates terms of payment on overdue accounts with corporate and individual clients. Conducts investigations and collection activities from an office or in the field.
</v>
      </c>
      <c r="Q191" s="39" t="str">
        <f>_xlfn.XLOOKUP(E191,'[1]2022 GI Position Descriptions'!E:E,'[1]2022 GI Position Descriptions'!G:G)</f>
        <v>Minimizes financial risk to the organization by assessing and advising on creditworthiness of prospective and existing customers | Investigates credit applications and approves applications within established guidelines for organizations and individuals | Liaises with corporate customers and other departments to resolve credit problems</v>
      </c>
      <c r="R191" s="22" t="str">
        <f>IF(LEFT(J191,1)="E","EX",LEFT(J191,1))</f>
        <v>P</v>
      </c>
      <c r="S191" s="22" t="str">
        <f>_xlfn.XLOOKUP($R191,'[1]Career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91" s="22" t="str">
        <f>J191</f>
        <v>P2</v>
      </c>
      <c r="U191" s="40" t="str">
        <f t="shared" si="5"/>
        <v>P2</v>
      </c>
      <c r="V191" s="22" t="str">
        <f>_xlfn.XLOOKUP(T191,'[1]Career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191" s="41" t="str">
        <f>J191&amp;"-"&amp;G191</f>
        <v>P2-10</v>
      </c>
      <c r="X191" s="42" t="str">
        <f>G191</f>
        <v>10</v>
      </c>
      <c r="Y191" s="22" t="str">
        <f>_xlfn.XLOOKUP(W191,'[1]Career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191" s="43" t="str">
        <f>IFERROR(O191&amp;" - "&amp;G191,"--")</f>
        <v>Senior Specialist Credit Management - 10</v>
      </c>
      <c r="AA191" s="44" t="str">
        <f>_xlfn.XLOOKUP($H191,'[1]SIG Qualifications Input'!$D:$D,'[1]SIG Qualifications Input'!$H:$H)</f>
        <v>University degree or equivalent and 2-4 years of work experience or equivalent</v>
      </c>
    </row>
    <row r="192" spans="1:27" ht="169" thickBot="1" x14ac:dyDescent="0.2">
      <c r="A192" s="34" t="str">
        <f>_xlfn.XLOOKUP(C192,'[1]SIG Job Families &amp; Descriptions'!F:F,'[1]SIG Job Families &amp; Descriptions'!B:B)</f>
        <v>Finance</v>
      </c>
      <c r="B192" s="34" t="str">
        <f>_xlfn.XLOOKUP(C192,'[1]SIG Job Families &amp; Descriptions'!F:F,'[1]SIG Job Families &amp; Descriptions'!D:D)</f>
        <v>Credit Management</v>
      </c>
      <c r="C192" s="34" t="s">
        <v>74</v>
      </c>
      <c r="D192" s="30" t="str">
        <f t="shared" si="4"/>
        <v>AFC</v>
      </c>
      <c r="E192" s="31" t="str">
        <f>_xlfn.XLOOKUP(C192,'[1]SIG Job Families &amp; Descriptions'!F:F,'[1]SIG Job Families &amp; Descriptions'!A:A)</f>
        <v>AFC010</v>
      </c>
      <c r="F192" s="32" t="s">
        <v>32</v>
      </c>
      <c r="G192" s="33" t="s">
        <v>37</v>
      </c>
      <c r="H192" s="34" t="str">
        <f>F192&amp;"-"&amp;G192</f>
        <v>Professional-09</v>
      </c>
      <c r="I192" s="35" t="str">
        <f>IF(ISERROR(_xlfn.XLOOKUP(H192,'[1]SIG Level Structure'!D:D,'[1]SIG Level Structure'!D:D)),"0","1")</f>
        <v>1</v>
      </c>
      <c r="J192" s="36" t="str">
        <f>_xlfn.XLOOKUP($H192,'[1]SIG Level Structure'!$D:$D,'[1]SIG Level Structure'!F:F)</f>
        <v>P2</v>
      </c>
      <c r="K192" s="37" t="str">
        <f>E192&amp;"-"&amp;J192&amp;"-"&amp;G192</f>
        <v>AFC010-P2-09</v>
      </c>
      <c r="L192" s="37" t="str">
        <f>IFERROR(D192&amp;"-"&amp;LEFT(J192,1),"--")</f>
        <v>AFC-P</v>
      </c>
      <c r="M192" s="37" t="str">
        <f>VLOOKUP(L192,'[1]Compatible JC'!$A:$A,1,FALSE)</f>
        <v>AFC-P</v>
      </c>
      <c r="N192" s="37" t="str">
        <f>IFERROR(_xlfn.XLOOKUP(H192,'[1]SIG Level Structure'!D:D,'[1]SIG Level Structure'!C:C),"--")</f>
        <v>Senior Specialist</v>
      </c>
      <c r="O192" s="38" t="str">
        <f>IFERROR(TRIM(N192&amp;" "&amp;C192),"--")</f>
        <v>Senior Specialist Credit Management</v>
      </c>
      <c r="P192" s="22" t="str">
        <f>_xlfn.XLOOKUP(E192,'[1]SIG Job Families &amp; Descriptions'!A:A,'[1]SIG Job Families &amp; Descriptions'!G:G)</f>
        <v xml:space="preserve">Minimizes financial risk to the organization by assessing and advising on creditworthiness of prospective and existing customers. Investigates credit applications and approves applications within established guidelines for organizations and individuals. Liaises with corporate customers and other departments to resolve credit problems. Collects and negotiates terms of payment on overdue accounts with corporate and individual clients. Conducts investigations and collection activities from an office or in the field.
</v>
      </c>
      <c r="Q192" s="39" t="str">
        <f>_xlfn.XLOOKUP(E192,'[1]2022 GI Position Descriptions'!E:E,'[1]2022 GI Position Descriptions'!G:G)</f>
        <v>Minimizes financial risk to the organization by assessing and advising on creditworthiness of prospective and existing customers | Investigates credit applications and approves applications within established guidelines for organizations and individuals | Liaises with corporate customers and other departments to resolve credit problems</v>
      </c>
      <c r="R192" s="22" t="str">
        <f>IF(LEFT(J192,1)="E","EX",LEFT(J192,1))</f>
        <v>P</v>
      </c>
      <c r="S192" s="22" t="str">
        <f>_xlfn.XLOOKUP($R192,'[1]Career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92" s="22" t="str">
        <f>J192</f>
        <v>P2</v>
      </c>
      <c r="U192" s="40" t="str">
        <f t="shared" si="5"/>
        <v>P2</v>
      </c>
      <c r="V192" s="22" t="str">
        <f>_xlfn.XLOOKUP(T192,'[1]Career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192" s="41" t="str">
        <f>J192&amp;"-"&amp;G192</f>
        <v>P2-09</v>
      </c>
      <c r="X192" s="42" t="str">
        <f>G192</f>
        <v>09</v>
      </c>
      <c r="Y192" s="22" t="str">
        <f>_xlfn.XLOOKUP(W192,'[1]Career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192" s="43" t="str">
        <f>IFERROR(O192&amp;" - "&amp;G192,"--")</f>
        <v>Senior Specialist Credit Management - 09</v>
      </c>
      <c r="AA192" s="44" t="str">
        <f>_xlfn.XLOOKUP($H192,'[1]SIG Qualifications Input'!$D:$D,'[1]SIG Qualifications Input'!$H:$H)</f>
        <v>University degree or equivalent and 2-4 years of work experience or equivalent</v>
      </c>
    </row>
    <row r="193" spans="1:27" ht="169" thickBot="1" x14ac:dyDescent="0.2">
      <c r="A193" s="34" t="str">
        <f>_xlfn.XLOOKUP(C193,'[1]SIG Job Families &amp; Descriptions'!F:F,'[1]SIG Job Families &amp; Descriptions'!B:B)</f>
        <v>Finance</v>
      </c>
      <c r="B193" s="34" t="str">
        <f>_xlfn.XLOOKUP(C193,'[1]SIG Job Families &amp; Descriptions'!F:F,'[1]SIG Job Families &amp; Descriptions'!D:D)</f>
        <v>Credit Management</v>
      </c>
      <c r="C193" s="34" t="s">
        <v>74</v>
      </c>
      <c r="D193" s="30" t="str">
        <f t="shared" si="4"/>
        <v>AFC</v>
      </c>
      <c r="E193" s="31" t="str">
        <f>_xlfn.XLOOKUP(C193,'[1]SIG Job Families &amp; Descriptions'!F:F,'[1]SIG Job Families &amp; Descriptions'!A:A)</f>
        <v>AFC010</v>
      </c>
      <c r="F193" s="32" t="s">
        <v>32</v>
      </c>
      <c r="G193" s="33" t="s">
        <v>43</v>
      </c>
      <c r="H193" s="34" t="str">
        <f>F193&amp;"-"&amp;G193</f>
        <v>Professional-08</v>
      </c>
      <c r="I193" s="35" t="str">
        <f>IF(ISERROR(_xlfn.XLOOKUP(H193,'[1]SIG Level Structure'!D:D,'[1]SIG Level Structure'!D:D)),"0","1")</f>
        <v>1</v>
      </c>
      <c r="J193" s="36" t="str">
        <f>_xlfn.XLOOKUP($H193,'[1]SIG Level Structure'!$D:$D,'[1]SIG Level Structure'!F:F)</f>
        <v>P1</v>
      </c>
      <c r="K193" s="37" t="str">
        <f>E193&amp;"-"&amp;J193&amp;"-"&amp;G193</f>
        <v>AFC010-P1-08</v>
      </c>
      <c r="L193" s="37" t="str">
        <f>IFERROR(D193&amp;"-"&amp;LEFT(J193,1),"--")</f>
        <v>AFC-P</v>
      </c>
      <c r="M193" s="37" t="str">
        <f>VLOOKUP(L193,'[1]Compatible JC'!$A:$A,1,FALSE)</f>
        <v>AFC-P</v>
      </c>
      <c r="N193" s="37" t="str">
        <f>IFERROR(_xlfn.XLOOKUP(H193,'[1]SIG Level Structure'!D:D,'[1]SIG Level Structure'!C:C),"--")</f>
        <v>Specialist</v>
      </c>
      <c r="O193" s="38" t="str">
        <f>IFERROR(TRIM(N193&amp;" "&amp;C193),"--")</f>
        <v>Specialist Credit Management</v>
      </c>
      <c r="P193" s="22" t="str">
        <f>_xlfn.XLOOKUP(E193,'[1]SIG Job Families &amp; Descriptions'!A:A,'[1]SIG Job Families &amp; Descriptions'!G:G)</f>
        <v xml:space="preserve">Minimizes financial risk to the organization by assessing and advising on creditworthiness of prospective and existing customers. Investigates credit applications and approves applications within established guidelines for organizations and individuals. Liaises with corporate customers and other departments to resolve credit problems. Collects and negotiates terms of payment on overdue accounts with corporate and individual clients. Conducts investigations and collection activities from an office or in the field.
</v>
      </c>
      <c r="Q193" s="39" t="str">
        <f>_xlfn.XLOOKUP(E193,'[1]2022 GI Position Descriptions'!E:E,'[1]2022 GI Position Descriptions'!G:G)</f>
        <v>Minimizes financial risk to the organization by assessing and advising on creditworthiness of prospective and existing customers | Investigates credit applications and approves applications within established guidelines for organizations and individuals | Liaises with corporate customers and other departments to resolve credit problems</v>
      </c>
      <c r="R193" s="22" t="str">
        <f>IF(LEFT(J193,1)="E","EX",LEFT(J193,1))</f>
        <v>P</v>
      </c>
      <c r="S193" s="22" t="str">
        <f>_xlfn.XLOOKUP($R193,'[1]Career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193" s="22" t="str">
        <f>J193</f>
        <v>P1</v>
      </c>
      <c r="U193" s="40" t="str">
        <f t="shared" si="5"/>
        <v>P1</v>
      </c>
      <c r="V193" s="22" t="str">
        <f>_xlfn.XLOOKUP(T193,'[1]Career Bands &amp; Levels'!A:A,'[1]Career Bands &amp; Levels'!C:C)</f>
        <v xml:space="preserve">●	Performs routine assignments in the entry level of the Professional Career Band		
●	Typically requires a college or university degree or the equivalent work experience and has conceptual knowledge of fundamental theories, principles and practices 		
●	Has no discretion to vary from established procedures by performing structured work assignments		
●	Uses existing procedures to solve routine or standard problems		
●	Receives instruction, guidance and direction from more senior level roles		</v>
      </c>
      <c r="W193" s="41" t="str">
        <f>J193&amp;"-"&amp;G193</f>
        <v>P1-08</v>
      </c>
      <c r="X193" s="42" t="str">
        <f>G193</f>
        <v>08</v>
      </c>
      <c r="Y193" s="22" t="str">
        <f>_xlfn.XLOOKUP(W193,'[1]Career Bands &amp; Levels'!A:A,'[1]Career Bands &amp; Levels'!C:C,"No Grade Differentiator")</f>
        <v>No Grade Differentiator</v>
      </c>
      <c r="Z193" s="43" t="str">
        <f>IFERROR(O193&amp;" - "&amp;G193,"--")</f>
        <v>Specialist Credit Management - 08</v>
      </c>
      <c r="AA193" s="44" t="str">
        <f>_xlfn.XLOOKUP($H193,'[1]SIG Qualifications Input'!$D:$D,'[1]SIG Qualifications Input'!$H:$H)</f>
        <v>University degree or equivalent and 0-1 year of work experience or equivalent</v>
      </c>
    </row>
    <row r="194" spans="1:27" ht="169" thickBot="1" x14ac:dyDescent="0.2">
      <c r="A194" s="34" t="str">
        <f>_xlfn.XLOOKUP(C194,'[1]SIG Job Families &amp; Descriptions'!F:F,'[1]SIG Job Families &amp; Descriptions'!B:B)</f>
        <v>Finance</v>
      </c>
      <c r="B194" s="34" t="str">
        <f>_xlfn.XLOOKUP(C194,'[1]SIG Job Families &amp; Descriptions'!F:F,'[1]SIG Job Families &amp; Descriptions'!D:D)</f>
        <v>Accounting</v>
      </c>
      <c r="C194" s="34" t="s">
        <v>70</v>
      </c>
      <c r="D194" s="30" t="str">
        <f t="shared" si="4"/>
        <v>AFB</v>
      </c>
      <c r="E194" s="31" t="str">
        <f>_xlfn.XLOOKUP(C194,'[1]SIG Job Families &amp; Descriptions'!F:F,'[1]SIG Job Families &amp; Descriptions'!A:A)</f>
        <v>AFB000</v>
      </c>
      <c r="F194" s="32" t="s">
        <v>32</v>
      </c>
      <c r="G194" s="33" t="s">
        <v>53</v>
      </c>
      <c r="H194" s="34" t="str">
        <f>F194&amp;"-"&amp;G194</f>
        <v>Professional-06</v>
      </c>
      <c r="I194" s="35" t="str">
        <f>IF(ISERROR(_xlfn.XLOOKUP(H194,'[1]SIG Level Structure'!D:D,'[1]SIG Level Structure'!D:D)),"0","1")</f>
        <v>1</v>
      </c>
      <c r="J194" s="36" t="str">
        <f>_xlfn.XLOOKUP($H194,'[1]SIG Level Structure'!$D:$D,'[1]SIG Level Structure'!F:F)</f>
        <v>U2</v>
      </c>
      <c r="K194" s="37" t="str">
        <f>E194&amp;"-"&amp;J194&amp;"-"&amp;G194</f>
        <v>AFB000-U2-06</v>
      </c>
      <c r="L194" s="37" t="str">
        <f>IFERROR(D194&amp;"-"&amp;LEFT(J194,1),"--")</f>
        <v>AFB-U</v>
      </c>
      <c r="M194" s="37" t="str">
        <f>VLOOKUP(L194,'[1]Compatible JC'!$A:$A,1,FALSE)</f>
        <v>AFB-U</v>
      </c>
      <c r="N194" s="37" t="str">
        <f>IFERROR(_xlfn.XLOOKUP(H194,'[1]SIG Level Structure'!D:D,'[1]SIG Level Structure'!C:C),"--")</f>
        <v>Assistant / Analyst</v>
      </c>
      <c r="O194" s="38" t="str">
        <f>IFERROR(TRIM(N194&amp;" "&amp;C194),"--")</f>
        <v>Assistant / Analyst Accounting</v>
      </c>
      <c r="P194" s="22" t="str">
        <f>_xlfn.XLOOKUP(E194,'[1]SIG Job Families &amp; Descriptions'!A:A,'[1]SIG Job Families &amp; Descriptions'!G:G)</f>
        <v>Performs general accounting activities, including the preparation, maintenance and reconciliation of ledger accounts and financial statements such as balance sheets, profit-and-loss statements and capital expenditure schedules. Prepares, records, analyzes and reports accounting transactions and ensures the integrity of accounting records for completeness, accuracy and compliance with accepted accounting policies and principles. Analyzes and prepares statutory accounts, financial statements and reports. Conducts or assists in the documentation of accounting projects.</v>
      </c>
      <c r="Q194" s="39" t="str">
        <f>_xlfn.XLOOKUP(E194,'[1]2022 GI Position Descriptions'!E:E,'[1]2022 GI Position Descriptions'!G:G)</f>
        <v>Establishes and maintains accounting policies and controls, fiscal controls, preparing financial reports and safeguarding the organization's assets | Responsibilities are within the Accounting Function as a generalist or in a combination of Disciplines</v>
      </c>
      <c r="R194" s="22" t="str">
        <f>IF(LEFT(J194,1)="E","EX",LEFT(J194,1))</f>
        <v>U</v>
      </c>
      <c r="S194" s="22" t="str">
        <f>_xlfn.XLOOKUP($R194,'[1]Career Bands &amp; Levels'!A:A,'[1]Career Bands &amp; Levels'!C:C)</f>
        <v>● Performs clerical/administrative or specialized support tasks in an office, field or retail store/site setting
● May require vocational training or the equivalent experience, but does not require a university degree</v>
      </c>
      <c r="T194" s="22" t="str">
        <f>J194</f>
        <v>U2</v>
      </c>
      <c r="U194" s="40" t="str">
        <f t="shared" si="5"/>
        <v>U2</v>
      </c>
      <c r="V194" s="22" t="str">
        <f>_xlfn.XLOOKUP(T194,'[1]Career Bands &amp; Levels'!A:A,'[1]Career Bands &amp; Levels'!C:C)</f>
        <v xml:space="preserve">●	Has working knowledge and skills developed through formal training or work experience		
●	Works within established procedures with a moderate degree of supervision		
●	Identifies the problem and all relevant issues in straightforward situations, assesses each using standard procedures and makes sound decisions		</v>
      </c>
      <c r="W194" s="41" t="str">
        <f>J194&amp;"-"&amp;G194</f>
        <v>U2-06</v>
      </c>
      <c r="X194" s="42" t="str">
        <f>G194</f>
        <v>06</v>
      </c>
      <c r="Y194" s="22" t="str">
        <f>_xlfn.XLOOKUP(W194,'[1]Career Bands &amp; Levels'!A:A,'[1]Career Bands &amp; Levels'!C:C,"No Grade Differentiator")</f>
        <v xml:space="preserve">●	Has prior relevant training or related work experience		
●	Performs routine tasks following specific instructions or under close supervision		
●	Work is clearly defined and completed according to instruction		</v>
      </c>
      <c r="Z194" s="43" t="str">
        <f>IFERROR(O194&amp;" - "&amp;G194,"--")</f>
        <v>Assistant / Analyst Accounting - 06</v>
      </c>
      <c r="AA194" s="44" t="str">
        <f>_xlfn.XLOOKUP($H194,'[1]SIG Qualifications Input'!$D:$D,'[1]SIG Qualifications Input'!$H:$H)</f>
        <v>Vocational training in e.g. commercial field or equivalent work experience. Up to 5 years of experience, possibly further internal trainings.</v>
      </c>
    </row>
    <row r="195" spans="1:27" ht="169" thickBot="1" x14ac:dyDescent="0.2">
      <c r="A195" s="34" t="str">
        <f>_xlfn.XLOOKUP(C195,'[1]SIG Job Families &amp; Descriptions'!F:F,'[1]SIG Job Families &amp; Descriptions'!B:B)</f>
        <v>Finance</v>
      </c>
      <c r="B195" s="34" t="str">
        <f>_xlfn.XLOOKUP(C195,'[1]SIG Job Families &amp; Descriptions'!F:F,'[1]SIG Job Families &amp; Descriptions'!D:D)</f>
        <v>Accounting</v>
      </c>
      <c r="C195" s="34" t="s">
        <v>70</v>
      </c>
      <c r="D195" s="30" t="str">
        <f t="shared" ref="D195:D258" si="6">LEFT(E195,3)</f>
        <v>AFB</v>
      </c>
      <c r="E195" s="31" t="str">
        <f>_xlfn.XLOOKUP(C195,'[1]SIG Job Families &amp; Descriptions'!F:F,'[1]SIG Job Families &amp; Descriptions'!A:A)</f>
        <v>AFB000</v>
      </c>
      <c r="F195" s="32" t="s">
        <v>32</v>
      </c>
      <c r="G195" s="33" t="s">
        <v>52</v>
      </c>
      <c r="H195" s="34" t="str">
        <f>F195&amp;"-"&amp;G195</f>
        <v>Professional-07</v>
      </c>
      <c r="I195" s="35" t="str">
        <f>IF(ISERROR(_xlfn.XLOOKUP(H195,'[1]SIG Level Structure'!D:D,'[1]SIG Level Structure'!D:D)),"0","1")</f>
        <v>1</v>
      </c>
      <c r="J195" s="36" t="str">
        <f>_xlfn.XLOOKUP($H195,'[1]SIG Level Structure'!$D:$D,'[1]SIG Level Structure'!F:F)</f>
        <v>U3</v>
      </c>
      <c r="K195" s="37" t="str">
        <f>E195&amp;"-"&amp;J195&amp;"-"&amp;G195</f>
        <v>AFB000-U3-07</v>
      </c>
      <c r="L195" s="37" t="str">
        <f>IFERROR(D195&amp;"-"&amp;LEFT(J195,1),"--")</f>
        <v>AFB-U</v>
      </c>
      <c r="M195" s="37" t="str">
        <f>VLOOKUP(L195,'[1]Compatible JC'!$A:$A,1,FALSE)</f>
        <v>AFB-U</v>
      </c>
      <c r="N195" s="37" t="str">
        <f>IFERROR(_xlfn.XLOOKUP(H195,'[1]SIG Level Structure'!D:D,'[1]SIG Level Structure'!C:C),"--")</f>
        <v>Assistant / Analyst</v>
      </c>
      <c r="O195" s="38" t="str">
        <f>IFERROR(TRIM(N195&amp;" "&amp;C195),"--")</f>
        <v>Assistant / Analyst Accounting</v>
      </c>
      <c r="P195" s="22" t="str">
        <f>_xlfn.XLOOKUP(E195,'[1]SIG Job Families &amp; Descriptions'!A:A,'[1]SIG Job Families &amp; Descriptions'!G:G)</f>
        <v>Performs general accounting activities, including the preparation, maintenance and reconciliation of ledger accounts and financial statements such as balance sheets, profit-and-loss statements and capital expenditure schedules. Prepares, records, analyzes and reports accounting transactions and ensures the integrity of accounting records for completeness, accuracy and compliance with accepted accounting policies and principles. Analyzes and prepares statutory accounts, financial statements and reports. Conducts or assists in the documentation of accounting projects.</v>
      </c>
      <c r="Q195" s="39" t="str">
        <f>_xlfn.XLOOKUP(E195,'[1]2022 GI Position Descriptions'!E:E,'[1]2022 GI Position Descriptions'!G:G)</f>
        <v>Establishes and maintains accounting policies and controls, fiscal controls, preparing financial reports and safeguarding the organization's assets | Responsibilities are within the Accounting Function as a generalist or in a combination of Disciplines</v>
      </c>
      <c r="R195" s="22" t="str">
        <f>IF(LEFT(J195,1)="E","EX",LEFT(J195,1))</f>
        <v>U</v>
      </c>
      <c r="S195" s="22" t="str">
        <f>_xlfn.XLOOKUP($R195,'[1]Career Bands &amp; Levels'!A:A,'[1]Career Bands &amp; Levels'!C:C)</f>
        <v>● Performs clerical/administrative or specialized support tasks in an office, field or retail store/site setting
● May require vocational training or the equivalent experience, but does not require a university degree</v>
      </c>
      <c r="T195" s="22" t="str">
        <f>J195</f>
        <v>U3</v>
      </c>
      <c r="U195" s="40" t="str">
        <f t="shared" ref="U195:U258" si="7">T195</f>
        <v>U3</v>
      </c>
      <c r="V195" s="22" t="str">
        <f>_xlfn.XLOOKUP(T195,'[1]Career Bands &amp; Levels'!A:A,'[1]Career Bands &amp; Levels'!C:C)</f>
        <v xml:space="preserve">●	Has full proficiency gained through job-related training and considerable work experience		
●	Completes work with a limited degree of supervision		
●	Likely to act as an informal resource for colleagues with less experience		
●	Identifies key issues and patterns from partial/conflicting data		
●	Takes a broad perspective to problems and spots new, less obvious solutions		</v>
      </c>
      <c r="W195" s="41" t="str">
        <f>J195&amp;"-"&amp;G195</f>
        <v>U3-07</v>
      </c>
      <c r="X195" s="42" t="str">
        <f>G195</f>
        <v>07</v>
      </c>
      <c r="Y195" s="22" t="str">
        <f>_xlfn.XLOOKUP(W195,'[1]Career Bands &amp; Levels'!A:A,'[1]Career Bands &amp; Levels'!C:C,"No Grade Differentiator")</f>
        <v>No Grade Differentiator</v>
      </c>
      <c r="Z195" s="43" t="str">
        <f>IFERROR(O195&amp;" - "&amp;G195,"--")</f>
        <v>Assistant / Analyst Accounting - 07</v>
      </c>
      <c r="AA195" s="44" t="str">
        <f>_xlfn.XLOOKUP($H195,'[1]SIG Qualifications Input'!$D:$D,'[1]SIG Qualifications Input'!$H:$H)</f>
        <v>Vocational training in e.g. commercial field or equivalent work experience. Up to 5 years of experience, possibly further internal trainings.</v>
      </c>
    </row>
    <row r="196" spans="1:27" ht="169" thickBot="1" x14ac:dyDescent="0.2">
      <c r="A196" s="34" t="str">
        <f>_xlfn.XLOOKUP(C196,'[1]SIG Job Families &amp; Descriptions'!F:F,'[1]SIG Job Families &amp; Descriptions'!B:B)</f>
        <v>Finance</v>
      </c>
      <c r="B196" s="34" t="str">
        <f>_xlfn.XLOOKUP(C196,'[1]SIG Job Families &amp; Descriptions'!F:F,'[1]SIG Job Families &amp; Descriptions'!D:D)</f>
        <v>Accounting</v>
      </c>
      <c r="C196" s="34" t="s">
        <v>70</v>
      </c>
      <c r="D196" s="30" t="str">
        <f t="shared" si="6"/>
        <v>AFB</v>
      </c>
      <c r="E196" s="31" t="str">
        <f>_xlfn.XLOOKUP(C196,'[1]SIG Job Families &amp; Descriptions'!F:F,'[1]SIG Job Families &amp; Descriptions'!A:A)</f>
        <v>AFB000</v>
      </c>
      <c r="F196" s="32" t="s">
        <v>32</v>
      </c>
      <c r="G196" s="33" t="s">
        <v>54</v>
      </c>
      <c r="H196" s="34" t="str">
        <f>F196&amp;"-"&amp;G196</f>
        <v>Professional-05</v>
      </c>
      <c r="I196" s="35" t="str">
        <f>IF(ISERROR(_xlfn.XLOOKUP(H196,'[1]SIG Level Structure'!D:D,'[1]SIG Level Structure'!D:D)),"0","1")</f>
        <v>1</v>
      </c>
      <c r="J196" s="36" t="str">
        <f>_xlfn.XLOOKUP($H196,'[1]SIG Level Structure'!$D:$D,'[1]SIG Level Structure'!F:F)</f>
        <v>U2</v>
      </c>
      <c r="K196" s="37" t="str">
        <f>E196&amp;"-"&amp;J196&amp;"-"&amp;G196</f>
        <v>AFB000-U2-05</v>
      </c>
      <c r="L196" s="37" t="str">
        <f>IFERROR(D196&amp;"-"&amp;LEFT(J196,1),"--")</f>
        <v>AFB-U</v>
      </c>
      <c r="M196" s="37" t="str">
        <f>VLOOKUP(L196,'[1]Compatible JC'!$A:$A,1,FALSE)</f>
        <v>AFB-U</v>
      </c>
      <c r="N196" s="37" t="str">
        <f>IFERROR(_xlfn.XLOOKUP(H196,'[1]SIG Level Structure'!D:D,'[1]SIG Level Structure'!C:C),"--")</f>
        <v>Assistant / Analyst</v>
      </c>
      <c r="O196" s="38" t="str">
        <f>IFERROR(TRIM(N196&amp;" "&amp;C196),"--")</f>
        <v>Assistant / Analyst Accounting</v>
      </c>
      <c r="P196" s="22" t="str">
        <f>_xlfn.XLOOKUP(E196,'[1]SIG Job Families &amp; Descriptions'!A:A,'[1]SIG Job Families &amp; Descriptions'!G:G)</f>
        <v>Performs general accounting activities, including the preparation, maintenance and reconciliation of ledger accounts and financial statements such as balance sheets, profit-and-loss statements and capital expenditure schedules. Prepares, records, analyzes and reports accounting transactions and ensures the integrity of accounting records for completeness, accuracy and compliance with accepted accounting policies and principles. Analyzes and prepares statutory accounts, financial statements and reports. Conducts or assists in the documentation of accounting projects.</v>
      </c>
      <c r="Q196" s="39" t="str">
        <f>_xlfn.XLOOKUP(E196,'[1]2022 GI Position Descriptions'!E:E,'[1]2022 GI Position Descriptions'!G:G)</f>
        <v>Establishes and maintains accounting policies and controls, fiscal controls, preparing financial reports and safeguarding the organization's assets | Responsibilities are within the Accounting Function as a generalist or in a combination of Disciplines</v>
      </c>
      <c r="R196" s="22" t="str">
        <f>IF(LEFT(J196,1)="E","EX",LEFT(J196,1))</f>
        <v>U</v>
      </c>
      <c r="S196" s="22" t="str">
        <f>_xlfn.XLOOKUP($R196,'[1]Career Bands &amp; Levels'!A:A,'[1]Career Bands &amp; Levels'!C:C)</f>
        <v>● Performs clerical/administrative or specialized support tasks in an office, field or retail store/site setting
● May require vocational training or the equivalent experience, but does not require a university degree</v>
      </c>
      <c r="T196" s="22" t="str">
        <f>J196</f>
        <v>U2</v>
      </c>
      <c r="U196" s="40" t="str">
        <f t="shared" si="7"/>
        <v>U2</v>
      </c>
      <c r="V196" s="22" t="str">
        <f>_xlfn.XLOOKUP(T196,'[1]Career Bands &amp; Levels'!A:A,'[1]Career Bands &amp; Levels'!C:C)</f>
        <v xml:space="preserve">●	Has working knowledge and skills developed through formal training or work experience		
●	Works within established procedures with a moderate degree of supervision		
●	Identifies the problem and all relevant issues in straightforward situations, assesses each using standard procedures and makes sound decisions		</v>
      </c>
      <c r="W196" s="41" t="str">
        <f>J196&amp;"-"&amp;G196</f>
        <v>U2-05</v>
      </c>
      <c r="X196" s="42" t="str">
        <f>G196</f>
        <v>05</v>
      </c>
      <c r="Y196" s="22" t="str">
        <f>_xlfn.XLOOKUP(W196,'[1]Career Bands &amp; Levels'!A:A,'[1]Career Bands &amp; Levels'!C:C,"No Grade Differentiator")</f>
        <v xml:space="preserve">●	Has limited prior relevant training or work experience		
●	Has limited discretion to vary from established procedures		</v>
      </c>
      <c r="Z196" s="43" t="str">
        <f>IFERROR(O196&amp;" - "&amp;G196,"--")</f>
        <v>Assistant / Analyst Accounting - 05</v>
      </c>
      <c r="AA196" s="44" t="str">
        <f>_xlfn.XLOOKUP($H196,'[1]SIG Qualifications Input'!$D:$D,'[1]SIG Qualifications Input'!$H:$H)</f>
        <v>Vocational training in e.g. commercial field or equivalent work experience. Up to 5 years of experience, possibly further internal trainings.</v>
      </c>
    </row>
    <row r="197" spans="1:27" ht="281" thickBot="1" x14ac:dyDescent="0.2">
      <c r="A197" s="34" t="str">
        <f>_xlfn.XLOOKUP(C197,'[1]SIG Job Families &amp; Descriptions'!F:F,'[1]SIG Job Families &amp; Descriptions'!B:B)</f>
        <v>Finance</v>
      </c>
      <c r="B197" s="34" t="str">
        <f>_xlfn.XLOOKUP(C197,'[1]SIG Job Families &amp; Descriptions'!F:F,'[1]SIG Job Families &amp; Descriptions'!D:D)</f>
        <v>Controlling</v>
      </c>
      <c r="C197" s="34" t="s">
        <v>71</v>
      </c>
      <c r="D197" s="30" t="str">
        <f t="shared" si="6"/>
        <v>AFT</v>
      </c>
      <c r="E197" s="31" t="str">
        <f>_xlfn.XLOOKUP(C197,'[1]SIG Job Families &amp; Descriptions'!F:F,'[1]SIG Job Families &amp; Descriptions'!A:A)</f>
        <v>AFT010</v>
      </c>
      <c r="F197" s="32" t="s">
        <v>32</v>
      </c>
      <c r="G197" s="33" t="s">
        <v>54</v>
      </c>
      <c r="H197" s="34" t="str">
        <f>F197&amp;"-"&amp;G197</f>
        <v>Professional-05</v>
      </c>
      <c r="I197" s="35" t="str">
        <f>IF(ISERROR(_xlfn.XLOOKUP(H197,'[1]SIG Level Structure'!D:D,'[1]SIG Level Structure'!D:D)),"0","1")</f>
        <v>1</v>
      </c>
      <c r="J197" s="36" t="str">
        <f>_xlfn.XLOOKUP($H197,'[1]SIG Level Structure'!$D:$D,'[1]SIG Level Structure'!F:F)</f>
        <v>U2</v>
      </c>
      <c r="K197" s="37" t="str">
        <f>E197&amp;"-"&amp;J197&amp;"-"&amp;G197</f>
        <v>AFT010-U2-05</v>
      </c>
      <c r="L197" s="37" t="str">
        <f>IFERROR(D197&amp;"-"&amp;LEFT(J197,1),"--")</f>
        <v>AFT-U</v>
      </c>
      <c r="M197" s="37" t="str">
        <f>VLOOKUP(L197,'[1]Compatible JC'!$A:$A,1,FALSE)</f>
        <v>AFT-U</v>
      </c>
      <c r="N197" s="37" t="str">
        <f>IFERROR(_xlfn.XLOOKUP(H197,'[1]SIG Level Structure'!D:D,'[1]SIG Level Structure'!C:C),"--")</f>
        <v>Assistant / Analyst</v>
      </c>
      <c r="O197" s="38" t="str">
        <f>IFERROR(TRIM(N197&amp;" "&amp;C197),"--")</f>
        <v>Assistant / Analyst Controlling</v>
      </c>
      <c r="P197" s="22" t="str">
        <f>_xlfn.XLOOKUP(E197,'[1]SIG Job Families &amp; Descriptions'!A:A,'[1]SIG Job Families &amp; Descriptions'!G:G)</f>
        <v>Responsible for preparing and monitoring the organization’s budget or for establishing and implementing budgeting systems and procedures. Assignments typically include budget planning and controlling, integrated financial planning, conducting analysis of business operations and opportunities, and preparing forecasts and management reportings. 
Performs economic research and studies of rates of return, depreciation and investments. Analyzes profit-and-loss income statements and prepares reports and recommendations to management. Generates forecasts and analyzes trends in sales, finance and other areas of business. Researches economic progressions to assist the organization's financial planning. Creates financial models of "what if" scenarios for future business planning decisions in areas such as new product development, new marketing strategies, etc.</v>
      </c>
      <c r="Q197" s="39" t="str">
        <f>_xlfn.XLOOKUP(E197,'[1]2022 GI Position Descriptions'!E:E,'[1]2022 GI Position Descriptions'!G:G)</f>
        <v>Performs economic research and studies of rates of return, depreciation and investments | Analyzes profit-and-loss income statements and prepares reports and recommendations to management | Generates forecasts and analyzes trends in sales, finance and other areas of business | Researches economic progressions to assist the organization's financial planning | Creates financial models of "what if" scenarios for future business planning decisions in areas such as new product development, new marketing strategies, etc.</v>
      </c>
      <c r="R197" s="22" t="str">
        <f>IF(LEFT(J197,1)="E","EX",LEFT(J197,1))</f>
        <v>U</v>
      </c>
      <c r="S197" s="22" t="str">
        <f>_xlfn.XLOOKUP($R197,'[1]Career Bands &amp; Levels'!A:A,'[1]Career Bands &amp; Levels'!C:C)</f>
        <v>● Performs clerical/administrative or specialized support tasks in an office, field or retail store/site setting
● May require vocational training or the equivalent experience, but does not require a university degree</v>
      </c>
      <c r="T197" s="22" t="str">
        <f>J197</f>
        <v>U2</v>
      </c>
      <c r="U197" s="40" t="str">
        <f t="shared" si="7"/>
        <v>U2</v>
      </c>
      <c r="V197" s="22" t="str">
        <f>_xlfn.XLOOKUP(T197,'[1]Career Bands &amp; Levels'!A:A,'[1]Career Bands &amp; Levels'!C:C)</f>
        <v xml:space="preserve">●	Has working knowledge and skills developed through formal training or work experience		
●	Works within established procedures with a moderate degree of supervision		
●	Identifies the problem and all relevant issues in straightforward situations, assesses each using standard procedures and makes sound decisions		</v>
      </c>
      <c r="W197" s="41" t="str">
        <f>J197&amp;"-"&amp;G197</f>
        <v>U2-05</v>
      </c>
      <c r="X197" s="42" t="str">
        <f>G197</f>
        <v>05</v>
      </c>
      <c r="Y197" s="22" t="str">
        <f>_xlfn.XLOOKUP(W197,'[1]Career Bands &amp; Levels'!A:A,'[1]Career Bands &amp; Levels'!C:C,"No Grade Differentiator")</f>
        <v xml:space="preserve">●	Has limited prior relevant training or work experience		
●	Has limited discretion to vary from established procedures		</v>
      </c>
      <c r="Z197" s="43" t="str">
        <f>IFERROR(O197&amp;" - "&amp;G197,"--")</f>
        <v>Assistant / Analyst Controlling - 05</v>
      </c>
      <c r="AA197" s="44" t="str">
        <f>_xlfn.XLOOKUP($H197,'[1]SIG Qualifications Input'!$D:$D,'[1]SIG Qualifications Input'!$H:$H)</f>
        <v>Vocational training in e.g. commercial field or equivalent work experience. Up to 5 years of experience, possibly further internal trainings.</v>
      </c>
    </row>
    <row r="198" spans="1:27" ht="281" thickBot="1" x14ac:dyDescent="0.2">
      <c r="A198" s="34" t="str">
        <f>_xlfn.XLOOKUP(C198,'[1]SIG Job Families &amp; Descriptions'!F:F,'[1]SIG Job Families &amp; Descriptions'!B:B)</f>
        <v>Finance</v>
      </c>
      <c r="B198" s="34" t="str">
        <f>_xlfn.XLOOKUP(C198,'[1]SIG Job Families &amp; Descriptions'!F:F,'[1]SIG Job Families &amp; Descriptions'!D:D)</f>
        <v>Controlling</v>
      </c>
      <c r="C198" s="34" t="s">
        <v>71</v>
      </c>
      <c r="D198" s="30" t="str">
        <f t="shared" si="6"/>
        <v>AFT</v>
      </c>
      <c r="E198" s="31" t="str">
        <f>_xlfn.XLOOKUP(C198,'[1]SIG Job Families &amp; Descriptions'!F:F,'[1]SIG Job Families &amp; Descriptions'!A:A)</f>
        <v>AFT010</v>
      </c>
      <c r="F198" s="32" t="s">
        <v>32</v>
      </c>
      <c r="G198" s="33" t="s">
        <v>53</v>
      </c>
      <c r="H198" s="34" t="str">
        <f>F198&amp;"-"&amp;G198</f>
        <v>Professional-06</v>
      </c>
      <c r="I198" s="35" t="str">
        <f>IF(ISERROR(_xlfn.XLOOKUP(H198,'[1]SIG Level Structure'!D:D,'[1]SIG Level Structure'!D:D)),"0","1")</f>
        <v>1</v>
      </c>
      <c r="J198" s="36" t="str">
        <f>_xlfn.XLOOKUP($H198,'[1]SIG Level Structure'!$D:$D,'[1]SIG Level Structure'!F:F)</f>
        <v>U2</v>
      </c>
      <c r="K198" s="37" t="str">
        <f>E198&amp;"-"&amp;J198&amp;"-"&amp;G198</f>
        <v>AFT010-U2-06</v>
      </c>
      <c r="L198" s="37" t="str">
        <f>IFERROR(D198&amp;"-"&amp;LEFT(J198,1),"--")</f>
        <v>AFT-U</v>
      </c>
      <c r="M198" s="37" t="str">
        <f>VLOOKUP(L198,'[1]Compatible JC'!$A:$A,1,FALSE)</f>
        <v>AFT-U</v>
      </c>
      <c r="N198" s="37" t="str">
        <f>IFERROR(_xlfn.XLOOKUP(H198,'[1]SIG Level Structure'!D:D,'[1]SIG Level Structure'!C:C),"--")</f>
        <v>Assistant / Analyst</v>
      </c>
      <c r="O198" s="38" t="str">
        <f>IFERROR(TRIM(N198&amp;" "&amp;C198),"--")</f>
        <v>Assistant / Analyst Controlling</v>
      </c>
      <c r="P198" s="22" t="str">
        <f>_xlfn.XLOOKUP(E198,'[1]SIG Job Families &amp; Descriptions'!A:A,'[1]SIG Job Families &amp; Descriptions'!G:G)</f>
        <v>Responsible for preparing and monitoring the organization’s budget or for establishing and implementing budgeting systems and procedures. Assignments typically include budget planning and controlling, integrated financial planning, conducting analysis of business operations and opportunities, and preparing forecasts and management reportings. 
Performs economic research and studies of rates of return, depreciation and investments. Analyzes profit-and-loss income statements and prepares reports and recommendations to management. Generates forecasts and analyzes trends in sales, finance and other areas of business. Researches economic progressions to assist the organization's financial planning. Creates financial models of "what if" scenarios for future business planning decisions in areas such as new product development, new marketing strategies, etc.</v>
      </c>
      <c r="Q198" s="39" t="str">
        <f>_xlfn.XLOOKUP(E198,'[1]2022 GI Position Descriptions'!E:E,'[1]2022 GI Position Descriptions'!G:G)</f>
        <v>Performs economic research and studies of rates of return, depreciation and investments | Analyzes profit-and-loss income statements and prepares reports and recommendations to management | Generates forecasts and analyzes trends in sales, finance and other areas of business | Researches economic progressions to assist the organization's financial planning | Creates financial models of "what if" scenarios for future business planning decisions in areas such as new product development, new marketing strategies, etc.</v>
      </c>
      <c r="R198" s="22" t="str">
        <f>IF(LEFT(J198,1)="E","EX",LEFT(J198,1))</f>
        <v>U</v>
      </c>
      <c r="S198" s="22" t="str">
        <f>_xlfn.XLOOKUP($R198,'[1]Career Bands &amp; Levels'!A:A,'[1]Career Bands &amp; Levels'!C:C)</f>
        <v>● Performs clerical/administrative or specialized support tasks in an office, field or retail store/site setting
● May require vocational training or the equivalent experience, but does not require a university degree</v>
      </c>
      <c r="T198" s="22" t="str">
        <f>J198</f>
        <v>U2</v>
      </c>
      <c r="U198" s="40" t="str">
        <f t="shared" si="7"/>
        <v>U2</v>
      </c>
      <c r="V198" s="22" t="str">
        <f>_xlfn.XLOOKUP(T198,'[1]Career Bands &amp; Levels'!A:A,'[1]Career Bands &amp; Levels'!C:C)</f>
        <v xml:space="preserve">●	Has working knowledge and skills developed through formal training or work experience		
●	Works within established procedures with a moderate degree of supervision		
●	Identifies the problem and all relevant issues in straightforward situations, assesses each using standard procedures and makes sound decisions		</v>
      </c>
      <c r="W198" s="41" t="str">
        <f>J198&amp;"-"&amp;G198</f>
        <v>U2-06</v>
      </c>
      <c r="X198" s="42" t="str">
        <f>G198</f>
        <v>06</v>
      </c>
      <c r="Y198" s="22" t="str">
        <f>_xlfn.XLOOKUP(W198,'[1]Career Bands &amp; Levels'!A:A,'[1]Career Bands &amp; Levels'!C:C,"No Grade Differentiator")</f>
        <v xml:space="preserve">●	Has prior relevant training or related work experience		
●	Performs routine tasks following specific instructions or under close supervision		
●	Work is clearly defined and completed according to instruction		</v>
      </c>
      <c r="Z198" s="43" t="str">
        <f>IFERROR(O198&amp;" - "&amp;G198,"--")</f>
        <v>Assistant / Analyst Controlling - 06</v>
      </c>
      <c r="AA198" s="44" t="str">
        <f>_xlfn.XLOOKUP($H198,'[1]SIG Qualifications Input'!$D:$D,'[1]SIG Qualifications Input'!$H:$H)</f>
        <v>Vocational training in e.g. commercial field or equivalent work experience. Up to 5 years of experience, possibly further internal trainings.</v>
      </c>
    </row>
    <row r="199" spans="1:27" ht="258.75" customHeight="1" thickBot="1" x14ac:dyDescent="0.2">
      <c r="A199" s="34" t="str">
        <f>_xlfn.XLOOKUP(C199,'[1]SIG Job Families &amp; Descriptions'!F:F,'[1]SIG Job Families &amp; Descriptions'!B:B)</f>
        <v>Finance</v>
      </c>
      <c r="B199" s="34" t="str">
        <f>_xlfn.XLOOKUP(C199,'[1]SIG Job Families &amp; Descriptions'!F:F,'[1]SIG Job Families &amp; Descriptions'!D:D)</f>
        <v>Controlling</v>
      </c>
      <c r="C199" s="34" t="s">
        <v>71</v>
      </c>
      <c r="D199" s="30" t="str">
        <f t="shared" si="6"/>
        <v>AFT</v>
      </c>
      <c r="E199" s="31" t="str">
        <f>_xlfn.XLOOKUP(C199,'[1]SIG Job Families &amp; Descriptions'!F:F,'[1]SIG Job Families &amp; Descriptions'!A:A)</f>
        <v>AFT010</v>
      </c>
      <c r="F199" s="32" t="s">
        <v>32</v>
      </c>
      <c r="G199" s="33" t="s">
        <v>52</v>
      </c>
      <c r="H199" s="34" t="str">
        <f>F199&amp;"-"&amp;G199</f>
        <v>Professional-07</v>
      </c>
      <c r="I199" s="35" t="str">
        <f>IF(ISERROR(_xlfn.XLOOKUP(H199,'[1]SIG Level Structure'!D:D,'[1]SIG Level Structure'!D:D)),"0","1")</f>
        <v>1</v>
      </c>
      <c r="J199" s="36" t="str">
        <f>_xlfn.XLOOKUP($H199,'[1]SIG Level Structure'!$D:$D,'[1]SIG Level Structure'!F:F)</f>
        <v>U3</v>
      </c>
      <c r="K199" s="37" t="str">
        <f>E199&amp;"-"&amp;J199&amp;"-"&amp;G199</f>
        <v>AFT010-U3-07</v>
      </c>
      <c r="L199" s="37" t="str">
        <f>IFERROR(D199&amp;"-"&amp;LEFT(J199,1),"--")</f>
        <v>AFT-U</v>
      </c>
      <c r="M199" s="37" t="str">
        <f>VLOOKUP(L199,'[1]Compatible JC'!$A:$A,1,FALSE)</f>
        <v>AFT-U</v>
      </c>
      <c r="N199" s="37" t="str">
        <f>IFERROR(_xlfn.XLOOKUP(H199,'[1]SIG Level Structure'!D:D,'[1]SIG Level Structure'!C:C),"--")</f>
        <v>Assistant / Analyst</v>
      </c>
      <c r="O199" s="38" t="str">
        <f>IFERROR(TRIM(N199&amp;" "&amp;C199),"--")</f>
        <v>Assistant / Analyst Controlling</v>
      </c>
      <c r="P199" s="22" t="str">
        <f>_xlfn.XLOOKUP(E199,'[1]SIG Job Families &amp; Descriptions'!A:A,'[1]SIG Job Families &amp; Descriptions'!G:G)</f>
        <v>Responsible for preparing and monitoring the organization’s budget or for establishing and implementing budgeting systems and procedures. Assignments typically include budget planning and controlling, integrated financial planning, conducting analysis of business operations and opportunities, and preparing forecasts and management reportings. 
Performs economic research and studies of rates of return, depreciation and investments. Analyzes profit-and-loss income statements and prepares reports and recommendations to management. Generates forecasts and analyzes trends in sales, finance and other areas of business. Researches economic progressions to assist the organization's financial planning. Creates financial models of "what if" scenarios for future business planning decisions in areas such as new product development, new marketing strategies, etc.</v>
      </c>
      <c r="Q199" s="39" t="str">
        <f>_xlfn.XLOOKUP(E199,'[1]2022 GI Position Descriptions'!E:E,'[1]2022 GI Position Descriptions'!G:G)</f>
        <v>Performs economic research and studies of rates of return, depreciation and investments | Analyzes profit-and-loss income statements and prepares reports and recommendations to management | Generates forecasts and analyzes trends in sales, finance and other areas of business | Researches economic progressions to assist the organization's financial planning | Creates financial models of "what if" scenarios for future business planning decisions in areas such as new product development, new marketing strategies, etc.</v>
      </c>
      <c r="R199" s="22" t="str">
        <f>IF(LEFT(J199,1)="E","EX",LEFT(J199,1))</f>
        <v>U</v>
      </c>
      <c r="S199" s="22" t="str">
        <f>_xlfn.XLOOKUP($R199,'[1]Career Bands &amp; Levels'!A:A,'[1]Career Bands &amp; Levels'!C:C)</f>
        <v>● Performs clerical/administrative or specialized support tasks in an office, field or retail store/site setting
● May require vocational training or the equivalent experience, but does not require a university degree</v>
      </c>
      <c r="T199" s="22" t="str">
        <f>J199</f>
        <v>U3</v>
      </c>
      <c r="U199" s="40" t="str">
        <f t="shared" si="7"/>
        <v>U3</v>
      </c>
      <c r="V199" s="22" t="str">
        <f>_xlfn.XLOOKUP(T199,'[1]Career Bands &amp; Levels'!A:A,'[1]Career Bands &amp; Levels'!C:C)</f>
        <v xml:space="preserve">●	Has full proficiency gained through job-related training and considerable work experience		
●	Completes work with a limited degree of supervision		
●	Likely to act as an informal resource for colleagues with less experience		
●	Identifies key issues and patterns from partial/conflicting data		
●	Takes a broad perspective to problems and spots new, less obvious solutions		</v>
      </c>
      <c r="W199" s="41" t="str">
        <f>J199&amp;"-"&amp;G199</f>
        <v>U3-07</v>
      </c>
      <c r="X199" s="42" t="str">
        <f>G199</f>
        <v>07</v>
      </c>
      <c r="Y199" s="22" t="str">
        <f>_xlfn.XLOOKUP(W199,'[1]Career Bands &amp; Levels'!A:A,'[1]Career Bands &amp; Levels'!C:C,"No Grade Differentiator")</f>
        <v>No Grade Differentiator</v>
      </c>
      <c r="Z199" s="43" t="str">
        <f>IFERROR(O199&amp;" - "&amp;G199,"--")</f>
        <v>Assistant / Analyst Controlling - 07</v>
      </c>
      <c r="AA199" s="44" t="str">
        <f>_xlfn.XLOOKUP($H199,'[1]SIG Qualifications Input'!$D:$D,'[1]SIG Qualifications Input'!$H:$H)</f>
        <v>Vocational training in e.g. commercial field or equivalent work experience. Up to 5 years of experience, possibly further internal trainings.</v>
      </c>
    </row>
    <row r="200" spans="1:27" ht="183" thickBot="1" x14ac:dyDescent="0.2">
      <c r="A200" s="34" t="str">
        <f>_xlfn.XLOOKUP(C200,'[1]SIG Job Families &amp; Descriptions'!F:F,'[1]SIG Job Families &amp; Descriptions'!B:B)</f>
        <v>Finance</v>
      </c>
      <c r="B200" s="34" t="str">
        <f>_xlfn.XLOOKUP(C200,'[1]SIG Job Families &amp; Descriptions'!F:F,'[1]SIG Job Families &amp; Descriptions'!D:D)</f>
        <v>Tax</v>
      </c>
      <c r="C200" s="34" t="s">
        <v>72</v>
      </c>
      <c r="D200" s="30" t="str">
        <f t="shared" si="6"/>
        <v>AFT</v>
      </c>
      <c r="E200" s="31" t="str">
        <f>_xlfn.XLOOKUP(C200,'[1]SIG Job Families &amp; Descriptions'!F:F,'[1]SIG Job Families &amp; Descriptions'!A:A)</f>
        <v>AFT050</v>
      </c>
      <c r="F200" s="32" t="s">
        <v>32</v>
      </c>
      <c r="G200" s="33" t="s">
        <v>43</v>
      </c>
      <c r="H200" s="34" t="str">
        <f>F200&amp;"-"&amp;G200</f>
        <v>Professional-08</v>
      </c>
      <c r="I200" s="35" t="str">
        <f>IF(ISERROR(_xlfn.XLOOKUP(H200,'[1]SIG Level Structure'!D:D,'[1]SIG Level Structure'!D:D)),"0","1")</f>
        <v>1</v>
      </c>
      <c r="J200" s="36" t="str">
        <f>_xlfn.XLOOKUP($H200,'[1]SIG Level Structure'!$D:$D,'[1]SIG Level Structure'!F:F)</f>
        <v>P1</v>
      </c>
      <c r="K200" s="37" t="str">
        <f>E200&amp;"-"&amp;J200&amp;"-"&amp;G200</f>
        <v>AFT050-P1-08</v>
      </c>
      <c r="L200" s="37" t="str">
        <f>IFERROR(D200&amp;"-"&amp;LEFT(J200,1),"--")</f>
        <v>AFT-P</v>
      </c>
      <c r="M200" s="37" t="str">
        <f>VLOOKUP(L200,'[1]Compatible JC'!$A:$A,1,FALSE)</f>
        <v>AFT-P</v>
      </c>
      <c r="N200" s="37" t="str">
        <f>IFERROR(_xlfn.XLOOKUP(H200,'[1]SIG Level Structure'!D:D,'[1]SIG Level Structure'!C:C),"--")</f>
        <v>Specialist</v>
      </c>
      <c r="O200" s="38" t="str">
        <f>IFERROR(TRIM(N200&amp;" "&amp;C200),"--")</f>
        <v>Specialist Tax</v>
      </c>
      <c r="P200" s="22" t="str">
        <f>_xlfn.XLOOKUP(E200,'[1]SIG Job Families &amp; Descriptions'!A:A,'[1]SIG Job Families &amp; Descriptions'!G:G)</f>
        <v xml:space="preserve">Design, develops and implements tax strategy for the organization taking into account analyses of existing and upcoming tax legislation. Prepares and maintains tex record, returns, reports and other relatied material. Devise legal means to minimize tax liability and recommends respective alternative tax treatments to alleviate or reduce tax burden. Conducts research as necessary to advise management of the tax implications resulting from projected organizational actions. May be responsible for tax accounting.
</v>
      </c>
      <c r="Q200" s="39" t="str">
        <f>_xlfn.XLOOKUP(E200,'[1]2022 GI Position Descriptions'!E:E,'[1]2022 GI Position Descriptions'!G:G)</f>
        <v>Prepares and maintains tax records, returns, reports and other related materials | Recommends alternative tax treatments to alleviate or reduce tax burden | May be responsible for tax accounting</v>
      </c>
      <c r="R200" s="22" t="str">
        <f>IF(LEFT(J200,1)="E","EX",LEFT(J200,1))</f>
        <v>P</v>
      </c>
      <c r="S200" s="22" t="str">
        <f>_xlfn.XLOOKUP($R200,'[1]Career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00" s="22" t="str">
        <f>J200</f>
        <v>P1</v>
      </c>
      <c r="U200" s="40" t="str">
        <f t="shared" si="7"/>
        <v>P1</v>
      </c>
      <c r="V200" s="22" t="str">
        <f>_xlfn.XLOOKUP(T200,'[1]Career Bands &amp; Levels'!A:A,'[1]Career Bands &amp; Levels'!C:C)</f>
        <v xml:space="preserve">●	Performs routine assignments in the entry level of the Professional Career Band		
●	Typically requires a college or university degree or the equivalent work experience and has conceptual knowledge of fundamental theories, principles and practices 		
●	Has no discretion to vary from established procedures by performing structured work assignments		
●	Uses existing procedures to solve routine or standard problems		
●	Receives instruction, guidance and direction from more senior level roles		</v>
      </c>
      <c r="W200" s="41" t="str">
        <f>J200&amp;"-"&amp;G200</f>
        <v>P1-08</v>
      </c>
      <c r="X200" s="42" t="str">
        <f>G200</f>
        <v>08</v>
      </c>
      <c r="Y200" s="22" t="str">
        <f>_xlfn.XLOOKUP(W200,'[1]Career Bands &amp; Levels'!A:A,'[1]Career Bands &amp; Levels'!C:C,"No Grade Differentiator")</f>
        <v>No Grade Differentiator</v>
      </c>
      <c r="Z200" s="43" t="str">
        <f>IFERROR(O200&amp;" - "&amp;G200,"--")</f>
        <v>Specialist Tax - 08</v>
      </c>
      <c r="AA200" s="44" t="str">
        <f>_xlfn.XLOOKUP($H200,'[1]SIG Qualifications Input'!$D:$D,'[1]SIG Qualifications Input'!$H:$H)</f>
        <v>University degree or equivalent and 0-1 year of work experience or equivalent</v>
      </c>
    </row>
    <row r="201" spans="1:27" ht="169" thickBot="1" x14ac:dyDescent="0.2">
      <c r="A201" s="34" t="str">
        <f>_xlfn.XLOOKUP(C201,'[1]SIG Job Families &amp; Descriptions'!F:F,'[1]SIG Job Families &amp; Descriptions'!B:B)</f>
        <v>Finance</v>
      </c>
      <c r="B201" s="34" t="str">
        <f>_xlfn.XLOOKUP(C201,'[1]SIG Job Families &amp; Descriptions'!F:F,'[1]SIG Job Families &amp; Descriptions'!D:D)</f>
        <v>Treasury</v>
      </c>
      <c r="C201" s="34" t="s">
        <v>73</v>
      </c>
      <c r="D201" s="30" t="str">
        <f t="shared" si="6"/>
        <v>AFT</v>
      </c>
      <c r="E201" s="31" t="str">
        <f>_xlfn.XLOOKUP(C201,'[1]SIG Job Families &amp; Descriptions'!F:F,'[1]SIG Job Families &amp; Descriptions'!A:A)</f>
        <v>AFT030</v>
      </c>
      <c r="F201" s="32" t="s">
        <v>32</v>
      </c>
      <c r="G201" s="33" t="s">
        <v>33</v>
      </c>
      <c r="H201" s="34" t="str">
        <f>F201&amp;"-"&amp;G201</f>
        <v>Professional-13</v>
      </c>
      <c r="I201" s="35" t="str">
        <f>IF(ISERROR(_xlfn.XLOOKUP(H201,'[1]SIG Level Structure'!D:D,'[1]SIG Level Structure'!D:D)),"0","1")</f>
        <v>1</v>
      </c>
      <c r="J201" s="36" t="str">
        <f>_xlfn.XLOOKUP($H201,'[1]SIG Level Structure'!$D:$D,'[1]SIG Level Structure'!F:F)</f>
        <v>P4</v>
      </c>
      <c r="K201" s="37" t="str">
        <f>E201&amp;"-"&amp;J201&amp;"-"&amp;G201</f>
        <v>AFT030-P4-13</v>
      </c>
      <c r="L201" s="37" t="str">
        <f>IFERROR(D201&amp;"-"&amp;LEFT(J201,1),"--")</f>
        <v>AFT-P</v>
      </c>
      <c r="M201" s="37" t="str">
        <f>VLOOKUP(L201,'[1]Compatible JC'!$A:$A,1,FALSE)</f>
        <v>AFT-P</v>
      </c>
      <c r="N201" s="37" t="str">
        <f>IFERROR(_xlfn.XLOOKUP(H201,'[1]SIG Level Structure'!D:D,'[1]SIG Level Structure'!C:C),"--")</f>
        <v>Senior Expert</v>
      </c>
      <c r="O201" s="38" t="str">
        <f>IFERROR(TRIM(N201&amp;" "&amp;C201),"--")</f>
        <v>Senior Expert Treasury</v>
      </c>
      <c r="P201" s="22" t="str">
        <f>_xlfn.XLOOKUP(E201,'[1]SIG Job Families &amp; Descriptions'!A:A,'[1]SIG Job Families &amp; Descriptions'!G:G)</f>
        <v>Performs treasury operations involving cash funds, foreign exchange, debt and capital management. Provides analytical and technical support to treasury-related activities.</v>
      </c>
      <c r="Q201" s="39" t="str">
        <f>_xlfn.XLOOKUP(E201,'[1]2022 GI Position Descriptions'!E:E,'[1]2022 GI Position Descriptions'!G:G)</f>
        <v>Performs treasury operations involving cash funds, foreign exchange, debt and capital management | Provides analytical and technical support to treasury-related activities</v>
      </c>
      <c r="R201" s="22" t="str">
        <f>IF(LEFT(J201,1)="E","EX",LEFT(J201,1))</f>
        <v>P</v>
      </c>
      <c r="S201" s="22" t="str">
        <f>_xlfn.XLOOKUP($R201,'[1]Career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01" s="22" t="str">
        <f>J201</f>
        <v>P4</v>
      </c>
      <c r="U201" s="40" t="str">
        <f t="shared" si="7"/>
        <v>P4</v>
      </c>
      <c r="V201" s="22" t="str">
        <f>_xlfn.XLOOKUP(T201,'[1]Career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201" s="41" t="str">
        <f>J201&amp;"-"&amp;G201</f>
        <v>P4-13</v>
      </c>
      <c r="X201" s="42" t="str">
        <f>G201</f>
        <v>13</v>
      </c>
      <c r="Y201" s="22" t="str">
        <f>_xlfn.XLOOKUP(W201,'[1]Career Bands &amp; Levels'!A:A,'[1]Career Bands &amp; Levels'!C:C,"No Grade Differentiator")</f>
        <v xml:space="preserve">●	Guides others in resolving complex issues in specialized area based on existing solutions and procedures		
●	Serves as an expert within own discipline		
●	May lead function teams or projects and serves as a best practices/quality resource		
●	Trains/mentors junior staff		</v>
      </c>
      <c r="Z201" s="43" t="str">
        <f>IFERROR(O201&amp;" - "&amp;G201,"--")</f>
        <v>Senior Expert Treasury - 13</v>
      </c>
      <c r="AA201" s="44" t="str">
        <f>_xlfn.XLOOKUP($H201,'[1]SIG Qualifications Input'!$D:$D,'[1]SIG Qualifications Input'!$H:$H)</f>
        <v>University degree or equivalent and 8-10 years of work experience or equivalent, 
Experience in functionally leading (sub-)projects / teams</v>
      </c>
    </row>
    <row r="202" spans="1:27" ht="169" thickBot="1" x14ac:dyDescent="0.2">
      <c r="A202" s="34" t="str">
        <f>_xlfn.XLOOKUP(C202,'[1]SIG Job Families &amp; Descriptions'!F:F,'[1]SIG Job Families &amp; Descriptions'!B:B)</f>
        <v>Finance</v>
      </c>
      <c r="B202" s="34" t="str">
        <f>_xlfn.XLOOKUP(C202,'[1]SIG Job Families &amp; Descriptions'!F:F,'[1]SIG Job Families &amp; Descriptions'!D:D)</f>
        <v>Treasury</v>
      </c>
      <c r="C202" s="34" t="s">
        <v>73</v>
      </c>
      <c r="D202" s="30" t="str">
        <f t="shared" si="6"/>
        <v>AFT</v>
      </c>
      <c r="E202" s="31" t="str">
        <f>_xlfn.XLOOKUP(C202,'[1]SIG Job Families &amp; Descriptions'!F:F,'[1]SIG Job Families &amp; Descriptions'!A:A)</f>
        <v>AFT030</v>
      </c>
      <c r="F202" s="32" t="s">
        <v>32</v>
      </c>
      <c r="G202" s="33" t="s">
        <v>31</v>
      </c>
      <c r="H202" s="34" t="str">
        <f>F202&amp;"-"&amp;G202</f>
        <v>Professional-14</v>
      </c>
      <c r="I202" s="35" t="str">
        <f>IF(ISERROR(_xlfn.XLOOKUP(H202,'[1]SIG Level Structure'!D:D,'[1]SIG Level Structure'!D:D)),"0","1")</f>
        <v>1</v>
      </c>
      <c r="J202" s="36" t="str">
        <f>_xlfn.XLOOKUP($H202,'[1]SIG Level Structure'!$D:$D,'[1]SIG Level Structure'!F:F)</f>
        <v>P4</v>
      </c>
      <c r="K202" s="37" t="str">
        <f>E202&amp;"-"&amp;J202&amp;"-"&amp;G202</f>
        <v>AFT030-P4-14</v>
      </c>
      <c r="L202" s="37" t="str">
        <f>IFERROR(D202&amp;"-"&amp;LEFT(J202,1),"--")</f>
        <v>AFT-P</v>
      </c>
      <c r="M202" s="37" t="str">
        <f>VLOOKUP(L202,'[1]Compatible JC'!$A:$A,1,FALSE)</f>
        <v>AFT-P</v>
      </c>
      <c r="N202" s="37" t="str">
        <f>IFERROR(_xlfn.XLOOKUP(H202,'[1]SIG Level Structure'!D:D,'[1]SIG Level Structure'!C:C),"--")</f>
        <v>Senior Expert</v>
      </c>
      <c r="O202" s="38" t="str">
        <f>IFERROR(TRIM(N202&amp;" "&amp;C202),"--")</f>
        <v>Senior Expert Treasury</v>
      </c>
      <c r="P202" s="22" t="str">
        <f>_xlfn.XLOOKUP(E202,'[1]SIG Job Families &amp; Descriptions'!A:A,'[1]SIG Job Families &amp; Descriptions'!G:G)</f>
        <v>Performs treasury operations involving cash funds, foreign exchange, debt and capital management. Provides analytical and technical support to treasury-related activities.</v>
      </c>
      <c r="Q202" s="39" t="str">
        <f>_xlfn.XLOOKUP(E202,'[1]2022 GI Position Descriptions'!E:E,'[1]2022 GI Position Descriptions'!G:G)</f>
        <v>Performs treasury operations involving cash funds, foreign exchange, debt and capital management | Provides analytical and technical support to treasury-related activities</v>
      </c>
      <c r="R202" s="22" t="str">
        <f>IF(LEFT(J202,1)="E","EX",LEFT(J202,1))</f>
        <v>P</v>
      </c>
      <c r="S202" s="22" t="str">
        <f>_xlfn.XLOOKUP($R202,'[1]Career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02" s="22" t="str">
        <f>J202</f>
        <v>P4</v>
      </c>
      <c r="U202" s="40" t="str">
        <f t="shared" si="7"/>
        <v>P4</v>
      </c>
      <c r="V202" s="22" t="str">
        <f>_xlfn.XLOOKUP(T202,'[1]Career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202" s="41" t="str">
        <f>J202&amp;"-"&amp;G202</f>
        <v>P4-14</v>
      </c>
      <c r="X202" s="42" t="str">
        <f>G202</f>
        <v>14</v>
      </c>
      <c r="Y202" s="22" t="str">
        <f>_xlfn.XLOOKUP(W202,'[1]Career Bands &amp; Levels'!A:A,'[1]Career Bands &amp; Levels'!C:C,"No Grade Differentiator")</f>
        <v xml:space="preserve">●	Guides others in resolving complex issues in own specialized area and solves complex problems with implications on cross-functional business processes and outcomes		
●	Serves as an advisor and applies knowledge of strategies that can be deployed within own function and discipline		
●	Applies working knowledge of the theories and concepts in other disciplines		
●	May lead teams or projects with broad visibility		</v>
      </c>
      <c r="Z202" s="43" t="str">
        <f>IFERROR(O202&amp;" - "&amp;G202,"--")</f>
        <v>Senior Expert Treasury - 14</v>
      </c>
      <c r="AA202" s="44" t="str">
        <f>_xlfn.XLOOKUP($H202,'[1]SIG Qualifications Input'!$D:$D,'[1]SIG Qualifications Input'!$H:$H)</f>
        <v>University degree or equivalent and 8-10 years of work experience or equivalent, 
Experience in functionally leading (sub-)projects / teams</v>
      </c>
    </row>
    <row r="203" spans="1:27" ht="169" thickBot="1" x14ac:dyDescent="0.2">
      <c r="A203" s="34" t="str">
        <f>_xlfn.XLOOKUP(C203,'[1]SIG Job Families &amp; Descriptions'!F:F,'[1]SIG Job Families &amp; Descriptions'!B:B)</f>
        <v>Finance</v>
      </c>
      <c r="B203" s="34" t="str">
        <f>_xlfn.XLOOKUP(C203,'[1]SIG Job Families &amp; Descriptions'!F:F,'[1]SIG Job Families &amp; Descriptions'!D:D)</f>
        <v>Treasury</v>
      </c>
      <c r="C203" s="34" t="s">
        <v>73</v>
      </c>
      <c r="D203" s="30" t="str">
        <f t="shared" si="6"/>
        <v>AFT</v>
      </c>
      <c r="E203" s="31" t="str">
        <f>_xlfn.XLOOKUP(C203,'[1]SIG Job Families &amp; Descriptions'!F:F,'[1]SIG Job Families &amp; Descriptions'!A:A)</f>
        <v>AFT030</v>
      </c>
      <c r="F203" s="32" t="s">
        <v>32</v>
      </c>
      <c r="G203" s="33" t="s">
        <v>43</v>
      </c>
      <c r="H203" s="34" t="str">
        <f>F203&amp;"-"&amp;G203</f>
        <v>Professional-08</v>
      </c>
      <c r="I203" s="35" t="str">
        <f>IF(ISERROR(_xlfn.XLOOKUP(H203,'[1]SIG Level Structure'!D:D,'[1]SIG Level Structure'!D:D)),"0","1")</f>
        <v>1</v>
      </c>
      <c r="J203" s="36" t="str">
        <f>_xlfn.XLOOKUP($H203,'[1]SIG Level Structure'!$D:$D,'[1]SIG Level Structure'!F:F)</f>
        <v>P1</v>
      </c>
      <c r="K203" s="37" t="str">
        <f>E203&amp;"-"&amp;J203&amp;"-"&amp;G203</f>
        <v>AFT030-P1-08</v>
      </c>
      <c r="L203" s="37" t="str">
        <f>IFERROR(D203&amp;"-"&amp;LEFT(J203,1),"--")</f>
        <v>AFT-P</v>
      </c>
      <c r="M203" s="37" t="str">
        <f>VLOOKUP(L203,'[1]Compatible JC'!$A:$A,1,FALSE)</f>
        <v>AFT-P</v>
      </c>
      <c r="N203" s="37" t="str">
        <f>IFERROR(_xlfn.XLOOKUP(H203,'[1]SIG Level Structure'!D:D,'[1]SIG Level Structure'!C:C),"--")</f>
        <v>Specialist</v>
      </c>
      <c r="O203" s="38" t="str">
        <f>IFERROR(TRIM(N203&amp;" "&amp;C203),"--")</f>
        <v>Specialist Treasury</v>
      </c>
      <c r="P203" s="22" t="str">
        <f>_xlfn.XLOOKUP(E203,'[1]SIG Job Families &amp; Descriptions'!A:A,'[1]SIG Job Families &amp; Descriptions'!G:G)</f>
        <v>Performs treasury operations involving cash funds, foreign exchange, debt and capital management. Provides analytical and technical support to treasury-related activities.</v>
      </c>
      <c r="Q203" s="39" t="str">
        <f>_xlfn.XLOOKUP(E203,'[1]2022 GI Position Descriptions'!E:E,'[1]2022 GI Position Descriptions'!G:G)</f>
        <v>Performs treasury operations involving cash funds, foreign exchange, debt and capital management | Provides analytical and technical support to treasury-related activities</v>
      </c>
      <c r="R203" s="22" t="str">
        <f>IF(LEFT(J203,1)="E","EX",LEFT(J203,1))</f>
        <v>P</v>
      </c>
      <c r="S203" s="22" t="str">
        <f>_xlfn.XLOOKUP($R203,'[1]Career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03" s="22" t="str">
        <f>J203</f>
        <v>P1</v>
      </c>
      <c r="U203" s="40" t="str">
        <f t="shared" si="7"/>
        <v>P1</v>
      </c>
      <c r="V203" s="22" t="str">
        <f>_xlfn.XLOOKUP(T203,'[1]Career Bands &amp; Levels'!A:A,'[1]Career Bands &amp; Levels'!C:C)</f>
        <v xml:space="preserve">●	Performs routine assignments in the entry level of the Professional Career Band		
●	Typically requires a college or university degree or the equivalent work experience and has conceptual knowledge of fundamental theories, principles and practices 		
●	Has no discretion to vary from established procedures by performing structured work assignments		
●	Uses existing procedures to solve routine or standard problems		
●	Receives instruction, guidance and direction from more senior level roles		</v>
      </c>
      <c r="W203" s="41" t="str">
        <f>J203&amp;"-"&amp;G203</f>
        <v>P1-08</v>
      </c>
      <c r="X203" s="42" t="str">
        <f>G203</f>
        <v>08</v>
      </c>
      <c r="Y203" s="22" t="str">
        <f>_xlfn.XLOOKUP(W203,'[1]Career Bands &amp; Levels'!A:A,'[1]Career Bands &amp; Levels'!C:C,"No Grade Differentiator")</f>
        <v>No Grade Differentiator</v>
      </c>
      <c r="Z203" s="43" t="str">
        <f>IFERROR(O203&amp;" - "&amp;G203,"--")</f>
        <v>Specialist Treasury - 08</v>
      </c>
      <c r="AA203" s="44" t="str">
        <f>_xlfn.XLOOKUP($H203,'[1]SIG Qualifications Input'!$D:$D,'[1]SIG Qualifications Input'!$H:$H)</f>
        <v>University degree or equivalent and 0-1 year of work experience or equivalent</v>
      </c>
    </row>
    <row r="204" spans="1:27" ht="113" thickBot="1" x14ac:dyDescent="0.2">
      <c r="A204" s="34" t="str">
        <f>_xlfn.XLOOKUP(C204,'[1]SIG Job Families &amp; Descriptions'!F:F,'[1]SIG Job Families &amp; Descriptions'!B:B)</f>
        <v>Finance</v>
      </c>
      <c r="B204" s="34" t="str">
        <f>_xlfn.XLOOKUP(C204,'[1]SIG Job Families &amp; Descriptions'!F:F,'[1]SIG Job Families &amp; Descriptions'!D:D)</f>
        <v>Treasury</v>
      </c>
      <c r="C204" s="34" t="s">
        <v>73</v>
      </c>
      <c r="D204" s="30" t="str">
        <f t="shared" si="6"/>
        <v>AFT</v>
      </c>
      <c r="E204" s="31" t="str">
        <f>_xlfn.XLOOKUP(C204,'[1]SIG Job Families &amp; Descriptions'!F:F,'[1]SIG Job Families &amp; Descriptions'!A:A)</f>
        <v>AFT030</v>
      </c>
      <c r="F204" s="32" t="s">
        <v>32</v>
      </c>
      <c r="G204" s="33" t="s">
        <v>52</v>
      </c>
      <c r="H204" s="34" t="str">
        <f>F204&amp;"-"&amp;G204</f>
        <v>Professional-07</v>
      </c>
      <c r="I204" s="35" t="str">
        <f>IF(ISERROR(_xlfn.XLOOKUP(H204,'[1]SIG Level Structure'!D:D,'[1]SIG Level Structure'!D:D)),"0","1")</f>
        <v>1</v>
      </c>
      <c r="J204" s="36" t="str">
        <f>_xlfn.XLOOKUP($H204,'[1]SIG Level Structure'!$D:$D,'[1]SIG Level Structure'!F:F)</f>
        <v>U3</v>
      </c>
      <c r="K204" s="37" t="str">
        <f>E204&amp;"-"&amp;J204&amp;"-"&amp;G204</f>
        <v>AFT030-U3-07</v>
      </c>
      <c r="L204" s="37" t="str">
        <f>IFERROR(D204&amp;"-"&amp;LEFT(J204,1),"--")</f>
        <v>AFT-U</v>
      </c>
      <c r="M204" s="37" t="str">
        <f>VLOOKUP(L204,'[1]Compatible JC'!$A:$A,1,FALSE)</f>
        <v>AFT-U</v>
      </c>
      <c r="N204" s="37" t="str">
        <f>IFERROR(_xlfn.XLOOKUP(H204,'[1]SIG Level Structure'!D:D,'[1]SIG Level Structure'!C:C),"--")</f>
        <v>Assistant / Analyst</v>
      </c>
      <c r="O204" s="38" t="str">
        <f>IFERROR(TRIM(N204&amp;" "&amp;C204),"--")</f>
        <v>Assistant / Analyst Treasury</v>
      </c>
      <c r="P204" s="22" t="str">
        <f>_xlfn.XLOOKUP(E204,'[1]SIG Job Families &amp; Descriptions'!A:A,'[1]SIG Job Families &amp; Descriptions'!G:G)</f>
        <v>Performs treasury operations involving cash funds, foreign exchange, debt and capital management. Provides analytical and technical support to treasury-related activities.</v>
      </c>
      <c r="Q204" s="39" t="str">
        <f>_xlfn.XLOOKUP(E204,'[1]2022 GI Position Descriptions'!E:E,'[1]2022 GI Position Descriptions'!G:G)</f>
        <v>Performs treasury operations involving cash funds, foreign exchange, debt and capital management | Provides analytical and technical support to treasury-related activities</v>
      </c>
      <c r="R204" s="22" t="str">
        <f>IF(LEFT(J204,1)="E","EX",LEFT(J204,1))</f>
        <v>U</v>
      </c>
      <c r="S204" s="22" t="str">
        <f>_xlfn.XLOOKUP($R204,'[1]Career Bands &amp; Levels'!A:A,'[1]Career Bands &amp; Levels'!C:C)</f>
        <v>● Performs clerical/administrative or specialized support tasks in an office, field or retail store/site setting
● May require vocational training or the equivalent experience, but does not require a university degree</v>
      </c>
      <c r="T204" s="22" t="str">
        <f>J204</f>
        <v>U3</v>
      </c>
      <c r="U204" s="40" t="str">
        <f t="shared" si="7"/>
        <v>U3</v>
      </c>
      <c r="V204" s="22" t="str">
        <f>_xlfn.XLOOKUP(T204,'[1]Career Bands &amp; Levels'!A:A,'[1]Career Bands &amp; Levels'!C:C)</f>
        <v xml:space="preserve">●	Has full proficiency gained through job-related training and considerable work experience		
●	Completes work with a limited degree of supervision		
●	Likely to act as an informal resource for colleagues with less experience		
●	Identifies key issues and patterns from partial/conflicting data		
●	Takes a broad perspective to problems and spots new, less obvious solutions		</v>
      </c>
      <c r="W204" s="41" t="str">
        <f>J204&amp;"-"&amp;G204</f>
        <v>U3-07</v>
      </c>
      <c r="X204" s="42" t="str">
        <f>G204</f>
        <v>07</v>
      </c>
      <c r="Y204" s="22" t="str">
        <f>_xlfn.XLOOKUP(W204,'[1]Career Bands &amp; Levels'!A:A,'[1]Career Bands &amp; Levels'!C:C,"No Grade Differentiator")</f>
        <v>No Grade Differentiator</v>
      </c>
      <c r="Z204" s="43" t="str">
        <f>IFERROR(O204&amp;" - "&amp;G204,"--")</f>
        <v>Assistant / Analyst Treasury - 07</v>
      </c>
      <c r="AA204" s="44" t="str">
        <f>_xlfn.XLOOKUP($H204,'[1]SIG Qualifications Input'!$D:$D,'[1]SIG Qualifications Input'!$H:$H)</f>
        <v>Vocational training in e.g. commercial field or equivalent work experience. Up to 5 years of experience, possibly further internal trainings.</v>
      </c>
    </row>
    <row r="205" spans="1:27" ht="99" thickBot="1" x14ac:dyDescent="0.2">
      <c r="A205" s="34" t="str">
        <f>_xlfn.XLOOKUP(C205,'[1]SIG Job Families &amp; Descriptions'!F:F,'[1]SIG Job Families &amp; Descriptions'!B:B)</f>
        <v>Finance</v>
      </c>
      <c r="B205" s="34" t="str">
        <f>_xlfn.XLOOKUP(C205,'[1]SIG Job Families &amp; Descriptions'!F:F,'[1]SIG Job Families &amp; Descriptions'!D:D)</f>
        <v>Treasury</v>
      </c>
      <c r="C205" s="34" t="s">
        <v>73</v>
      </c>
      <c r="D205" s="30" t="str">
        <f t="shared" si="6"/>
        <v>AFT</v>
      </c>
      <c r="E205" s="31" t="str">
        <f>_xlfn.XLOOKUP(C205,'[1]SIG Job Families &amp; Descriptions'!F:F,'[1]SIG Job Families &amp; Descriptions'!A:A)</f>
        <v>AFT030</v>
      </c>
      <c r="F205" s="32" t="s">
        <v>32</v>
      </c>
      <c r="G205" s="33" t="s">
        <v>53</v>
      </c>
      <c r="H205" s="34" t="str">
        <f>F205&amp;"-"&amp;G205</f>
        <v>Professional-06</v>
      </c>
      <c r="I205" s="35" t="str">
        <f>IF(ISERROR(_xlfn.XLOOKUP(H205,'[1]SIG Level Structure'!D:D,'[1]SIG Level Structure'!D:D)),"0","1")</f>
        <v>1</v>
      </c>
      <c r="J205" s="36" t="str">
        <f>_xlfn.XLOOKUP($H205,'[1]SIG Level Structure'!$D:$D,'[1]SIG Level Structure'!F:F)</f>
        <v>U2</v>
      </c>
      <c r="K205" s="37" t="str">
        <f>E205&amp;"-"&amp;J205&amp;"-"&amp;G205</f>
        <v>AFT030-U2-06</v>
      </c>
      <c r="L205" s="37" t="str">
        <f>IFERROR(D205&amp;"-"&amp;LEFT(J205,1),"--")</f>
        <v>AFT-U</v>
      </c>
      <c r="M205" s="37" t="str">
        <f>VLOOKUP(L205,'[1]Compatible JC'!$A:$A,1,FALSE)</f>
        <v>AFT-U</v>
      </c>
      <c r="N205" s="37" t="str">
        <f>IFERROR(_xlfn.XLOOKUP(H205,'[1]SIG Level Structure'!D:D,'[1]SIG Level Structure'!C:C),"--")</f>
        <v>Assistant / Analyst</v>
      </c>
      <c r="O205" s="38" t="str">
        <f>IFERROR(TRIM(N205&amp;" "&amp;C205),"--")</f>
        <v>Assistant / Analyst Treasury</v>
      </c>
      <c r="P205" s="22" t="str">
        <f>_xlfn.XLOOKUP(E205,'[1]SIG Job Families &amp; Descriptions'!A:A,'[1]SIG Job Families &amp; Descriptions'!G:G)</f>
        <v>Performs treasury operations involving cash funds, foreign exchange, debt and capital management. Provides analytical and technical support to treasury-related activities.</v>
      </c>
      <c r="Q205" s="39" t="str">
        <f>_xlfn.XLOOKUP(E205,'[1]2022 GI Position Descriptions'!E:E,'[1]2022 GI Position Descriptions'!G:G)</f>
        <v>Performs treasury operations involving cash funds, foreign exchange, debt and capital management | Provides analytical and technical support to treasury-related activities</v>
      </c>
      <c r="R205" s="22" t="str">
        <f>IF(LEFT(J205,1)="E","EX",LEFT(J205,1))</f>
        <v>U</v>
      </c>
      <c r="S205" s="22" t="str">
        <f>_xlfn.XLOOKUP($R205,'[1]Career Bands &amp; Levels'!A:A,'[1]Career Bands &amp; Levels'!C:C)</f>
        <v>● Performs clerical/administrative or specialized support tasks in an office, field or retail store/site setting
● May require vocational training or the equivalent experience, but does not require a university degree</v>
      </c>
      <c r="T205" s="22" t="str">
        <f>J205</f>
        <v>U2</v>
      </c>
      <c r="U205" s="40" t="str">
        <f t="shared" si="7"/>
        <v>U2</v>
      </c>
      <c r="V205" s="22" t="str">
        <f>_xlfn.XLOOKUP(T205,'[1]Career Bands &amp; Levels'!A:A,'[1]Career Bands &amp; Levels'!C:C)</f>
        <v xml:space="preserve">●	Has working knowledge and skills developed through formal training or work experience		
●	Works within established procedures with a moderate degree of supervision		
●	Identifies the problem and all relevant issues in straightforward situations, assesses each using standard procedures and makes sound decisions		</v>
      </c>
      <c r="W205" s="41" t="str">
        <f>J205&amp;"-"&amp;G205</f>
        <v>U2-06</v>
      </c>
      <c r="X205" s="42" t="str">
        <f>G205</f>
        <v>06</v>
      </c>
      <c r="Y205" s="22" t="str">
        <f>_xlfn.XLOOKUP(W205,'[1]Career Bands &amp; Levels'!A:A,'[1]Career Bands &amp; Levels'!C:C,"No Grade Differentiator")</f>
        <v xml:space="preserve">●	Has prior relevant training or related work experience		
●	Performs routine tasks following specific instructions or under close supervision		
●	Work is clearly defined and completed according to instruction		</v>
      </c>
      <c r="Z205" s="43" t="str">
        <f>IFERROR(O205&amp;" - "&amp;G205,"--")</f>
        <v>Assistant / Analyst Treasury - 06</v>
      </c>
      <c r="AA205" s="44" t="str">
        <f>_xlfn.XLOOKUP($H205,'[1]SIG Qualifications Input'!$D:$D,'[1]SIG Qualifications Input'!$H:$H)</f>
        <v>Vocational training in e.g. commercial field or equivalent work experience. Up to 5 years of experience, possibly further internal trainings.</v>
      </c>
    </row>
    <row r="206" spans="1:27" ht="99" thickBot="1" x14ac:dyDescent="0.2">
      <c r="A206" s="34" t="str">
        <f>_xlfn.XLOOKUP(C206,'[1]SIG Job Families &amp; Descriptions'!F:F,'[1]SIG Job Families &amp; Descriptions'!B:B)</f>
        <v>Finance</v>
      </c>
      <c r="B206" s="34" t="str">
        <f>_xlfn.XLOOKUP(C206,'[1]SIG Job Families &amp; Descriptions'!F:F,'[1]SIG Job Families &amp; Descriptions'!D:D)</f>
        <v>Treasury</v>
      </c>
      <c r="C206" s="34" t="s">
        <v>73</v>
      </c>
      <c r="D206" s="30" t="str">
        <f t="shared" si="6"/>
        <v>AFT</v>
      </c>
      <c r="E206" s="31" t="str">
        <f>_xlfn.XLOOKUP(C206,'[1]SIG Job Families &amp; Descriptions'!F:F,'[1]SIG Job Families &amp; Descriptions'!A:A)</f>
        <v>AFT030</v>
      </c>
      <c r="F206" s="32" t="s">
        <v>32</v>
      </c>
      <c r="G206" s="33" t="s">
        <v>54</v>
      </c>
      <c r="H206" s="34" t="str">
        <f>F206&amp;"-"&amp;G206</f>
        <v>Professional-05</v>
      </c>
      <c r="I206" s="35" t="str">
        <f>IF(ISERROR(_xlfn.XLOOKUP(H206,'[1]SIG Level Structure'!D:D,'[1]SIG Level Structure'!D:D)),"0","1")</f>
        <v>1</v>
      </c>
      <c r="J206" s="36" t="str">
        <f>_xlfn.XLOOKUP($H206,'[1]SIG Level Structure'!$D:$D,'[1]SIG Level Structure'!F:F)</f>
        <v>U2</v>
      </c>
      <c r="K206" s="37" t="str">
        <f>E206&amp;"-"&amp;J206&amp;"-"&amp;G206</f>
        <v>AFT030-U2-05</v>
      </c>
      <c r="L206" s="37" t="str">
        <f>IFERROR(D206&amp;"-"&amp;LEFT(J206,1),"--")</f>
        <v>AFT-U</v>
      </c>
      <c r="M206" s="37" t="str">
        <f>VLOOKUP(L206,'[1]Compatible JC'!$A:$A,1,FALSE)</f>
        <v>AFT-U</v>
      </c>
      <c r="N206" s="37" t="str">
        <f>IFERROR(_xlfn.XLOOKUP(H206,'[1]SIG Level Structure'!D:D,'[1]SIG Level Structure'!C:C),"--")</f>
        <v>Assistant / Analyst</v>
      </c>
      <c r="O206" s="38" t="str">
        <f>IFERROR(TRIM(N206&amp;" "&amp;C206),"--")</f>
        <v>Assistant / Analyst Treasury</v>
      </c>
      <c r="P206" s="22" t="str">
        <f>_xlfn.XLOOKUP(E206,'[1]SIG Job Families &amp; Descriptions'!A:A,'[1]SIG Job Families &amp; Descriptions'!G:G)</f>
        <v>Performs treasury operations involving cash funds, foreign exchange, debt and capital management. Provides analytical and technical support to treasury-related activities.</v>
      </c>
      <c r="Q206" s="39" t="str">
        <f>_xlfn.XLOOKUP(E206,'[1]2022 GI Position Descriptions'!E:E,'[1]2022 GI Position Descriptions'!G:G)</f>
        <v>Performs treasury operations involving cash funds, foreign exchange, debt and capital management | Provides analytical and technical support to treasury-related activities</v>
      </c>
      <c r="R206" s="22" t="str">
        <f>IF(LEFT(J206,1)="E","EX",LEFT(J206,1))</f>
        <v>U</v>
      </c>
      <c r="S206" s="22" t="str">
        <f>_xlfn.XLOOKUP($R206,'[1]Career Bands &amp; Levels'!A:A,'[1]Career Bands &amp; Levels'!C:C)</f>
        <v>● Performs clerical/administrative or specialized support tasks in an office, field or retail store/site setting
● May require vocational training or the equivalent experience, but does not require a university degree</v>
      </c>
      <c r="T206" s="22" t="str">
        <f>J206</f>
        <v>U2</v>
      </c>
      <c r="U206" s="40" t="str">
        <f t="shared" si="7"/>
        <v>U2</v>
      </c>
      <c r="V206" s="22" t="str">
        <f>_xlfn.XLOOKUP(T206,'[1]Career Bands &amp; Levels'!A:A,'[1]Career Bands &amp; Levels'!C:C)</f>
        <v xml:space="preserve">●	Has working knowledge and skills developed through formal training or work experience		
●	Works within established procedures with a moderate degree of supervision		
●	Identifies the problem and all relevant issues in straightforward situations, assesses each using standard procedures and makes sound decisions		</v>
      </c>
      <c r="W206" s="41" t="str">
        <f>J206&amp;"-"&amp;G206</f>
        <v>U2-05</v>
      </c>
      <c r="X206" s="42" t="str">
        <f>G206</f>
        <v>05</v>
      </c>
      <c r="Y206" s="22" t="str">
        <f>_xlfn.XLOOKUP(W206,'[1]Career Bands &amp; Levels'!A:A,'[1]Career Bands &amp; Levels'!C:C,"No Grade Differentiator")</f>
        <v xml:space="preserve">●	Has limited prior relevant training or work experience		
●	Has limited discretion to vary from established procedures		</v>
      </c>
      <c r="Z206" s="43" t="str">
        <f>IFERROR(O206&amp;" - "&amp;G206,"--")</f>
        <v>Assistant / Analyst Treasury - 05</v>
      </c>
      <c r="AA206" s="44" t="str">
        <f>_xlfn.XLOOKUP($H206,'[1]SIG Qualifications Input'!$D:$D,'[1]SIG Qualifications Input'!$H:$H)</f>
        <v>Vocational training in e.g. commercial field or equivalent work experience. Up to 5 years of experience, possibly further internal trainings.</v>
      </c>
    </row>
    <row r="207" spans="1:27" ht="183" thickBot="1" x14ac:dyDescent="0.2">
      <c r="A207" s="34" t="str">
        <f>_xlfn.XLOOKUP(C207,'[1]SIG Job Families &amp; Descriptions'!F:F,'[1]SIG Job Families &amp; Descriptions'!B:B)</f>
        <v>IT</v>
      </c>
      <c r="B207" s="34" t="str">
        <f>_xlfn.XLOOKUP(C207,'[1]SIG Job Families &amp; Descriptions'!F:F,'[1]SIG Job Families &amp; Descriptions'!D:D)</f>
        <v>General IT</v>
      </c>
      <c r="C207" s="34" t="s">
        <v>75</v>
      </c>
      <c r="D207" s="30" t="str">
        <f t="shared" si="6"/>
        <v>AIC</v>
      </c>
      <c r="E207" s="31" t="str">
        <f>_xlfn.XLOOKUP(C207,'[1]SIG Job Families &amp; Descriptions'!F:F,'[1]SIG Job Families &amp; Descriptions'!A:A)</f>
        <v>AIC000</v>
      </c>
      <c r="F207" s="32" t="s">
        <v>29</v>
      </c>
      <c r="G207" s="33" t="s">
        <v>33</v>
      </c>
      <c r="H207" s="34" t="str">
        <f>F207&amp;"-"&amp;G207</f>
        <v>Management-13</v>
      </c>
      <c r="I207" s="35" t="str">
        <f>IF(ISERROR(_xlfn.XLOOKUP(H207,'[1]SIG Level Structure'!D:D,'[1]SIG Level Structure'!D:D)),"0","1")</f>
        <v>1</v>
      </c>
      <c r="J207" s="36" t="str">
        <f>_xlfn.XLOOKUP($H207,'[1]SIG Level Structure'!$D:$D,'[1]SIG Level Structure'!F:F)</f>
        <v>M2</v>
      </c>
      <c r="K207" s="37" t="str">
        <f>E207&amp;"-"&amp;J207&amp;"-"&amp;G207</f>
        <v>AIC000-M2-13</v>
      </c>
      <c r="L207" s="37" t="str">
        <f>IFERROR(D207&amp;"-"&amp;LEFT(J207,1),"--")</f>
        <v>AIC-M</v>
      </c>
      <c r="M207" s="37" t="str">
        <f>VLOOKUP(L207,'[1]Compatible JC'!$A:$A,1,FALSE)</f>
        <v>AIC-M</v>
      </c>
      <c r="N207" s="37" t="str">
        <f>IFERROR(_xlfn.XLOOKUP(H207,'[1]SIG Level Structure'!D:D,'[1]SIG Level Structure'!C:C),"--")</f>
        <v>Manager</v>
      </c>
      <c r="O207" s="38" t="str">
        <f>IFERROR(TRIM(N207&amp;" "&amp;C207),"--")</f>
        <v>Manager General IT</v>
      </c>
      <c r="P207" s="22" t="str">
        <f>_xlfn.XLOOKUP(E207,'[1]SIG Job Families &amp; Descriptions'!A:A,'[1]SIG Job Families &amp; Descriptions'!G:G)</f>
        <v>Responsible for both the design, development and implementation of short- and long-term solutions to information technology (IT) and digital needs through new and existing applications, systems architecture, network systems and applications infrastructure and the management of the IT infrastructure within an organization.</v>
      </c>
      <c r="Q207" s="39" t="str">
        <f>_xlfn.XLOOKUP(E207,'[1]2022 GI Position Descriptions'!E:E,'[1]2022 GI Position Descriptions'!G:G)</f>
        <v>Designs, develops, implements and oversees information technology (IT), including hardware, software and networks | Implements short- and long-term IT solutions that meet the needs of the organization | Installs, configures, administers, upgrades and maintains security for IT hardware, software and network infrastructure</v>
      </c>
      <c r="R207" s="22" t="str">
        <f>IF(LEFT(J207,1)="E","EX",LEFT(J207,1))</f>
        <v>M</v>
      </c>
      <c r="S207" s="22" t="str">
        <f>_xlfn.XLOOKUP($R207,'[1]Career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207" s="22" t="str">
        <f>J207</f>
        <v>M2</v>
      </c>
      <c r="U207" s="40" t="str">
        <f t="shared" si="7"/>
        <v>M2</v>
      </c>
      <c r="V207" s="22" t="str">
        <f>_xlfn.XLOOKUP(T207,'[1]Career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207" s="41" t="str">
        <f>J207&amp;"-"&amp;G207</f>
        <v>M2-13</v>
      </c>
      <c r="X207" s="42" t="str">
        <f>G207</f>
        <v>13</v>
      </c>
      <c r="Y207" s="22" t="str">
        <f>_xlfn.XLOOKUP(W207,'[1]Career Bands &amp; Levels'!A:A,'[1]Career Bands &amp; Levels'!C:C,"No Grade Differentiator")</f>
        <v>●	Accountable for the budget, performance and results of a medium-sized team or multiple small teams of employees		
●	Exercises full management authority, including performance reviews, pay decisions, recruitment, discipline, termination and other personnel actions		
●	Addresses issues with impact beyond own team based on knowledge of related disciplines</v>
      </c>
      <c r="Z207" s="43" t="str">
        <f>IFERROR(O207&amp;" - "&amp;G207,"--")</f>
        <v>Manager General IT - 13</v>
      </c>
      <c r="AA207" s="44" t="str">
        <f>_xlfn.XLOOKUP($H207,'[1]SIG Qualifications Input'!$D:$D,'[1]SIG Qualifications Input'!$H:$H)</f>
        <v>University degree or equivalent and 7-10 years of work experience or equivalent
Experience in managing mixed-level team(s) of professionals and subordinate managers</v>
      </c>
    </row>
    <row r="208" spans="1:27" ht="183" thickBot="1" x14ac:dyDescent="0.2">
      <c r="A208" s="34" t="str">
        <f>_xlfn.XLOOKUP(C208,'[1]SIG Job Families &amp; Descriptions'!F:F,'[1]SIG Job Families &amp; Descriptions'!B:B)</f>
        <v>IT</v>
      </c>
      <c r="B208" s="34" t="str">
        <f>_xlfn.XLOOKUP(C208,'[1]SIG Job Families &amp; Descriptions'!F:F,'[1]SIG Job Families &amp; Descriptions'!D:D)</f>
        <v>General IT</v>
      </c>
      <c r="C208" s="34" t="s">
        <v>75</v>
      </c>
      <c r="D208" s="30" t="str">
        <f t="shared" si="6"/>
        <v>AIC</v>
      </c>
      <c r="E208" s="31" t="str">
        <f>_xlfn.XLOOKUP(C208,'[1]SIG Job Families &amp; Descriptions'!F:F,'[1]SIG Job Families &amp; Descriptions'!A:A)</f>
        <v>AIC000</v>
      </c>
      <c r="F208" s="32" t="s">
        <v>29</v>
      </c>
      <c r="G208" s="33" t="s">
        <v>34</v>
      </c>
      <c r="H208" s="34" t="str">
        <f>F208&amp;"-"&amp;G208</f>
        <v>Management-12</v>
      </c>
      <c r="I208" s="35" t="str">
        <f>IF(ISERROR(_xlfn.XLOOKUP(H208,'[1]SIG Level Structure'!D:D,'[1]SIG Level Structure'!D:D)),"0","1")</f>
        <v>1</v>
      </c>
      <c r="J208" s="36" t="str">
        <f>_xlfn.XLOOKUP($H208,'[1]SIG Level Structure'!$D:$D,'[1]SIG Level Structure'!F:F)</f>
        <v>M2</v>
      </c>
      <c r="K208" s="37" t="str">
        <f>E208&amp;"-"&amp;J208&amp;"-"&amp;G208</f>
        <v>AIC000-M2-12</v>
      </c>
      <c r="L208" s="37" t="str">
        <f>IFERROR(D208&amp;"-"&amp;LEFT(J208,1),"--")</f>
        <v>AIC-M</v>
      </c>
      <c r="M208" s="37" t="str">
        <f>VLOOKUP(L208,'[1]Compatible JC'!$A:$A,1,FALSE)</f>
        <v>AIC-M</v>
      </c>
      <c r="N208" s="37" t="str">
        <f>IFERROR(_xlfn.XLOOKUP(H208,'[1]SIG Level Structure'!D:D,'[1]SIG Level Structure'!C:C),"--")</f>
        <v>Manager</v>
      </c>
      <c r="O208" s="38" t="str">
        <f>IFERROR(TRIM(N208&amp;" "&amp;C208),"--")</f>
        <v>Manager General IT</v>
      </c>
      <c r="P208" s="22" t="str">
        <f>_xlfn.XLOOKUP(E208,'[1]SIG Job Families &amp; Descriptions'!A:A,'[1]SIG Job Families &amp; Descriptions'!G:G)</f>
        <v>Responsible for both the design, development and implementation of short- and long-term solutions to information technology (IT) and digital needs through new and existing applications, systems architecture, network systems and applications infrastructure and the management of the IT infrastructure within an organization.</v>
      </c>
      <c r="Q208" s="39" t="str">
        <f>_xlfn.XLOOKUP(E208,'[1]2022 GI Position Descriptions'!E:E,'[1]2022 GI Position Descriptions'!G:G)</f>
        <v>Designs, develops, implements and oversees information technology (IT), including hardware, software and networks | Implements short- and long-term IT solutions that meet the needs of the organization | Installs, configures, administers, upgrades and maintains security for IT hardware, software and network infrastructure</v>
      </c>
      <c r="R208" s="22" t="str">
        <f>IF(LEFT(J208,1)="E","EX",LEFT(J208,1))</f>
        <v>M</v>
      </c>
      <c r="S208" s="22" t="str">
        <f>_xlfn.XLOOKUP($R208,'[1]Career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208" s="22" t="str">
        <f>J208</f>
        <v>M2</v>
      </c>
      <c r="U208" s="40" t="str">
        <f t="shared" si="7"/>
        <v>M2</v>
      </c>
      <c r="V208" s="22" t="str">
        <f>_xlfn.XLOOKUP(T208,'[1]Career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208" s="41" t="str">
        <f>J208&amp;"-"&amp;G208</f>
        <v>M2-12</v>
      </c>
      <c r="X208" s="42" t="str">
        <f>G208</f>
        <v>12</v>
      </c>
      <c r="Y208" s="22" t="str">
        <f>_xlfn.XLOOKUP(W208,'[1]Career Bands &amp; Levels'!A:A,'[1]Career Bands &amp; Levels'!C:C,"No Grade Differentiator")</f>
        <v xml:space="preserve">●	Accountable for results of a small team of employees		
●	Exercises limited management authority; sets employee performance objectives, conducts performance reviews and recommends pay actions		
●	Defines team operating standards and ensures essential procedures are followed based on knowledge of own discipline		</v>
      </c>
      <c r="Z208" s="43" t="str">
        <f>IFERROR(O208&amp;" - "&amp;G208,"--")</f>
        <v>Manager General IT - 12</v>
      </c>
      <c r="AA208" s="44" t="str">
        <f>_xlfn.XLOOKUP($H208,'[1]SIG Qualifications Input'!$D:$D,'[1]SIG Qualifications Input'!$H:$H)</f>
        <v>University degree or equivalent and 7-10 years of work experience or equivalent
Experience in managing mixed-level team(s) of professionals and subordinate managers</v>
      </c>
    </row>
    <row r="209" spans="1:27" ht="183" thickBot="1" x14ac:dyDescent="0.2">
      <c r="A209" s="34" t="str">
        <f>_xlfn.XLOOKUP(C209,'[1]SIG Job Families &amp; Descriptions'!F:F,'[1]SIG Job Families &amp; Descriptions'!B:B)</f>
        <v>IT</v>
      </c>
      <c r="B209" s="34" t="str">
        <f>_xlfn.XLOOKUP(C209,'[1]SIG Job Families &amp; Descriptions'!F:F,'[1]SIG Job Families &amp; Descriptions'!D:D)</f>
        <v>General IT</v>
      </c>
      <c r="C209" s="34" t="s">
        <v>75</v>
      </c>
      <c r="D209" s="30" t="str">
        <f t="shared" si="6"/>
        <v>AIC</v>
      </c>
      <c r="E209" s="31" t="str">
        <f>_xlfn.XLOOKUP(C209,'[1]SIG Job Families &amp; Descriptions'!F:F,'[1]SIG Job Families &amp; Descriptions'!A:A)</f>
        <v>AIC000</v>
      </c>
      <c r="F209" s="32" t="s">
        <v>29</v>
      </c>
      <c r="G209" s="33" t="s">
        <v>35</v>
      </c>
      <c r="H209" s="34" t="str">
        <f>F209&amp;"-"&amp;G209</f>
        <v>Management-11</v>
      </c>
      <c r="I209" s="35" t="str">
        <f>IF(ISERROR(_xlfn.XLOOKUP(H209,'[1]SIG Level Structure'!D:D,'[1]SIG Level Structure'!D:D)),"0","1")</f>
        <v>1</v>
      </c>
      <c r="J209" s="36" t="str">
        <f>_xlfn.XLOOKUP($H209,'[1]SIG Level Structure'!$D:$D,'[1]SIG Level Structure'!F:F)</f>
        <v>M1</v>
      </c>
      <c r="K209" s="37" t="str">
        <f>E209&amp;"-"&amp;J209&amp;"-"&amp;G209</f>
        <v>AIC000-M1-11</v>
      </c>
      <c r="L209" s="37" t="str">
        <f>IFERROR(D209&amp;"-"&amp;LEFT(J209,1),"--")</f>
        <v>AIC-M</v>
      </c>
      <c r="M209" s="37" t="str">
        <f>VLOOKUP(L209,'[1]Compatible JC'!$A:$A,1,FALSE)</f>
        <v>AIC-M</v>
      </c>
      <c r="N209" s="37" t="str">
        <f>IFERROR(_xlfn.XLOOKUP(H209,'[1]SIG Level Structure'!D:D,'[1]SIG Level Structure'!C:C),"--")</f>
        <v>Supervisor</v>
      </c>
      <c r="O209" s="38" t="str">
        <f>IFERROR(TRIM(N209&amp;" "&amp;C209),"--")</f>
        <v>Supervisor General IT</v>
      </c>
      <c r="P209" s="22" t="str">
        <f>_xlfn.XLOOKUP(E209,'[1]SIG Job Families &amp; Descriptions'!A:A,'[1]SIG Job Families &amp; Descriptions'!G:G)</f>
        <v>Responsible for both the design, development and implementation of short- and long-term solutions to information technology (IT) and digital needs through new and existing applications, systems architecture, network systems and applications infrastructure and the management of the IT infrastructure within an organization.</v>
      </c>
      <c r="Q209" s="39" t="str">
        <f>_xlfn.XLOOKUP(E209,'[1]2022 GI Position Descriptions'!E:E,'[1]2022 GI Position Descriptions'!G:G)</f>
        <v>Designs, develops, implements and oversees information technology (IT), including hardware, software and networks | Implements short- and long-term IT solutions that meet the needs of the organization | Installs, configures, administers, upgrades and maintains security for IT hardware, software and network infrastructure</v>
      </c>
      <c r="R209" s="22" t="str">
        <f>IF(LEFT(J209,1)="E","EX",LEFT(J209,1))</f>
        <v>M</v>
      </c>
      <c r="S209" s="22" t="str">
        <f>_xlfn.XLOOKUP($R209,'[1]Career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209" s="22" t="str">
        <f>J209</f>
        <v>M1</v>
      </c>
      <c r="U209" s="40" t="str">
        <f t="shared" si="7"/>
        <v>M1</v>
      </c>
      <c r="V209" s="22" t="str">
        <f>_xlfn.XLOOKUP(T209,'[1]Career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209" s="41" t="str">
        <f>J209&amp;"-"&amp;G209</f>
        <v>M1-11</v>
      </c>
      <c r="X209" s="42" t="str">
        <f>G209</f>
        <v>11</v>
      </c>
      <c r="Y209" s="22" t="str">
        <f>_xlfn.XLOOKUP(W209,'[1]Career Bands &amp; Levels'!A:A,'[1]Career Bands &amp; Levels'!C:C,"No Grade Differentiator")</f>
        <v xml:space="preserve">●	Accountable for the results of a large and/or moderately complex support or production operations team including subordinate work leaders		
●	Applies acquired expertise to analyze and solve problems without clear precedent		
●	Provides input on resource planning and policy development		
●	Coaches team members on performance, completes employee performance evaluations and recommends pay actions		</v>
      </c>
      <c r="Z209" s="43" t="str">
        <f>IFERROR(O209&amp;" - "&amp;G209,"--")</f>
        <v>Supervisor General IT - 11</v>
      </c>
      <c r="AA209" s="44" t="str">
        <f>_xlfn.XLOOKUP($H209,'[1]SIG Qualifications Input'!$D:$D,'[1]SIG Qualifications Input'!$H:$H)</f>
        <v>University degree or equivalent and 5-7 years of work experience or equivalent
Experienced in application of management techniques
Experience in operationally managing a mixed-level team</v>
      </c>
    </row>
    <row r="210" spans="1:27" ht="183" thickBot="1" x14ac:dyDescent="0.2">
      <c r="A210" s="34" t="str">
        <f>_xlfn.XLOOKUP(C210,'[1]SIG Job Families &amp; Descriptions'!F:F,'[1]SIG Job Families &amp; Descriptions'!B:B)</f>
        <v>IT</v>
      </c>
      <c r="B210" s="34" t="str">
        <f>_xlfn.XLOOKUP(C210,'[1]SIG Job Families &amp; Descriptions'!F:F,'[1]SIG Job Families &amp; Descriptions'!D:D)</f>
        <v>General IT</v>
      </c>
      <c r="C210" s="34" t="s">
        <v>75</v>
      </c>
      <c r="D210" s="30" t="str">
        <f t="shared" si="6"/>
        <v>AIC</v>
      </c>
      <c r="E210" s="31" t="str">
        <f>_xlfn.XLOOKUP(C210,'[1]SIG Job Families &amp; Descriptions'!F:F,'[1]SIG Job Families &amp; Descriptions'!A:A)</f>
        <v>AIC000</v>
      </c>
      <c r="F210" s="32" t="s">
        <v>29</v>
      </c>
      <c r="G210" s="33" t="s">
        <v>36</v>
      </c>
      <c r="H210" s="34" t="str">
        <f>F210&amp;"-"&amp;G210</f>
        <v>Management-10</v>
      </c>
      <c r="I210" s="35" t="str">
        <f>IF(ISERROR(_xlfn.XLOOKUP(H210,'[1]SIG Level Structure'!D:D,'[1]SIG Level Structure'!D:D)),"0","1")</f>
        <v>1</v>
      </c>
      <c r="J210" s="36" t="str">
        <f>_xlfn.XLOOKUP($H210,'[1]SIG Level Structure'!$D:$D,'[1]SIG Level Structure'!F:F)</f>
        <v>M1</v>
      </c>
      <c r="K210" s="37" t="str">
        <f>E210&amp;"-"&amp;J210&amp;"-"&amp;G210</f>
        <v>AIC000-M1-10</v>
      </c>
      <c r="L210" s="37" t="str">
        <f>IFERROR(D210&amp;"-"&amp;LEFT(J210,1),"--")</f>
        <v>AIC-M</v>
      </c>
      <c r="M210" s="37" t="str">
        <f>VLOOKUP(L210,'[1]Compatible JC'!$A:$A,1,FALSE)</f>
        <v>AIC-M</v>
      </c>
      <c r="N210" s="37" t="str">
        <f>IFERROR(_xlfn.XLOOKUP(H210,'[1]SIG Level Structure'!D:D,'[1]SIG Level Structure'!C:C),"--")</f>
        <v>Supervisor</v>
      </c>
      <c r="O210" s="38" t="str">
        <f>IFERROR(TRIM(N210&amp;" "&amp;C210),"--")</f>
        <v>Supervisor General IT</v>
      </c>
      <c r="P210" s="22" t="str">
        <f>_xlfn.XLOOKUP(E210,'[1]SIG Job Families &amp; Descriptions'!A:A,'[1]SIG Job Families &amp; Descriptions'!G:G)</f>
        <v>Responsible for both the design, development and implementation of short- and long-term solutions to information technology (IT) and digital needs through new and existing applications, systems architecture, network systems and applications infrastructure and the management of the IT infrastructure within an organization.</v>
      </c>
      <c r="Q210" s="39" t="str">
        <f>_xlfn.XLOOKUP(E210,'[1]2022 GI Position Descriptions'!E:E,'[1]2022 GI Position Descriptions'!G:G)</f>
        <v>Designs, develops, implements and oversees information technology (IT), including hardware, software and networks | Implements short- and long-term IT solutions that meet the needs of the organization | Installs, configures, administers, upgrades and maintains security for IT hardware, software and network infrastructure</v>
      </c>
      <c r="R210" s="22" t="str">
        <f>IF(LEFT(J210,1)="E","EX",LEFT(J210,1))</f>
        <v>M</v>
      </c>
      <c r="S210" s="22" t="str">
        <f>_xlfn.XLOOKUP($R210,'[1]Career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210" s="22" t="str">
        <f>J210</f>
        <v>M1</v>
      </c>
      <c r="U210" s="40" t="str">
        <f t="shared" si="7"/>
        <v>M1</v>
      </c>
      <c r="V210" s="22" t="str">
        <f>_xlfn.XLOOKUP(T210,'[1]Career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210" s="41" t="str">
        <f>J210&amp;"-"&amp;G210</f>
        <v>M1-10</v>
      </c>
      <c r="X210" s="42" t="str">
        <f>G210</f>
        <v>10</v>
      </c>
      <c r="Y210" s="22" t="str">
        <f>_xlfn.XLOOKUP(W210,'[1]Career Bands &amp; Levels'!A:A,'[1]Career Bands &amp; Levels'!C:C,"No Grade Differentiator")</f>
        <v xml:space="preserve">●	Accountable for the results of medium-sized routine support or production operations teams		
●	Solves problems based on practice and precedent		
●	Trains team members and provides input to employee performance evaluations		</v>
      </c>
      <c r="Z210" s="43" t="str">
        <f>IFERROR(O210&amp;" - "&amp;G210,"--")</f>
        <v>Supervisor General IT - 10</v>
      </c>
      <c r="AA210" s="44" t="str">
        <f>_xlfn.XLOOKUP($H210,'[1]SIG Qualifications Input'!$D:$D,'[1]SIG Qualifications Input'!$H:$H)</f>
        <v>University degree or equivalent and 5-7 years of work experience or equivalent
Experienced in application of management techniques
Experience in operationally managing a mixed-level team</v>
      </c>
    </row>
    <row r="211" spans="1:27" ht="169" thickBot="1" x14ac:dyDescent="0.2">
      <c r="A211" s="34" t="str">
        <f>_xlfn.XLOOKUP(C211,'[1]SIG Job Families &amp; Descriptions'!F:F,'[1]SIG Job Families &amp; Descriptions'!B:B)</f>
        <v>IT</v>
      </c>
      <c r="B211" s="34" t="str">
        <f>_xlfn.XLOOKUP(C211,'[1]SIG Job Families &amp; Descriptions'!F:F,'[1]SIG Job Families &amp; Descriptions'!D:D)</f>
        <v>IT Development/IT &amp; Digital Transformation</v>
      </c>
      <c r="C211" s="34" t="s">
        <v>76</v>
      </c>
      <c r="D211" s="30" t="str">
        <f t="shared" si="6"/>
        <v>ACD</v>
      </c>
      <c r="E211" s="31" t="str">
        <f>_xlfn.XLOOKUP(C211,'[1]SIG Job Families &amp; Descriptions'!F:F,'[1]SIG Job Families &amp; Descriptions'!A:A)</f>
        <v>ACD016</v>
      </c>
      <c r="F211" s="32" t="s">
        <v>29</v>
      </c>
      <c r="G211" s="33" t="s">
        <v>45</v>
      </c>
      <c r="H211" s="34" t="str">
        <f>F211&amp;"-"&amp;G211</f>
        <v>Management-17</v>
      </c>
      <c r="I211" s="35" t="str">
        <f>IF(ISERROR(_xlfn.XLOOKUP(H211,'[1]SIG Level Structure'!D:D,'[1]SIG Level Structure'!D:D)),"0","1")</f>
        <v>1</v>
      </c>
      <c r="J211" s="36" t="str">
        <f>_xlfn.XLOOKUP($H211,'[1]SIG Level Structure'!$D:$D,'[1]SIG Level Structure'!F:F)</f>
        <v>EX</v>
      </c>
      <c r="K211" s="37" t="str">
        <f>E211&amp;"-"&amp;J211&amp;"-"&amp;G211</f>
        <v>ACD016-EX-17</v>
      </c>
      <c r="L211" s="37" t="str">
        <f>IFERROR(D211&amp;"-"&amp;LEFT(J211,1),"--")</f>
        <v>ACD-E</v>
      </c>
      <c r="M211" s="37" t="str">
        <f>VLOOKUP(L211,'[1]Compatible JC'!$A:$A,1,FALSE)</f>
        <v>ACD-E</v>
      </c>
      <c r="N211" s="37" t="str">
        <f>IFERROR(_xlfn.XLOOKUP(H211,'[1]SIG Level Structure'!D:D,'[1]SIG Level Structure'!C:C),"--")</f>
        <v>Group Manager</v>
      </c>
      <c r="O211" s="38" t="str">
        <f>IFERROR(TRIM(N211&amp;" "&amp;C211),"--")</f>
        <v>Group Manager Digital Transformation</v>
      </c>
      <c r="P211" s="22" t="str">
        <f>_xlfn.XLOOKUP(E211,'[1]SIG Job Families &amp; Descriptions'!A:A,'[1]SIG Job Families &amp; Descriptions'!G:G)</f>
        <v>Responsible for both the design, development and implementation of short- and long-term solutions to information technology (IT) and digital needs through new and existing applications, systems architecture, network systems and applications infrastructure and the management of the IT infrastructure within an organization.</v>
      </c>
      <c r="Q211" s="39" t="str">
        <f>_xlfn.XLOOKUP(E211,'[1]2022 GI Position Descriptions'!E:E,'[1]2022 GI Position Descriptions'!G:G)</f>
        <v>Researches, brainstorms and proposes the introduction of digital products, services and/or e-business platforms | Defines scope, cost and benefits of digital initiative | Maintains in-depth knowledge of current and emerging digital technology | Oversees the implementation of new digital e-business options and ensures the growth of revenues and productivity savings through the implementation of digital business initiatives | Monitors the organization's digital options across its target markets to ensure consistency and alignment with the organization's digital strategy</v>
      </c>
      <c r="R211" s="22" t="str">
        <f>IF(LEFT(J211,1)="E","EX",LEFT(J211,1))</f>
        <v>EX</v>
      </c>
      <c r="S211" s="22" t="str">
        <f>_xlfn.XLOOKUP($R211,'[1]Career Bands &amp; Levels'!A:A,'[1]Career Bands &amp; Levels'!C:C)</f>
        <v>● Holds management accountability for a business, division, major geography, corporate function or major corporate sub-function
● Develops, establishes and approves long-term vision and strategy for the area managed
● May be a board or executive committee member or have a comparable level of influence</v>
      </c>
      <c r="T211" s="22" t="str">
        <f>J211</f>
        <v>EX</v>
      </c>
      <c r="U211" s="40" t="str">
        <f t="shared" si="7"/>
        <v>EX</v>
      </c>
      <c r="V211" s="22" t="str">
        <f>_xlfn.XLOOKUP(T211,'[1]Career Bands &amp; Levels'!A:A,'[1]Career Bands &amp; Levels'!C:C)</f>
        <v>● Holds management accountability for a business, division, major geography, corporate function or major corporate sub-function
● Develops, establishes and approves long-term vision and strategy for the area managed
● May be a board or executive committee member or have a comparable level of influence</v>
      </c>
      <c r="W211" s="41" t="str">
        <f>J211&amp;"-"&amp;G211</f>
        <v>EX-17</v>
      </c>
      <c r="X211" s="42" t="str">
        <f>G211</f>
        <v>17</v>
      </c>
      <c r="Y211" s="22" t="str">
        <f>_xlfn.XLOOKUP(W211,'[1]Career Bands &amp; Levels'!A:A,'[1]Career Bands &amp; Levels'!C:C,"No Grade Differentiator")</f>
        <v>● Typically reports to the head of a subregion, country, division or function
● In large organizations (Global Grade 20 to 22), heads an infrastructure function with indirect impact on business performance</v>
      </c>
      <c r="Z211" s="43" t="str">
        <f>IFERROR(O211&amp;" - "&amp;G211,"--")</f>
        <v>Group Manager Digital Transformation - 17</v>
      </c>
      <c r="AA211" s="44" t="str">
        <f>_xlfn.XLOOKUP($H211,'[1]SIG Qualifications Input'!$D:$D,'[1]SIG Qualifications Input'!$H:$H)</f>
        <v>University degree or equivalent and 10-15 years of work experience or equivalent
Profound experience in management of a global function or major region including setting the respective strategy</v>
      </c>
    </row>
    <row r="212" spans="1:27" ht="183" thickBot="1" x14ac:dyDescent="0.2">
      <c r="A212" s="34" t="str">
        <f>_xlfn.XLOOKUP(C212,'[1]SIG Job Families &amp; Descriptions'!F:F,'[1]SIG Job Families &amp; Descriptions'!B:B)</f>
        <v>IT</v>
      </c>
      <c r="B212" s="34" t="str">
        <f>_xlfn.XLOOKUP(C212,'[1]SIG Job Families &amp; Descriptions'!F:F,'[1]SIG Job Families &amp; Descriptions'!D:D)</f>
        <v>IT Development/IT &amp; Digital Transformation</v>
      </c>
      <c r="C212" s="34" t="s">
        <v>76</v>
      </c>
      <c r="D212" s="30" t="str">
        <f t="shared" si="6"/>
        <v>ACD</v>
      </c>
      <c r="E212" s="31" t="str">
        <f>_xlfn.XLOOKUP(C212,'[1]SIG Job Families &amp; Descriptions'!F:F,'[1]SIG Job Families &amp; Descriptions'!A:A)</f>
        <v>ACD016</v>
      </c>
      <c r="F212" s="32" t="s">
        <v>29</v>
      </c>
      <c r="G212" s="33" t="s">
        <v>40</v>
      </c>
      <c r="H212" s="34" t="str">
        <f>F212&amp;"-"&amp;G212</f>
        <v>Management-16</v>
      </c>
      <c r="I212" s="35" t="str">
        <f>IF(ISERROR(_xlfn.XLOOKUP(H212,'[1]SIG Level Structure'!D:D,'[1]SIG Level Structure'!D:D)),"0","1")</f>
        <v>1</v>
      </c>
      <c r="J212" s="36" t="str">
        <f>_xlfn.XLOOKUP($H212,'[1]SIG Level Structure'!$D:$D,'[1]SIG Level Structure'!F:F)</f>
        <v>M4</v>
      </c>
      <c r="K212" s="37" t="str">
        <f>E212&amp;"-"&amp;J212&amp;"-"&amp;G212</f>
        <v>ACD016-M4-16</v>
      </c>
      <c r="L212" s="37" t="str">
        <f>IFERROR(D212&amp;"-"&amp;LEFT(J212,1),"--")</f>
        <v>ACD-M</v>
      </c>
      <c r="M212" s="37" t="str">
        <f>VLOOKUP(L212,'[1]Compatible JC'!$A:$A,1,FALSE)</f>
        <v>ACD-M</v>
      </c>
      <c r="N212" s="37" t="str">
        <f>IFERROR(_xlfn.XLOOKUP(H212,'[1]SIG Level Structure'!D:D,'[1]SIG Level Structure'!C:C),"--")</f>
        <v>Group Manager</v>
      </c>
      <c r="O212" s="38" t="str">
        <f>IFERROR(TRIM(N212&amp;" "&amp;C212),"--")</f>
        <v>Group Manager Digital Transformation</v>
      </c>
      <c r="P212" s="22" t="str">
        <f>_xlfn.XLOOKUP(E212,'[1]SIG Job Families &amp; Descriptions'!A:A,'[1]SIG Job Families &amp; Descriptions'!G:G)</f>
        <v>Responsible for both the design, development and implementation of short- and long-term solutions to information technology (IT) and digital needs through new and existing applications, systems architecture, network systems and applications infrastructure and the management of the IT infrastructure within an organization.</v>
      </c>
      <c r="Q212" s="39" t="str">
        <f>_xlfn.XLOOKUP(E212,'[1]2022 GI Position Descriptions'!E:E,'[1]2022 GI Position Descriptions'!G:G)</f>
        <v>Researches, brainstorms and proposes the introduction of digital products, services and/or e-business platforms | Defines scope, cost and benefits of digital initiative | Maintains in-depth knowledge of current and emerging digital technology | Oversees the implementation of new digital e-business options and ensures the growth of revenues and productivity savings through the implementation of digital business initiatives | Monitors the organization's digital options across its target markets to ensure consistency and alignment with the organization's digital strategy</v>
      </c>
      <c r="R212" s="22" t="str">
        <f>IF(LEFT(J212,1)="E","EX",LEFT(J212,1))</f>
        <v>M</v>
      </c>
      <c r="S212" s="22" t="str">
        <f>_xlfn.XLOOKUP($R212,'[1]Career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212" s="22" t="str">
        <f>J212</f>
        <v>M4</v>
      </c>
      <c r="U212" s="40" t="str">
        <f t="shared" si="7"/>
        <v>M4</v>
      </c>
      <c r="V212" s="22" t="str">
        <f>_xlfn.XLOOKUP(T212,'[1]Career Bands &amp; Levels'!A:A,'[1]Career Bands &amp; Levels'!C:C)</f>
        <v xml:space="preserve">●	Provides leadership and direction through Senior Managers and Managers		
●	Has accountability for the performance and results of:		
	●	A large, strategically important discipline in an extremely large market; and/or	
	●	Related disciplines or a medium-sized function in a large market or medium-sized division; and/or	
	●	A medium-sized discipline or department in a major region	
●	Adapts and executes functional or departmental business plans and contributes to the development of functional or departmental strategies		
●	Decisions are guided by functional or major operational segment strategies and priorities		</v>
      </c>
      <c r="W212" s="41" t="str">
        <f>J212&amp;"-"&amp;G212</f>
        <v>M4-16</v>
      </c>
      <c r="X212" s="42" t="str">
        <f>G212</f>
        <v>16</v>
      </c>
      <c r="Y212" s="22" t="str">
        <f>_xlfn.XLOOKUP(W212,'[1]Career Bands &amp; Levels'!A:A,'[1]Career Bands &amp; Levels'!C:C,"No Grade Differentiator")</f>
        <v>No Grade Differentiator</v>
      </c>
      <c r="Z212" s="43" t="str">
        <f>IFERROR(O212&amp;" - "&amp;G212,"--")</f>
        <v>Group Manager Digital Transformation - 16</v>
      </c>
      <c r="AA212" s="44" t="str">
        <f>_xlfn.XLOOKUP($H212,'[1]SIG Qualifications Input'!$D:$D,'[1]SIG Qualifications Input'!$H:$H)</f>
        <v>University degree or equivalent and 10-15 years of work experience or equivalent
Profound experience in management of a global function or major region including setting the respective strategy</v>
      </c>
    </row>
    <row r="213" spans="1:27" ht="169" thickBot="1" x14ac:dyDescent="0.2">
      <c r="A213" s="34" t="str">
        <f>_xlfn.XLOOKUP(C213,'[1]SIG Job Families &amp; Descriptions'!F:F,'[1]SIG Job Families &amp; Descriptions'!B:B)</f>
        <v>IT</v>
      </c>
      <c r="B213" s="34" t="str">
        <f>_xlfn.XLOOKUP(C213,'[1]SIG Job Families &amp; Descriptions'!F:F,'[1]SIG Job Families &amp; Descriptions'!D:D)</f>
        <v>General IT</v>
      </c>
      <c r="C213" s="34" t="s">
        <v>75</v>
      </c>
      <c r="D213" s="30" t="str">
        <f t="shared" si="6"/>
        <v>AIC</v>
      </c>
      <c r="E213" s="31" t="str">
        <f>_xlfn.XLOOKUP(C213,'[1]SIG Job Families &amp; Descriptions'!F:F,'[1]SIG Job Families &amp; Descriptions'!A:A)</f>
        <v>AIC000</v>
      </c>
      <c r="F213" s="32" t="s">
        <v>32</v>
      </c>
      <c r="G213" s="33" t="s">
        <v>37</v>
      </c>
      <c r="H213" s="34" t="str">
        <f>F213&amp;"-"&amp;G213</f>
        <v>Professional-09</v>
      </c>
      <c r="I213" s="35" t="str">
        <f>IF(ISERROR(_xlfn.XLOOKUP(H213,'[1]SIG Level Structure'!D:D,'[1]SIG Level Structure'!D:D)),"0","1")</f>
        <v>1</v>
      </c>
      <c r="J213" s="36" t="str">
        <f>_xlfn.XLOOKUP($H213,'[1]SIG Level Structure'!$D:$D,'[1]SIG Level Structure'!F:F)</f>
        <v>P2</v>
      </c>
      <c r="K213" s="37" t="str">
        <f>E213&amp;"-"&amp;J213&amp;"-"&amp;G213</f>
        <v>AIC000-P2-09</v>
      </c>
      <c r="L213" s="37" t="str">
        <f>IFERROR(D213&amp;"-"&amp;LEFT(J213,1),"--")</f>
        <v>AIC-P</v>
      </c>
      <c r="M213" s="37" t="str">
        <f>VLOOKUP(L213,'[1]Compatible JC'!$A:$A,1,FALSE)</f>
        <v>AIC-P</v>
      </c>
      <c r="N213" s="37" t="str">
        <f>IFERROR(_xlfn.XLOOKUP(H213,'[1]SIG Level Structure'!D:D,'[1]SIG Level Structure'!C:C),"--")</f>
        <v>Senior Specialist</v>
      </c>
      <c r="O213" s="38" t="str">
        <f>IFERROR(TRIM(N213&amp;" "&amp;C213),"--")</f>
        <v>Senior Specialist General IT</v>
      </c>
      <c r="P213" s="22" t="str">
        <f>_xlfn.XLOOKUP(E213,'[1]SIG Job Families &amp; Descriptions'!A:A,'[1]SIG Job Families &amp; Descriptions'!G:G)</f>
        <v>Responsible for both the design, development and implementation of short- and long-term solutions to information technology (IT) and digital needs through new and existing applications, systems architecture, network systems and applications infrastructure and the management of the IT infrastructure within an organization.</v>
      </c>
      <c r="Q213" s="39" t="str">
        <f>_xlfn.XLOOKUP(E213,'[1]2022 GI Position Descriptions'!E:E,'[1]2022 GI Position Descriptions'!G:G)</f>
        <v>Designs, develops, implements and oversees information technology (IT), including hardware, software and networks | Implements short- and long-term IT solutions that meet the needs of the organization | Installs, configures, administers, upgrades and maintains security for IT hardware, software and network infrastructure</v>
      </c>
      <c r="R213" s="22" t="str">
        <f>IF(LEFT(J213,1)="E","EX",LEFT(J213,1))</f>
        <v>P</v>
      </c>
      <c r="S213" s="22" t="str">
        <f>_xlfn.XLOOKUP($R213,'[1]Career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13" s="22" t="str">
        <f>J213</f>
        <v>P2</v>
      </c>
      <c r="U213" s="40" t="str">
        <f t="shared" si="7"/>
        <v>P2</v>
      </c>
      <c r="V213" s="22" t="str">
        <f>_xlfn.XLOOKUP(T213,'[1]Career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213" s="41" t="str">
        <f>J213&amp;"-"&amp;G213</f>
        <v>P2-09</v>
      </c>
      <c r="X213" s="42" t="str">
        <f>G213</f>
        <v>09</v>
      </c>
      <c r="Y213" s="22" t="str">
        <f>_xlfn.XLOOKUP(W213,'[1]Career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213" s="43" t="str">
        <f>IFERROR(O213&amp;" - "&amp;G213,"--")</f>
        <v>Senior Specialist General IT - 09</v>
      </c>
      <c r="AA213" s="44" t="str">
        <f>_xlfn.XLOOKUP($H213,'[1]SIG Qualifications Input'!$D:$D,'[1]SIG Qualifications Input'!$H:$H)</f>
        <v>University degree or equivalent and 2-4 years of work experience or equivalent</v>
      </c>
    </row>
    <row r="214" spans="1:27" ht="169" thickBot="1" x14ac:dyDescent="0.2">
      <c r="A214" s="34" t="str">
        <f>_xlfn.XLOOKUP(C214,'[1]SIG Job Families &amp; Descriptions'!F:F,'[1]SIG Job Families &amp; Descriptions'!B:B)</f>
        <v>IT</v>
      </c>
      <c r="B214" s="34" t="str">
        <f>_xlfn.XLOOKUP(C214,'[1]SIG Job Families &amp; Descriptions'!F:F,'[1]SIG Job Families &amp; Descriptions'!D:D)</f>
        <v>General IT</v>
      </c>
      <c r="C214" s="34" t="s">
        <v>75</v>
      </c>
      <c r="D214" s="30" t="str">
        <f t="shared" si="6"/>
        <v>AIC</v>
      </c>
      <c r="E214" s="31" t="str">
        <f>_xlfn.XLOOKUP(C214,'[1]SIG Job Families &amp; Descriptions'!F:F,'[1]SIG Job Families &amp; Descriptions'!A:A)</f>
        <v>AIC000</v>
      </c>
      <c r="F214" s="32" t="s">
        <v>32</v>
      </c>
      <c r="G214" s="33" t="s">
        <v>36</v>
      </c>
      <c r="H214" s="34" t="str">
        <f>F214&amp;"-"&amp;G214</f>
        <v>Professional-10</v>
      </c>
      <c r="I214" s="35" t="str">
        <f>IF(ISERROR(_xlfn.XLOOKUP(H214,'[1]SIG Level Structure'!D:D,'[1]SIG Level Structure'!D:D)),"0","1")</f>
        <v>1</v>
      </c>
      <c r="J214" s="36" t="str">
        <f>_xlfn.XLOOKUP($H214,'[1]SIG Level Structure'!$D:$D,'[1]SIG Level Structure'!F:F)</f>
        <v>P2</v>
      </c>
      <c r="K214" s="37" t="str">
        <f>E214&amp;"-"&amp;J214&amp;"-"&amp;G214</f>
        <v>AIC000-P2-10</v>
      </c>
      <c r="L214" s="37" t="str">
        <f>IFERROR(D214&amp;"-"&amp;LEFT(J214,1),"--")</f>
        <v>AIC-P</v>
      </c>
      <c r="M214" s="37" t="str">
        <f>VLOOKUP(L214,'[1]Compatible JC'!$A:$A,1,FALSE)</f>
        <v>AIC-P</v>
      </c>
      <c r="N214" s="37" t="str">
        <f>IFERROR(_xlfn.XLOOKUP(H214,'[1]SIG Level Structure'!D:D,'[1]SIG Level Structure'!C:C),"--")</f>
        <v>Senior Specialist</v>
      </c>
      <c r="O214" s="38" t="str">
        <f>IFERROR(TRIM(N214&amp;" "&amp;C214),"--")</f>
        <v>Senior Specialist General IT</v>
      </c>
      <c r="P214" s="22" t="str">
        <f>_xlfn.XLOOKUP(E214,'[1]SIG Job Families &amp; Descriptions'!A:A,'[1]SIG Job Families &amp; Descriptions'!G:G)</f>
        <v>Responsible for both the design, development and implementation of short- and long-term solutions to information technology (IT) and digital needs through new and existing applications, systems architecture, network systems and applications infrastructure and the management of the IT infrastructure within an organization.</v>
      </c>
      <c r="Q214" s="39" t="str">
        <f>_xlfn.XLOOKUP(E214,'[1]2022 GI Position Descriptions'!E:E,'[1]2022 GI Position Descriptions'!G:G)</f>
        <v>Designs, develops, implements and oversees information technology (IT), including hardware, software and networks | Implements short- and long-term IT solutions that meet the needs of the organization | Installs, configures, administers, upgrades and maintains security for IT hardware, software and network infrastructure</v>
      </c>
      <c r="R214" s="22" t="str">
        <f>IF(LEFT(J214,1)="E","EX",LEFT(J214,1))</f>
        <v>P</v>
      </c>
      <c r="S214" s="22" t="str">
        <f>_xlfn.XLOOKUP($R214,'[1]Career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14" s="22" t="str">
        <f>J214</f>
        <v>P2</v>
      </c>
      <c r="U214" s="40" t="str">
        <f t="shared" si="7"/>
        <v>P2</v>
      </c>
      <c r="V214" s="22" t="str">
        <f>_xlfn.XLOOKUP(T214,'[1]Career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214" s="41" t="str">
        <f>J214&amp;"-"&amp;G214</f>
        <v>P2-10</v>
      </c>
      <c r="X214" s="42" t="str">
        <f>G214</f>
        <v>10</v>
      </c>
      <c r="Y214" s="22" t="str">
        <f>_xlfn.XLOOKUP(W214,'[1]Career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214" s="43" t="str">
        <f>IFERROR(O214&amp;" - "&amp;G214,"--")</f>
        <v>Senior Specialist General IT - 10</v>
      </c>
      <c r="AA214" s="44" t="str">
        <f>_xlfn.XLOOKUP($H214,'[1]SIG Qualifications Input'!$D:$D,'[1]SIG Qualifications Input'!$H:$H)</f>
        <v>University degree or equivalent and 2-4 years of work experience or equivalent</v>
      </c>
    </row>
    <row r="215" spans="1:27" ht="267" thickBot="1" x14ac:dyDescent="0.2">
      <c r="A215" s="34" t="str">
        <f>_xlfn.XLOOKUP(C215,'[1]SIG Job Families &amp; Descriptions'!F:F,'[1]SIG Job Families &amp; Descriptions'!B:B)</f>
        <v>IT</v>
      </c>
      <c r="B215" s="34" t="str">
        <f>_xlfn.XLOOKUP(C215,'[1]SIG Job Families &amp; Descriptions'!F:F,'[1]SIG Job Families &amp; Descriptions'!D:D)</f>
        <v>IT Security</v>
      </c>
      <c r="C215" s="34" t="s">
        <v>77</v>
      </c>
      <c r="D215" s="30" t="str">
        <f t="shared" si="6"/>
        <v>AIT</v>
      </c>
      <c r="E215" s="31" t="str">
        <f>_xlfn.XLOOKUP(C215,'[1]SIG Job Families &amp; Descriptions'!F:F,'[1]SIG Job Families &amp; Descriptions'!A:A)</f>
        <v>AIT070</v>
      </c>
      <c r="F215" s="32" t="s">
        <v>29</v>
      </c>
      <c r="G215" s="33" t="s">
        <v>30</v>
      </c>
      <c r="H215" s="34" t="str">
        <f>F215&amp;"-"&amp;G215</f>
        <v>Management-15</v>
      </c>
      <c r="I215" s="35" t="str">
        <f>IF(ISERROR(_xlfn.XLOOKUP(H215,'[1]SIG Level Structure'!D:D,'[1]SIG Level Structure'!D:D)),"0","1")</f>
        <v>1</v>
      </c>
      <c r="J215" s="36" t="str">
        <f>_xlfn.XLOOKUP($H215,'[1]SIG Level Structure'!$D:$D,'[1]SIG Level Structure'!F:F)</f>
        <v>M3</v>
      </c>
      <c r="K215" s="37" t="str">
        <f>E215&amp;"-"&amp;J215&amp;"-"&amp;G215</f>
        <v>AIT070-M3-15</v>
      </c>
      <c r="L215" s="37" t="str">
        <f>IFERROR(D215&amp;"-"&amp;LEFT(J215,1),"--")</f>
        <v>AIT-M</v>
      </c>
      <c r="M215" s="37" t="str">
        <f>VLOOKUP(L215,'[1]Compatible JC'!$A:$A,1,FALSE)</f>
        <v>AIT-M</v>
      </c>
      <c r="N215" s="37" t="str">
        <f>IFERROR(_xlfn.XLOOKUP(H215,'[1]SIG Level Structure'!D:D,'[1]SIG Level Structure'!C:C),"--")</f>
        <v>Senior Manager</v>
      </c>
      <c r="O215" s="38" t="str">
        <f>IFERROR(TRIM(N215&amp;" "&amp;C215),"--")</f>
        <v>Senior Manager IT Security</v>
      </c>
      <c r="P215" s="22" t="str">
        <f>_xlfn.XLOOKUP(E215,'[1]SIG Job Families &amp; Descriptions'!A:A,'[1]SIG Job Families &amp; Descriptions'!G:G)</f>
        <v>Ensures protection of information and IT infrastructure by designing and implementing an information security landscape, promoting cyber security and adequate human behavior, conducting security assessments and resolving security incidents as well as recommending enhancements to improve security. Develops and enforces general technical, procedural and operational IT guidelines.</v>
      </c>
      <c r="Q215" s="39" t="str">
        <f>_xlfn.XLOOKUP(E215,'[1]2022 GI Position Descriptions'!E:E,'[1]2022 GI Position Descriptions'!G:G)</f>
        <v>Evaluates, tests, monitors and maintains information systems (IS) and cyber security policies, procedures and systems I Creates, implements and oversees identity management systems to meet specific security needs and complex compliance standards | Ensures that IS and cyber security plans, controls, processes, standards, policies and procedures are aligned with IS standards and overall IS and cyber security | Identifies security risks and exposures, determines the causes of security violations and suggests procedures to halt future incidents and improve security | Develops techniques and procedures for conducting IS, cyber security and access and identity risk assessments and compliance audits, the evaluation and testing of hardware, firmware and software for possible impact on system security, and the investigation and resolution of security incidents such as intrusion, frauds, attacks or leaks</v>
      </c>
      <c r="R215" s="22" t="str">
        <f>IF(LEFT(J215,1)="E","EX",LEFT(J215,1))</f>
        <v>M</v>
      </c>
      <c r="S215" s="22" t="str">
        <f>_xlfn.XLOOKUP($R215,'[1]Career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215" s="22" t="str">
        <f>J215</f>
        <v>M3</v>
      </c>
      <c r="U215" s="40" t="str">
        <f t="shared" si="7"/>
        <v>M3</v>
      </c>
      <c r="V215" s="22" t="str">
        <f>_xlfn.XLOOKUP(T215,'[1]Career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215" s="41" t="str">
        <f>J215&amp;"-"&amp;G215</f>
        <v>M3-15</v>
      </c>
      <c r="X215" s="42" t="str">
        <f>G215</f>
        <v>15</v>
      </c>
      <c r="Y215" s="22" t="str">
        <f>_xlfn.XLOOKUP(W215,'[1]Career Bands &amp; Levels'!A:A,'[1]Career Bands &amp; Levels'!C:C,"No Grade Differentiator")</f>
        <v xml:space="preserve">●	Looks beyond existing methodologies and own discipline to define and resolve complex problems
●	Develops plans and delivers results in fast-changing businesses and/or regulatory environments
●	Provides input to functional or departmental strategy		
●	Manages large, potentially diverse teams of managers and/or senior professionals		
		</v>
      </c>
      <c r="Z215" s="43" t="str">
        <f>IFERROR(O215&amp;" - "&amp;G215,"--")</f>
        <v>Senior Manager IT Security - 15</v>
      </c>
      <c r="AA215" s="44" t="str">
        <f>_xlfn.XLOOKUP($H215,'[1]SIG Qualifications Input'!$D:$D,'[1]SIG Qualifications Input'!$H:$H)</f>
        <v xml:space="preserve">University degree or equivalent and 10+ years of work experience or equivalent
Profound experience in managing performance and results of diverse activities / multiple teams </v>
      </c>
    </row>
    <row r="216" spans="1:27" ht="267" thickBot="1" x14ac:dyDescent="0.2">
      <c r="A216" s="34" t="str">
        <f>_xlfn.XLOOKUP(C216,'[1]SIG Job Families &amp; Descriptions'!F:F,'[1]SIG Job Families &amp; Descriptions'!B:B)</f>
        <v>IT</v>
      </c>
      <c r="B216" s="34" t="str">
        <f>_xlfn.XLOOKUP(C216,'[1]SIG Job Families &amp; Descriptions'!F:F,'[1]SIG Job Families &amp; Descriptions'!D:D)</f>
        <v>IT Security</v>
      </c>
      <c r="C216" s="34" t="s">
        <v>77</v>
      </c>
      <c r="D216" s="30" t="str">
        <f t="shared" si="6"/>
        <v>AIT</v>
      </c>
      <c r="E216" s="31" t="str">
        <f>_xlfn.XLOOKUP(C216,'[1]SIG Job Families &amp; Descriptions'!F:F,'[1]SIG Job Families &amp; Descriptions'!A:A)</f>
        <v>AIT070</v>
      </c>
      <c r="F216" s="32" t="s">
        <v>29</v>
      </c>
      <c r="G216" s="33" t="s">
        <v>31</v>
      </c>
      <c r="H216" s="34" t="str">
        <f>F216&amp;"-"&amp;G216</f>
        <v>Management-14</v>
      </c>
      <c r="I216" s="35" t="str">
        <f>IF(ISERROR(_xlfn.XLOOKUP(H216,'[1]SIG Level Structure'!D:D,'[1]SIG Level Structure'!D:D)),"0","1")</f>
        <v>1</v>
      </c>
      <c r="J216" s="36" t="str">
        <f>_xlfn.XLOOKUP($H216,'[1]SIG Level Structure'!$D:$D,'[1]SIG Level Structure'!F:F)</f>
        <v>M3</v>
      </c>
      <c r="K216" s="37" t="str">
        <f>E216&amp;"-"&amp;J216&amp;"-"&amp;G216</f>
        <v>AIT070-M3-14</v>
      </c>
      <c r="L216" s="37" t="str">
        <f>IFERROR(D216&amp;"-"&amp;LEFT(J216,1),"--")</f>
        <v>AIT-M</v>
      </c>
      <c r="M216" s="37" t="str">
        <f>VLOOKUP(L216,'[1]Compatible JC'!$A:$A,1,FALSE)</f>
        <v>AIT-M</v>
      </c>
      <c r="N216" s="37" t="str">
        <f>IFERROR(_xlfn.XLOOKUP(H216,'[1]SIG Level Structure'!D:D,'[1]SIG Level Structure'!C:C),"--")</f>
        <v>Senior Manager</v>
      </c>
      <c r="O216" s="38" t="str">
        <f>IFERROR(TRIM(N216&amp;" "&amp;C216),"--")</f>
        <v>Senior Manager IT Security</v>
      </c>
      <c r="P216" s="22" t="str">
        <f>_xlfn.XLOOKUP(E216,'[1]SIG Job Families &amp; Descriptions'!A:A,'[1]SIG Job Families &amp; Descriptions'!G:G)</f>
        <v>Ensures protection of information and IT infrastructure by designing and implementing an information security landscape, promoting cyber security and adequate human behavior, conducting security assessments and resolving security incidents as well as recommending enhancements to improve security. Develops and enforces general technical, procedural and operational IT guidelines.</v>
      </c>
      <c r="Q216" s="39" t="str">
        <f>_xlfn.XLOOKUP(E216,'[1]2022 GI Position Descriptions'!E:E,'[1]2022 GI Position Descriptions'!G:G)</f>
        <v>Evaluates, tests, monitors and maintains information systems (IS) and cyber security policies, procedures and systems I Creates, implements and oversees identity management systems to meet specific security needs and complex compliance standards | Ensures that IS and cyber security plans, controls, processes, standards, policies and procedures are aligned with IS standards and overall IS and cyber security | Identifies security risks and exposures, determines the causes of security violations and suggests procedures to halt future incidents and improve security | Develops techniques and procedures for conducting IS, cyber security and access and identity risk assessments and compliance audits, the evaluation and testing of hardware, firmware and software for possible impact on system security, and the investigation and resolution of security incidents such as intrusion, frauds, attacks or leaks</v>
      </c>
      <c r="R216" s="22" t="str">
        <f>IF(LEFT(J216,1)="E","EX",LEFT(J216,1))</f>
        <v>M</v>
      </c>
      <c r="S216" s="22" t="str">
        <f>_xlfn.XLOOKUP($R216,'[1]Career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216" s="22" t="str">
        <f>J216</f>
        <v>M3</v>
      </c>
      <c r="U216" s="40" t="str">
        <f t="shared" si="7"/>
        <v>M3</v>
      </c>
      <c r="V216" s="22" t="str">
        <f>_xlfn.XLOOKUP(T216,'[1]Career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216" s="41" t="str">
        <f>J216&amp;"-"&amp;G216</f>
        <v>M3-14</v>
      </c>
      <c r="X216" s="42" t="str">
        <f>G216</f>
        <v>14</v>
      </c>
      <c r="Y216" s="22" t="str">
        <f>_xlfn.XLOOKUP(W216,'[1]Career Bands &amp; Levels'!A:A,'[1]Career Bands &amp; Levels'!C:C,"No Grade Differentiator")</f>
        <v xml:space="preserve">●	Identifies applications of functional knowledge and existing methodologies to complex problems	
●	Manages large teams of professionals and/or junior managers		
		</v>
      </c>
      <c r="Z216" s="43" t="str">
        <f>IFERROR(O216&amp;" - "&amp;G216,"--")</f>
        <v>Senior Manager IT Security - 14</v>
      </c>
      <c r="AA216" s="44" t="str">
        <f>_xlfn.XLOOKUP($H216,'[1]SIG Qualifications Input'!$D:$D,'[1]SIG Qualifications Input'!$H:$H)</f>
        <v xml:space="preserve">University degree or equivalent and 10+ years of work experience or equivalent
Profound experience in managing performance and results of diverse activities / multiple teams </v>
      </c>
    </row>
    <row r="217" spans="1:27" ht="270" customHeight="1" thickBot="1" x14ac:dyDescent="0.2">
      <c r="A217" s="34" t="str">
        <f>_xlfn.XLOOKUP(C217,'[1]SIG Job Families &amp; Descriptions'!F:F,'[1]SIG Job Families &amp; Descriptions'!B:B)</f>
        <v>IT</v>
      </c>
      <c r="B217" s="34" t="str">
        <f>_xlfn.XLOOKUP(C217,'[1]SIG Job Families &amp; Descriptions'!F:F,'[1]SIG Job Families &amp; Descriptions'!D:D)</f>
        <v>IT Security</v>
      </c>
      <c r="C217" s="34" t="s">
        <v>77</v>
      </c>
      <c r="D217" s="30" t="str">
        <f t="shared" si="6"/>
        <v>AIT</v>
      </c>
      <c r="E217" s="31" t="str">
        <f>_xlfn.XLOOKUP(C217,'[1]SIG Job Families &amp; Descriptions'!F:F,'[1]SIG Job Families &amp; Descriptions'!A:A)</f>
        <v>AIT070</v>
      </c>
      <c r="F217" s="32" t="s">
        <v>29</v>
      </c>
      <c r="G217" s="33" t="s">
        <v>35</v>
      </c>
      <c r="H217" s="34" t="str">
        <f>F217&amp;"-"&amp;G217</f>
        <v>Management-11</v>
      </c>
      <c r="I217" s="35" t="str">
        <f>IF(ISERROR(_xlfn.XLOOKUP(H217,'[1]SIG Level Structure'!D:D,'[1]SIG Level Structure'!D:D)),"0","1")</f>
        <v>1</v>
      </c>
      <c r="J217" s="36" t="str">
        <f>_xlfn.XLOOKUP($H217,'[1]SIG Level Structure'!$D:$D,'[1]SIG Level Structure'!F:F)</f>
        <v>M1</v>
      </c>
      <c r="K217" s="37" t="str">
        <f>E217&amp;"-"&amp;J217&amp;"-"&amp;G217</f>
        <v>AIT070-M1-11</v>
      </c>
      <c r="L217" s="37" t="str">
        <f>IFERROR(D217&amp;"-"&amp;LEFT(J217,1),"--")</f>
        <v>AIT-M</v>
      </c>
      <c r="M217" s="37" t="str">
        <f>VLOOKUP(L217,'[1]Compatible JC'!$A:$A,1,FALSE)</f>
        <v>AIT-M</v>
      </c>
      <c r="N217" s="37" t="str">
        <f>IFERROR(_xlfn.XLOOKUP(H217,'[1]SIG Level Structure'!D:D,'[1]SIG Level Structure'!C:C),"--")</f>
        <v>Supervisor</v>
      </c>
      <c r="O217" s="38" t="str">
        <f>IFERROR(TRIM(N217&amp;" "&amp;C217),"--")</f>
        <v>Supervisor IT Security</v>
      </c>
      <c r="P217" s="22" t="str">
        <f>_xlfn.XLOOKUP(E217,'[1]SIG Job Families &amp; Descriptions'!A:A,'[1]SIG Job Families &amp; Descriptions'!G:G)</f>
        <v>Ensures protection of information and IT infrastructure by designing and implementing an information security landscape, promoting cyber security and adequate human behavior, conducting security assessments and resolving security incidents as well as recommending enhancements to improve security. Develops and enforces general technical, procedural and operational IT guidelines.</v>
      </c>
      <c r="Q217" s="39" t="str">
        <f>_xlfn.XLOOKUP(E217,'[1]2022 GI Position Descriptions'!E:E,'[1]2022 GI Position Descriptions'!G:G)</f>
        <v>Evaluates, tests, monitors and maintains information systems (IS) and cyber security policies, procedures and systems I Creates, implements and oversees identity management systems to meet specific security needs and complex compliance standards | Ensures that IS and cyber security plans, controls, processes, standards, policies and procedures are aligned with IS standards and overall IS and cyber security | Identifies security risks and exposures, determines the causes of security violations and suggests procedures to halt future incidents and improve security | Develops techniques and procedures for conducting IS, cyber security and access and identity risk assessments and compliance audits, the evaluation and testing of hardware, firmware and software for possible impact on system security, and the investigation and resolution of security incidents such as intrusion, frauds, attacks or leaks</v>
      </c>
      <c r="R217" s="22" t="str">
        <f>IF(LEFT(J217,1)="E","EX",LEFT(J217,1))</f>
        <v>M</v>
      </c>
      <c r="S217" s="22" t="str">
        <f>_xlfn.XLOOKUP($R217,'[1]Career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217" s="22" t="str">
        <f>J217</f>
        <v>M1</v>
      </c>
      <c r="U217" s="40" t="str">
        <f t="shared" si="7"/>
        <v>M1</v>
      </c>
      <c r="V217" s="22" t="str">
        <f>_xlfn.XLOOKUP(T217,'[1]Career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217" s="41" t="str">
        <f>J217&amp;"-"&amp;G217</f>
        <v>M1-11</v>
      </c>
      <c r="X217" s="42" t="str">
        <f>G217</f>
        <v>11</v>
      </c>
      <c r="Y217" s="22" t="str">
        <f>_xlfn.XLOOKUP(W217,'[1]Career Bands &amp; Levels'!A:A,'[1]Career Bands &amp; Levels'!C:C,"No Grade Differentiator")</f>
        <v xml:space="preserve">●	Accountable for the results of a large and/or moderately complex support or production operations team including subordinate work leaders		
●	Applies acquired expertise to analyze and solve problems without clear precedent		
●	Provides input on resource planning and policy development		
●	Coaches team members on performance, completes employee performance evaluations and recommends pay actions		</v>
      </c>
      <c r="Z217" s="43" t="str">
        <f>IFERROR(O217&amp;" - "&amp;G217,"--")</f>
        <v>Supervisor IT Security - 11</v>
      </c>
      <c r="AA217" s="44" t="str">
        <f>_xlfn.XLOOKUP($H217,'[1]SIG Qualifications Input'!$D:$D,'[1]SIG Qualifications Input'!$H:$H)</f>
        <v>University degree or equivalent and 5-7 years of work experience or equivalent
Experienced in application of management techniques
Experience in operationally managing a mixed-level team</v>
      </c>
    </row>
    <row r="218" spans="1:27" ht="267" thickBot="1" x14ac:dyDescent="0.2">
      <c r="A218" s="34" t="str">
        <f>_xlfn.XLOOKUP(C218,'[1]SIG Job Families &amp; Descriptions'!F:F,'[1]SIG Job Families &amp; Descriptions'!B:B)</f>
        <v>IT</v>
      </c>
      <c r="B218" s="34" t="str">
        <f>_xlfn.XLOOKUP(C218,'[1]SIG Job Families &amp; Descriptions'!F:F,'[1]SIG Job Families &amp; Descriptions'!D:D)</f>
        <v>IT Security</v>
      </c>
      <c r="C218" s="34" t="s">
        <v>77</v>
      </c>
      <c r="D218" s="30" t="str">
        <f t="shared" si="6"/>
        <v>AIT</v>
      </c>
      <c r="E218" s="31" t="str">
        <f>_xlfn.XLOOKUP(C218,'[1]SIG Job Families &amp; Descriptions'!F:F,'[1]SIG Job Families &amp; Descriptions'!A:A)</f>
        <v>AIT070</v>
      </c>
      <c r="F218" s="32" t="s">
        <v>29</v>
      </c>
      <c r="G218" s="33" t="s">
        <v>36</v>
      </c>
      <c r="H218" s="34" t="str">
        <f>F218&amp;"-"&amp;G218</f>
        <v>Management-10</v>
      </c>
      <c r="I218" s="35" t="str">
        <f>IF(ISERROR(_xlfn.XLOOKUP(H218,'[1]SIG Level Structure'!D:D,'[1]SIG Level Structure'!D:D)),"0","1")</f>
        <v>1</v>
      </c>
      <c r="J218" s="36" t="str">
        <f>_xlfn.XLOOKUP($H218,'[1]SIG Level Structure'!$D:$D,'[1]SIG Level Structure'!F:F)</f>
        <v>M1</v>
      </c>
      <c r="K218" s="37" t="str">
        <f>E218&amp;"-"&amp;J218&amp;"-"&amp;G218</f>
        <v>AIT070-M1-10</v>
      </c>
      <c r="L218" s="37" t="str">
        <f>IFERROR(D218&amp;"-"&amp;LEFT(J218,1),"--")</f>
        <v>AIT-M</v>
      </c>
      <c r="M218" s="37" t="str">
        <f>VLOOKUP(L218,'[1]Compatible JC'!$A:$A,1,FALSE)</f>
        <v>AIT-M</v>
      </c>
      <c r="N218" s="37" t="str">
        <f>IFERROR(_xlfn.XLOOKUP(H218,'[1]SIG Level Structure'!D:D,'[1]SIG Level Structure'!C:C),"--")</f>
        <v>Supervisor</v>
      </c>
      <c r="O218" s="38" t="str">
        <f>IFERROR(TRIM(N218&amp;" "&amp;C218),"--")</f>
        <v>Supervisor IT Security</v>
      </c>
      <c r="P218" s="22" t="str">
        <f>_xlfn.XLOOKUP(E218,'[1]SIG Job Families &amp; Descriptions'!A:A,'[1]SIG Job Families &amp; Descriptions'!G:G)</f>
        <v>Ensures protection of information and IT infrastructure by designing and implementing an information security landscape, promoting cyber security and adequate human behavior, conducting security assessments and resolving security incidents as well as recommending enhancements to improve security. Develops and enforces general technical, procedural and operational IT guidelines.</v>
      </c>
      <c r="Q218" s="39" t="str">
        <f>_xlfn.XLOOKUP(E218,'[1]2022 GI Position Descriptions'!E:E,'[1]2022 GI Position Descriptions'!G:G)</f>
        <v>Evaluates, tests, monitors and maintains information systems (IS) and cyber security policies, procedures and systems I Creates, implements and oversees identity management systems to meet specific security needs and complex compliance standards | Ensures that IS and cyber security plans, controls, processes, standards, policies and procedures are aligned with IS standards and overall IS and cyber security | Identifies security risks and exposures, determines the causes of security violations and suggests procedures to halt future incidents and improve security | Develops techniques and procedures for conducting IS, cyber security and access and identity risk assessments and compliance audits, the evaluation and testing of hardware, firmware and software for possible impact on system security, and the investigation and resolution of security incidents such as intrusion, frauds, attacks or leaks</v>
      </c>
      <c r="R218" s="22" t="str">
        <f>IF(LEFT(J218,1)="E","EX",LEFT(J218,1))</f>
        <v>M</v>
      </c>
      <c r="S218" s="22" t="str">
        <f>_xlfn.XLOOKUP($R218,'[1]Career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218" s="22" t="str">
        <f>J218</f>
        <v>M1</v>
      </c>
      <c r="U218" s="40" t="str">
        <f t="shared" si="7"/>
        <v>M1</v>
      </c>
      <c r="V218" s="22" t="str">
        <f>_xlfn.XLOOKUP(T218,'[1]Career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218" s="41" t="str">
        <f>J218&amp;"-"&amp;G218</f>
        <v>M1-10</v>
      </c>
      <c r="X218" s="42" t="str">
        <f>G218</f>
        <v>10</v>
      </c>
      <c r="Y218" s="22" t="str">
        <f>_xlfn.XLOOKUP(W218,'[1]Career Bands &amp; Levels'!A:A,'[1]Career Bands &amp; Levels'!C:C,"No Grade Differentiator")</f>
        <v xml:space="preserve">●	Accountable for the results of medium-sized routine support or production operations teams		
●	Solves problems based on practice and precedent		
●	Trains team members and provides input to employee performance evaluations		</v>
      </c>
      <c r="Z218" s="43" t="str">
        <f>IFERROR(O218&amp;" - "&amp;G218,"--")</f>
        <v>Supervisor IT Security - 10</v>
      </c>
      <c r="AA218" s="44" t="str">
        <f>_xlfn.XLOOKUP($H218,'[1]SIG Qualifications Input'!$D:$D,'[1]SIG Qualifications Input'!$H:$H)</f>
        <v>University degree or equivalent and 5-7 years of work experience or equivalent
Experienced in application of management techniques
Experience in operationally managing a mixed-level team</v>
      </c>
    </row>
    <row r="219" spans="1:27" ht="267" thickBot="1" x14ac:dyDescent="0.2">
      <c r="A219" s="34" t="str">
        <f>_xlfn.XLOOKUP(C219,'[1]SIG Job Families &amp; Descriptions'!F:F,'[1]SIG Job Families &amp; Descriptions'!B:B)</f>
        <v>IT</v>
      </c>
      <c r="B219" s="34" t="str">
        <f>_xlfn.XLOOKUP(C219,'[1]SIG Job Families &amp; Descriptions'!F:F,'[1]SIG Job Families &amp; Descriptions'!D:D)</f>
        <v>IT Security</v>
      </c>
      <c r="C219" s="34" t="s">
        <v>77</v>
      </c>
      <c r="D219" s="30" t="str">
        <f t="shared" si="6"/>
        <v>AIT</v>
      </c>
      <c r="E219" s="31" t="str">
        <f>_xlfn.XLOOKUP(C219,'[1]SIG Job Families &amp; Descriptions'!F:F,'[1]SIG Job Families &amp; Descriptions'!A:A)</f>
        <v>AIT070</v>
      </c>
      <c r="F219" s="32" t="s">
        <v>32</v>
      </c>
      <c r="G219" s="33" t="s">
        <v>36</v>
      </c>
      <c r="H219" s="34" t="str">
        <f>F219&amp;"-"&amp;G219</f>
        <v>Professional-10</v>
      </c>
      <c r="I219" s="35" t="str">
        <f>IF(ISERROR(_xlfn.XLOOKUP(H219,'[1]SIG Level Structure'!D:D,'[1]SIG Level Structure'!D:D)),"0","1")</f>
        <v>1</v>
      </c>
      <c r="J219" s="36" t="str">
        <f>_xlfn.XLOOKUP($H219,'[1]SIG Level Structure'!$D:$D,'[1]SIG Level Structure'!F:F)</f>
        <v>P2</v>
      </c>
      <c r="K219" s="37" t="str">
        <f>E219&amp;"-"&amp;J219&amp;"-"&amp;G219</f>
        <v>AIT070-P2-10</v>
      </c>
      <c r="L219" s="37" t="str">
        <f>IFERROR(D219&amp;"-"&amp;LEFT(J219,1),"--")</f>
        <v>AIT-P</v>
      </c>
      <c r="M219" s="37" t="str">
        <f>VLOOKUP(L219,'[1]Compatible JC'!$A:$A,1,FALSE)</f>
        <v>AIT-P</v>
      </c>
      <c r="N219" s="37" t="str">
        <f>IFERROR(_xlfn.XLOOKUP(H219,'[1]SIG Level Structure'!D:D,'[1]SIG Level Structure'!C:C),"--")</f>
        <v>Senior Specialist</v>
      </c>
      <c r="O219" s="38" t="str">
        <f>IFERROR(TRIM(N219&amp;" "&amp;C219),"--")</f>
        <v>Senior Specialist IT Security</v>
      </c>
      <c r="P219" s="22" t="str">
        <f>_xlfn.XLOOKUP(E219,'[1]SIG Job Families &amp; Descriptions'!A:A,'[1]SIG Job Families &amp; Descriptions'!G:G)</f>
        <v>Ensures protection of information and IT infrastructure by designing and implementing an information security landscape, promoting cyber security and adequate human behavior, conducting security assessments and resolving security incidents as well as recommending enhancements to improve security. Develops and enforces general technical, procedural and operational IT guidelines.</v>
      </c>
      <c r="Q219" s="39" t="str">
        <f>_xlfn.XLOOKUP(E219,'[1]2022 GI Position Descriptions'!E:E,'[1]2022 GI Position Descriptions'!G:G)</f>
        <v>Evaluates, tests, monitors and maintains information systems (IS) and cyber security policies, procedures and systems I Creates, implements and oversees identity management systems to meet specific security needs and complex compliance standards | Ensures that IS and cyber security plans, controls, processes, standards, policies and procedures are aligned with IS standards and overall IS and cyber security | Identifies security risks and exposures, determines the causes of security violations and suggests procedures to halt future incidents and improve security | Develops techniques and procedures for conducting IS, cyber security and access and identity risk assessments and compliance audits, the evaluation and testing of hardware, firmware and software for possible impact on system security, and the investigation and resolution of security incidents such as intrusion, frauds, attacks or leaks</v>
      </c>
      <c r="R219" s="22" t="str">
        <f>IF(LEFT(J219,1)="E","EX",LEFT(J219,1))</f>
        <v>P</v>
      </c>
      <c r="S219" s="22" t="str">
        <f>_xlfn.XLOOKUP($R219,'[1]Career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19" s="22" t="str">
        <f>J219</f>
        <v>P2</v>
      </c>
      <c r="U219" s="40" t="str">
        <f t="shared" si="7"/>
        <v>P2</v>
      </c>
      <c r="V219" s="22" t="str">
        <f>_xlfn.XLOOKUP(T219,'[1]Career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219" s="41" t="str">
        <f>J219&amp;"-"&amp;G219</f>
        <v>P2-10</v>
      </c>
      <c r="X219" s="42" t="str">
        <f>G219</f>
        <v>10</v>
      </c>
      <c r="Y219" s="22" t="str">
        <f>_xlfn.XLOOKUP(W219,'[1]Career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219" s="43" t="str">
        <f>IFERROR(O219&amp;" - "&amp;G219,"--")</f>
        <v>Senior Specialist IT Security - 10</v>
      </c>
      <c r="AA219" s="44" t="str">
        <f>_xlfn.XLOOKUP($H219,'[1]SIG Qualifications Input'!$D:$D,'[1]SIG Qualifications Input'!$H:$H)</f>
        <v>University degree or equivalent and 2-4 years of work experience or equivalent</v>
      </c>
    </row>
    <row r="220" spans="1:27" ht="267" thickBot="1" x14ac:dyDescent="0.2">
      <c r="A220" s="34" t="str">
        <f>_xlfn.XLOOKUP(C220,'[1]SIG Job Families &amp; Descriptions'!F:F,'[1]SIG Job Families &amp; Descriptions'!B:B)</f>
        <v>IT</v>
      </c>
      <c r="B220" s="34" t="str">
        <f>_xlfn.XLOOKUP(C220,'[1]SIG Job Families &amp; Descriptions'!F:F,'[1]SIG Job Families &amp; Descriptions'!D:D)</f>
        <v>IT Security</v>
      </c>
      <c r="C220" s="34" t="s">
        <v>77</v>
      </c>
      <c r="D220" s="30" t="str">
        <f t="shared" si="6"/>
        <v>AIT</v>
      </c>
      <c r="E220" s="31" t="str">
        <f>_xlfn.XLOOKUP(C220,'[1]SIG Job Families &amp; Descriptions'!F:F,'[1]SIG Job Families &amp; Descriptions'!A:A)</f>
        <v>AIT070</v>
      </c>
      <c r="F220" s="32" t="s">
        <v>32</v>
      </c>
      <c r="G220" s="33" t="s">
        <v>37</v>
      </c>
      <c r="H220" s="34" t="str">
        <f>F220&amp;"-"&amp;G220</f>
        <v>Professional-09</v>
      </c>
      <c r="I220" s="35" t="str">
        <f>IF(ISERROR(_xlfn.XLOOKUP(H220,'[1]SIG Level Structure'!D:D,'[1]SIG Level Structure'!D:D)),"0","1")</f>
        <v>1</v>
      </c>
      <c r="J220" s="36" t="str">
        <f>_xlfn.XLOOKUP($H220,'[1]SIG Level Structure'!$D:$D,'[1]SIG Level Structure'!F:F)</f>
        <v>P2</v>
      </c>
      <c r="K220" s="37" t="str">
        <f>E220&amp;"-"&amp;J220&amp;"-"&amp;G220</f>
        <v>AIT070-P2-09</v>
      </c>
      <c r="L220" s="37" t="str">
        <f>IFERROR(D220&amp;"-"&amp;LEFT(J220,1),"--")</f>
        <v>AIT-P</v>
      </c>
      <c r="M220" s="37" t="str">
        <f>VLOOKUP(L220,'[1]Compatible JC'!$A:$A,1,FALSE)</f>
        <v>AIT-P</v>
      </c>
      <c r="N220" s="37" t="str">
        <f>IFERROR(_xlfn.XLOOKUP(H220,'[1]SIG Level Structure'!D:D,'[1]SIG Level Structure'!C:C),"--")</f>
        <v>Senior Specialist</v>
      </c>
      <c r="O220" s="38" t="str">
        <f>IFERROR(TRIM(N220&amp;" "&amp;C220),"--")</f>
        <v>Senior Specialist IT Security</v>
      </c>
      <c r="P220" s="22" t="str">
        <f>_xlfn.XLOOKUP(E220,'[1]SIG Job Families &amp; Descriptions'!A:A,'[1]SIG Job Families &amp; Descriptions'!G:G)</f>
        <v>Ensures protection of information and IT infrastructure by designing and implementing an information security landscape, promoting cyber security and adequate human behavior, conducting security assessments and resolving security incidents as well as recommending enhancements to improve security. Develops and enforces general technical, procedural and operational IT guidelines.</v>
      </c>
      <c r="Q220" s="39" t="str">
        <f>_xlfn.XLOOKUP(E220,'[1]2022 GI Position Descriptions'!E:E,'[1]2022 GI Position Descriptions'!G:G)</f>
        <v>Evaluates, tests, monitors and maintains information systems (IS) and cyber security policies, procedures and systems I Creates, implements and oversees identity management systems to meet specific security needs and complex compliance standards | Ensures that IS and cyber security plans, controls, processes, standards, policies and procedures are aligned with IS standards and overall IS and cyber security | Identifies security risks and exposures, determines the causes of security violations and suggests procedures to halt future incidents and improve security | Develops techniques and procedures for conducting IS, cyber security and access and identity risk assessments and compliance audits, the evaluation and testing of hardware, firmware and software for possible impact on system security, and the investigation and resolution of security incidents such as intrusion, frauds, attacks or leaks</v>
      </c>
      <c r="R220" s="22" t="str">
        <f>IF(LEFT(J220,1)="E","EX",LEFT(J220,1))</f>
        <v>P</v>
      </c>
      <c r="S220" s="22" t="str">
        <f>_xlfn.XLOOKUP($R220,'[1]Career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20" s="22" t="str">
        <f>J220</f>
        <v>P2</v>
      </c>
      <c r="U220" s="40" t="str">
        <f t="shared" si="7"/>
        <v>P2</v>
      </c>
      <c r="V220" s="22" t="str">
        <f>_xlfn.XLOOKUP(T220,'[1]Career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220" s="41" t="str">
        <f>J220&amp;"-"&amp;G220</f>
        <v>P2-09</v>
      </c>
      <c r="X220" s="42" t="str">
        <f>G220</f>
        <v>09</v>
      </c>
      <c r="Y220" s="22" t="str">
        <f>_xlfn.XLOOKUP(W220,'[1]Career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220" s="43" t="str">
        <f>IFERROR(O220&amp;" - "&amp;G220,"--")</f>
        <v>Senior Specialist IT Security - 09</v>
      </c>
      <c r="AA220" s="44" t="str">
        <f>_xlfn.XLOOKUP($H220,'[1]SIG Qualifications Input'!$D:$D,'[1]SIG Qualifications Input'!$H:$H)</f>
        <v>University degree or equivalent and 2-4 years of work experience or equivalent</v>
      </c>
    </row>
    <row r="221" spans="1:27" ht="267" thickBot="1" x14ac:dyDescent="0.2">
      <c r="A221" s="34" t="str">
        <f>_xlfn.XLOOKUP(C221,'[1]SIG Job Families &amp; Descriptions'!F:F,'[1]SIG Job Families &amp; Descriptions'!B:B)</f>
        <v>IT</v>
      </c>
      <c r="B221" s="34" t="str">
        <f>_xlfn.XLOOKUP(C221,'[1]SIG Job Families &amp; Descriptions'!F:F,'[1]SIG Job Families &amp; Descriptions'!D:D)</f>
        <v xml:space="preserve">IT Adminstration &amp; Support  </v>
      </c>
      <c r="C221" s="34" t="s">
        <v>78</v>
      </c>
      <c r="D221" s="30" t="str">
        <f t="shared" si="6"/>
        <v>AIT</v>
      </c>
      <c r="E221" s="31" t="str">
        <f>_xlfn.XLOOKUP(C221,'[1]SIG Job Families &amp; Descriptions'!F:F,'[1]SIG Job Families &amp; Descriptions'!A:A)</f>
        <v>AIT000</v>
      </c>
      <c r="F221" s="32" t="s">
        <v>29</v>
      </c>
      <c r="G221" s="33" t="s">
        <v>30</v>
      </c>
      <c r="H221" s="34" t="str">
        <f>F221&amp;"-"&amp;G221</f>
        <v>Management-15</v>
      </c>
      <c r="I221" s="35" t="str">
        <f>IF(ISERROR(_xlfn.XLOOKUP(H221,'[1]SIG Level Structure'!D:D,'[1]SIG Level Structure'!D:D)),"0","1")</f>
        <v>1</v>
      </c>
      <c r="J221" s="36" t="str">
        <f>_xlfn.XLOOKUP($H221,'[1]SIG Level Structure'!$D:$D,'[1]SIG Level Structure'!F:F)</f>
        <v>M3</v>
      </c>
      <c r="K221" s="37" t="str">
        <f>E221&amp;"-"&amp;J221&amp;"-"&amp;G221</f>
        <v>AIT000-M3-15</v>
      </c>
      <c r="L221" s="37" t="str">
        <f>IFERROR(D221&amp;"-"&amp;LEFT(J221,1),"--")</f>
        <v>AIT-M</v>
      </c>
      <c r="M221" s="37" t="str">
        <f>VLOOKUP(L221,'[1]Compatible JC'!$A:$A,1,FALSE)</f>
        <v>AIT-M</v>
      </c>
      <c r="N221" s="37" t="str">
        <f>IFERROR(_xlfn.XLOOKUP(H221,'[1]SIG Level Structure'!D:D,'[1]SIG Level Structure'!C:C),"--")</f>
        <v>Senior Manager</v>
      </c>
      <c r="O221" s="38" t="str">
        <f>IFERROR(TRIM(N221&amp;" "&amp;C221),"--")</f>
        <v>Senior Manager IT Adminstration &amp; Support</v>
      </c>
      <c r="P221" s="22" t="str">
        <f>_xlfn.XLOOKUP(E221,'[1]SIG Job Families &amp; Descriptions'!A:A,'[1]SIG Job Families &amp; Descriptions'!G:G)</f>
        <v xml:space="preserve">Manages the Information Technology (IT) infrastructure within an organization, including the physical network (e.g., LANs/WANs, servers, terminals) as well as server applications and software (e.g., PeopleSoft, Oracle). Configures, installs, maintains and upgrades server applications and hardware.
Provides (on-site) technical support to the organization's internal users of computer applications and hardware (e.g., PCs, servers, mainframes). Answers questions regarding system procedures, online transactions, systems status and downtime procedures and is typically located within a call center. Collaborates with network services, software systems engineering and/or application development in order to restore service and/or identify problems. Maintains a troubleshooting tracking log ensuring timely resolution of problems.
</v>
      </c>
      <c r="Q221" s="39" t="str">
        <f>_xlfn.XLOOKUP(E221,'[1]2022 GI Position Descriptions'!E:E,'[1]2022 GI Position Descriptions'!G:G)</f>
        <v>Administers the IT infrastructure within an organization, including the physical network (e.g., LANs/WANs, servers, terminals) as well as server applications and software (e.g., PeopleSoft, Oracle) | Responsibilities are within the IT Administration Function as a generalist or in a combination of Disciplines</v>
      </c>
      <c r="R221" s="22" t="str">
        <f>IF(LEFT(J221,1)="E","EX",LEFT(J221,1))</f>
        <v>M</v>
      </c>
      <c r="S221" s="22" t="str">
        <f>_xlfn.XLOOKUP($R221,'[1]Career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221" s="22" t="str">
        <f>J221</f>
        <v>M3</v>
      </c>
      <c r="U221" s="40" t="str">
        <f t="shared" si="7"/>
        <v>M3</v>
      </c>
      <c r="V221" s="22" t="str">
        <f>_xlfn.XLOOKUP(T221,'[1]Career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221" s="41" t="str">
        <f>J221&amp;"-"&amp;G221</f>
        <v>M3-15</v>
      </c>
      <c r="X221" s="42" t="str">
        <f>G221</f>
        <v>15</v>
      </c>
      <c r="Y221" s="22" t="str">
        <f>_xlfn.XLOOKUP(W221,'[1]Career Bands &amp; Levels'!A:A,'[1]Career Bands &amp; Levels'!C:C,"No Grade Differentiator")</f>
        <v xml:space="preserve">●	Looks beyond existing methodologies and own discipline to define and resolve complex problems
●	Develops plans and delivers results in fast-changing businesses and/or regulatory environments
●	Provides input to functional or departmental strategy		
●	Manages large, potentially diverse teams of managers and/or senior professionals		
		</v>
      </c>
      <c r="Z221" s="43" t="str">
        <f>IFERROR(O221&amp;" - "&amp;G221,"--")</f>
        <v>Senior Manager IT Adminstration &amp; Support - 15</v>
      </c>
      <c r="AA221" s="44" t="str">
        <f>_xlfn.XLOOKUP($H221,'[1]SIG Qualifications Input'!$D:$D,'[1]SIG Qualifications Input'!$H:$H)</f>
        <v xml:space="preserve">University degree or equivalent and 10+ years of work experience or equivalent
Profound experience in managing performance and results of diverse activities / multiple teams </v>
      </c>
    </row>
    <row r="222" spans="1:27" ht="267" thickBot="1" x14ac:dyDescent="0.2">
      <c r="A222" s="34" t="str">
        <f>_xlfn.XLOOKUP(C222,'[1]SIG Job Families &amp; Descriptions'!F:F,'[1]SIG Job Families &amp; Descriptions'!B:B)</f>
        <v>IT</v>
      </c>
      <c r="B222" s="34" t="str">
        <f>_xlfn.XLOOKUP(C222,'[1]SIG Job Families &amp; Descriptions'!F:F,'[1]SIG Job Families &amp; Descriptions'!D:D)</f>
        <v xml:space="preserve">IT Adminstration &amp; Support  </v>
      </c>
      <c r="C222" s="34" t="s">
        <v>78</v>
      </c>
      <c r="D222" s="30" t="str">
        <f t="shared" si="6"/>
        <v>AIT</v>
      </c>
      <c r="E222" s="31" t="str">
        <f>_xlfn.XLOOKUP(C222,'[1]SIG Job Families &amp; Descriptions'!F:F,'[1]SIG Job Families &amp; Descriptions'!A:A)</f>
        <v>AIT000</v>
      </c>
      <c r="F222" s="32" t="s">
        <v>29</v>
      </c>
      <c r="G222" s="33" t="s">
        <v>31</v>
      </c>
      <c r="H222" s="34" t="str">
        <f>F222&amp;"-"&amp;G222</f>
        <v>Management-14</v>
      </c>
      <c r="I222" s="35" t="str">
        <f>IF(ISERROR(_xlfn.XLOOKUP(H222,'[1]SIG Level Structure'!D:D,'[1]SIG Level Structure'!D:D)),"0","1")</f>
        <v>1</v>
      </c>
      <c r="J222" s="36" t="str">
        <f>_xlfn.XLOOKUP($H222,'[1]SIG Level Structure'!$D:$D,'[1]SIG Level Structure'!F:F)</f>
        <v>M3</v>
      </c>
      <c r="K222" s="37" t="str">
        <f>E222&amp;"-"&amp;J222&amp;"-"&amp;G222</f>
        <v>AIT000-M3-14</v>
      </c>
      <c r="L222" s="37" t="str">
        <f>IFERROR(D222&amp;"-"&amp;LEFT(J222,1),"--")</f>
        <v>AIT-M</v>
      </c>
      <c r="M222" s="37" t="str">
        <f>VLOOKUP(L222,'[1]Compatible JC'!$A:$A,1,FALSE)</f>
        <v>AIT-M</v>
      </c>
      <c r="N222" s="37" t="str">
        <f>IFERROR(_xlfn.XLOOKUP(H222,'[1]SIG Level Structure'!D:D,'[1]SIG Level Structure'!C:C),"--")</f>
        <v>Senior Manager</v>
      </c>
      <c r="O222" s="38" t="str">
        <f>IFERROR(TRIM(N222&amp;" "&amp;C222),"--")</f>
        <v>Senior Manager IT Adminstration &amp; Support</v>
      </c>
      <c r="P222" s="22" t="str">
        <f>_xlfn.XLOOKUP(E222,'[1]SIG Job Families &amp; Descriptions'!A:A,'[1]SIG Job Families &amp; Descriptions'!G:G)</f>
        <v xml:space="preserve">Manages the Information Technology (IT) infrastructure within an organization, including the physical network (e.g., LANs/WANs, servers, terminals) as well as server applications and software (e.g., PeopleSoft, Oracle). Configures, installs, maintains and upgrades server applications and hardware.
Provides (on-site) technical support to the organization's internal users of computer applications and hardware (e.g., PCs, servers, mainframes). Answers questions regarding system procedures, online transactions, systems status and downtime procedures and is typically located within a call center. Collaborates with network services, software systems engineering and/or application development in order to restore service and/or identify problems. Maintains a troubleshooting tracking log ensuring timely resolution of problems.
</v>
      </c>
      <c r="Q222" s="39" t="str">
        <f>_xlfn.XLOOKUP(E222,'[1]2022 GI Position Descriptions'!E:E,'[1]2022 GI Position Descriptions'!G:G)</f>
        <v>Administers the IT infrastructure within an organization, including the physical network (e.g., LANs/WANs, servers, terminals) as well as server applications and software (e.g., PeopleSoft, Oracle) | Responsibilities are within the IT Administration Function as a generalist or in a combination of Disciplines</v>
      </c>
      <c r="R222" s="22" t="str">
        <f>IF(LEFT(J222,1)="E","EX",LEFT(J222,1))</f>
        <v>M</v>
      </c>
      <c r="S222" s="22" t="str">
        <f>_xlfn.XLOOKUP($R222,'[1]Career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222" s="22" t="str">
        <f>J222</f>
        <v>M3</v>
      </c>
      <c r="U222" s="40" t="str">
        <f t="shared" si="7"/>
        <v>M3</v>
      </c>
      <c r="V222" s="22" t="str">
        <f>_xlfn.XLOOKUP(T222,'[1]Career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222" s="41" t="str">
        <f>J222&amp;"-"&amp;G222</f>
        <v>M3-14</v>
      </c>
      <c r="X222" s="42" t="str">
        <f>G222</f>
        <v>14</v>
      </c>
      <c r="Y222" s="22" t="str">
        <f>_xlfn.XLOOKUP(W222,'[1]Career Bands &amp; Levels'!A:A,'[1]Career Bands &amp; Levels'!C:C,"No Grade Differentiator")</f>
        <v xml:space="preserve">●	Identifies applications of functional knowledge and existing methodologies to complex problems	
●	Manages large teams of professionals and/or junior managers		
		</v>
      </c>
      <c r="Z222" s="43" t="str">
        <f>IFERROR(O222&amp;" - "&amp;G222,"--")</f>
        <v>Senior Manager IT Adminstration &amp; Support - 14</v>
      </c>
      <c r="AA222" s="44" t="str">
        <f>_xlfn.XLOOKUP($H222,'[1]SIG Qualifications Input'!$D:$D,'[1]SIG Qualifications Input'!$H:$H)</f>
        <v xml:space="preserve">University degree or equivalent and 10+ years of work experience or equivalent
Profound experience in managing performance and results of diverse activities / multiple teams </v>
      </c>
    </row>
    <row r="223" spans="1:27" ht="267" thickBot="1" x14ac:dyDescent="0.2">
      <c r="A223" s="34" t="str">
        <f>_xlfn.XLOOKUP(C223,'[1]SIG Job Families &amp; Descriptions'!F:F,'[1]SIG Job Families &amp; Descriptions'!B:B)</f>
        <v>IT</v>
      </c>
      <c r="B223" s="34" t="str">
        <f>_xlfn.XLOOKUP(C223,'[1]SIG Job Families &amp; Descriptions'!F:F,'[1]SIG Job Families &amp; Descriptions'!D:D)</f>
        <v xml:space="preserve">IT Adminstration &amp; Support  </v>
      </c>
      <c r="C223" s="34" t="s">
        <v>78</v>
      </c>
      <c r="D223" s="30" t="str">
        <f t="shared" si="6"/>
        <v>AIT</v>
      </c>
      <c r="E223" s="31" t="str">
        <f>_xlfn.XLOOKUP(C223,'[1]SIG Job Families &amp; Descriptions'!F:F,'[1]SIG Job Families &amp; Descriptions'!A:A)</f>
        <v>AIT000</v>
      </c>
      <c r="F223" s="32" t="s">
        <v>29</v>
      </c>
      <c r="G223" s="33" t="s">
        <v>33</v>
      </c>
      <c r="H223" s="34" t="str">
        <f>F223&amp;"-"&amp;G223</f>
        <v>Management-13</v>
      </c>
      <c r="I223" s="35" t="str">
        <f>IF(ISERROR(_xlfn.XLOOKUP(H223,'[1]SIG Level Structure'!D:D,'[1]SIG Level Structure'!D:D)),"0","1")</f>
        <v>1</v>
      </c>
      <c r="J223" s="36" t="str">
        <f>_xlfn.XLOOKUP($H223,'[1]SIG Level Structure'!$D:$D,'[1]SIG Level Structure'!F:F)</f>
        <v>M2</v>
      </c>
      <c r="K223" s="37" t="str">
        <f>E223&amp;"-"&amp;J223&amp;"-"&amp;G223</f>
        <v>AIT000-M2-13</v>
      </c>
      <c r="L223" s="37" t="str">
        <f>IFERROR(D223&amp;"-"&amp;LEFT(J223,1),"--")</f>
        <v>AIT-M</v>
      </c>
      <c r="M223" s="37" t="str">
        <f>VLOOKUP(L223,'[1]Compatible JC'!$A:$A,1,FALSE)</f>
        <v>AIT-M</v>
      </c>
      <c r="N223" s="37" t="str">
        <f>IFERROR(_xlfn.XLOOKUP(H223,'[1]SIG Level Structure'!D:D,'[1]SIG Level Structure'!C:C),"--")</f>
        <v>Manager</v>
      </c>
      <c r="O223" s="38" t="str">
        <f>IFERROR(TRIM(N223&amp;" "&amp;C223),"--")</f>
        <v>Manager IT Adminstration &amp; Support</v>
      </c>
      <c r="P223" s="22" t="str">
        <f>_xlfn.XLOOKUP(E223,'[1]SIG Job Families &amp; Descriptions'!A:A,'[1]SIG Job Families &amp; Descriptions'!G:G)</f>
        <v xml:space="preserve">Manages the Information Technology (IT) infrastructure within an organization, including the physical network (e.g., LANs/WANs, servers, terminals) as well as server applications and software (e.g., PeopleSoft, Oracle). Configures, installs, maintains and upgrades server applications and hardware.
Provides (on-site) technical support to the organization's internal users of computer applications and hardware (e.g., PCs, servers, mainframes). Answers questions regarding system procedures, online transactions, systems status and downtime procedures and is typically located within a call center. Collaborates with network services, software systems engineering and/or application development in order to restore service and/or identify problems. Maintains a troubleshooting tracking log ensuring timely resolution of problems.
</v>
      </c>
      <c r="Q223" s="39" t="str">
        <f>_xlfn.XLOOKUP(E223,'[1]2022 GI Position Descriptions'!E:E,'[1]2022 GI Position Descriptions'!G:G)</f>
        <v>Administers the IT infrastructure within an organization, including the physical network (e.g., LANs/WANs, servers, terminals) as well as server applications and software (e.g., PeopleSoft, Oracle) | Responsibilities are within the IT Administration Function as a generalist or in a combination of Disciplines</v>
      </c>
      <c r="R223" s="22" t="str">
        <f>IF(LEFT(J223,1)="E","EX",LEFT(J223,1))</f>
        <v>M</v>
      </c>
      <c r="S223" s="22" t="str">
        <f>_xlfn.XLOOKUP($R223,'[1]Career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223" s="22" t="str">
        <f>J223</f>
        <v>M2</v>
      </c>
      <c r="U223" s="40" t="str">
        <f t="shared" si="7"/>
        <v>M2</v>
      </c>
      <c r="V223" s="22" t="str">
        <f>_xlfn.XLOOKUP(T223,'[1]Career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223" s="41" t="str">
        <f>J223&amp;"-"&amp;G223</f>
        <v>M2-13</v>
      </c>
      <c r="X223" s="42" t="str">
        <f>G223</f>
        <v>13</v>
      </c>
      <c r="Y223" s="22" t="str">
        <f>_xlfn.XLOOKUP(W223,'[1]Career Bands &amp; Levels'!A:A,'[1]Career Bands &amp; Levels'!C:C,"No Grade Differentiator")</f>
        <v>●	Accountable for the budget, performance and results of a medium-sized team or multiple small teams of employees		
●	Exercises full management authority, including performance reviews, pay decisions, recruitment, discipline, termination and other personnel actions		
●	Addresses issues with impact beyond own team based on knowledge of related disciplines</v>
      </c>
      <c r="Z223" s="43" t="str">
        <f>IFERROR(O223&amp;" - "&amp;G223,"--")</f>
        <v>Manager IT Adminstration &amp; Support - 13</v>
      </c>
      <c r="AA223" s="44" t="str">
        <f>_xlfn.XLOOKUP($H223,'[1]SIG Qualifications Input'!$D:$D,'[1]SIG Qualifications Input'!$H:$H)</f>
        <v>University degree or equivalent and 7-10 years of work experience or equivalent
Experience in managing mixed-level team(s) of professionals and subordinate managers</v>
      </c>
    </row>
    <row r="224" spans="1:27" ht="267" thickBot="1" x14ac:dyDescent="0.2">
      <c r="A224" s="34" t="str">
        <f>_xlfn.XLOOKUP(C224,'[1]SIG Job Families &amp; Descriptions'!F:F,'[1]SIG Job Families &amp; Descriptions'!B:B)</f>
        <v>IT</v>
      </c>
      <c r="B224" s="34" t="str">
        <f>_xlfn.XLOOKUP(C224,'[1]SIG Job Families &amp; Descriptions'!F:F,'[1]SIG Job Families &amp; Descriptions'!D:D)</f>
        <v xml:space="preserve">IT Adminstration &amp; Support  </v>
      </c>
      <c r="C224" s="34" t="s">
        <v>78</v>
      </c>
      <c r="D224" s="30" t="str">
        <f t="shared" si="6"/>
        <v>AIT</v>
      </c>
      <c r="E224" s="31" t="str">
        <f>_xlfn.XLOOKUP(C224,'[1]SIG Job Families &amp; Descriptions'!F:F,'[1]SIG Job Families &amp; Descriptions'!A:A)</f>
        <v>AIT000</v>
      </c>
      <c r="F224" s="32" t="s">
        <v>29</v>
      </c>
      <c r="G224" s="33" t="s">
        <v>34</v>
      </c>
      <c r="H224" s="34" t="str">
        <f>F224&amp;"-"&amp;G224</f>
        <v>Management-12</v>
      </c>
      <c r="I224" s="35" t="str">
        <f>IF(ISERROR(_xlfn.XLOOKUP(H224,'[1]SIG Level Structure'!D:D,'[1]SIG Level Structure'!D:D)),"0","1")</f>
        <v>1</v>
      </c>
      <c r="J224" s="36" t="str">
        <f>_xlfn.XLOOKUP($H224,'[1]SIG Level Structure'!$D:$D,'[1]SIG Level Structure'!F:F)</f>
        <v>M2</v>
      </c>
      <c r="K224" s="37" t="str">
        <f>E224&amp;"-"&amp;J224&amp;"-"&amp;G224</f>
        <v>AIT000-M2-12</v>
      </c>
      <c r="L224" s="37" t="str">
        <f>IFERROR(D224&amp;"-"&amp;LEFT(J224,1),"--")</f>
        <v>AIT-M</v>
      </c>
      <c r="M224" s="37" t="str">
        <f>VLOOKUP(L224,'[1]Compatible JC'!$A:$A,1,FALSE)</f>
        <v>AIT-M</v>
      </c>
      <c r="N224" s="37" t="str">
        <f>IFERROR(_xlfn.XLOOKUP(H224,'[1]SIG Level Structure'!D:D,'[1]SIG Level Structure'!C:C),"--")</f>
        <v>Manager</v>
      </c>
      <c r="O224" s="38" t="str">
        <f>IFERROR(TRIM(N224&amp;" "&amp;C224),"--")</f>
        <v>Manager IT Adminstration &amp; Support</v>
      </c>
      <c r="P224" s="22" t="str">
        <f>_xlfn.XLOOKUP(E224,'[1]SIG Job Families &amp; Descriptions'!A:A,'[1]SIG Job Families &amp; Descriptions'!G:G)</f>
        <v xml:space="preserve">Manages the Information Technology (IT) infrastructure within an organization, including the physical network (e.g., LANs/WANs, servers, terminals) as well as server applications and software (e.g., PeopleSoft, Oracle). Configures, installs, maintains and upgrades server applications and hardware.
Provides (on-site) technical support to the organization's internal users of computer applications and hardware (e.g., PCs, servers, mainframes). Answers questions regarding system procedures, online transactions, systems status and downtime procedures and is typically located within a call center. Collaborates with network services, software systems engineering and/or application development in order to restore service and/or identify problems. Maintains a troubleshooting tracking log ensuring timely resolution of problems.
</v>
      </c>
      <c r="Q224" s="39" t="str">
        <f>_xlfn.XLOOKUP(E224,'[1]2022 GI Position Descriptions'!E:E,'[1]2022 GI Position Descriptions'!G:G)</f>
        <v>Administers the IT infrastructure within an organization, including the physical network (e.g., LANs/WANs, servers, terminals) as well as server applications and software (e.g., PeopleSoft, Oracle) | Responsibilities are within the IT Administration Function as a generalist or in a combination of Disciplines</v>
      </c>
      <c r="R224" s="22" t="str">
        <f>IF(LEFT(J224,1)="E","EX",LEFT(J224,1))</f>
        <v>M</v>
      </c>
      <c r="S224" s="22" t="str">
        <f>_xlfn.XLOOKUP($R224,'[1]Career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224" s="22" t="str">
        <f>J224</f>
        <v>M2</v>
      </c>
      <c r="U224" s="40" t="str">
        <f t="shared" si="7"/>
        <v>M2</v>
      </c>
      <c r="V224" s="22" t="str">
        <f>_xlfn.XLOOKUP(T224,'[1]Career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224" s="41" t="str">
        <f>J224&amp;"-"&amp;G224</f>
        <v>M2-12</v>
      </c>
      <c r="X224" s="42" t="str">
        <f>G224</f>
        <v>12</v>
      </c>
      <c r="Y224" s="22" t="str">
        <f>_xlfn.XLOOKUP(W224,'[1]Career Bands &amp; Levels'!A:A,'[1]Career Bands &amp; Levels'!C:C,"No Grade Differentiator")</f>
        <v xml:space="preserve">●	Accountable for results of a small team of employees		
●	Exercises limited management authority; sets employee performance objectives, conducts performance reviews and recommends pay actions		
●	Defines team operating standards and ensures essential procedures are followed based on knowledge of own discipline		</v>
      </c>
      <c r="Z224" s="43" t="str">
        <f>IFERROR(O224&amp;" - "&amp;G224,"--")</f>
        <v>Manager IT Adminstration &amp; Support - 12</v>
      </c>
      <c r="AA224" s="44" t="str">
        <f>_xlfn.XLOOKUP($H224,'[1]SIG Qualifications Input'!$D:$D,'[1]SIG Qualifications Input'!$H:$H)</f>
        <v>University degree or equivalent and 7-10 years of work experience or equivalent
Experience in managing mixed-level team(s) of professionals and subordinate managers</v>
      </c>
    </row>
    <row r="225" spans="1:27" ht="267" thickBot="1" x14ac:dyDescent="0.2">
      <c r="A225" s="34" t="str">
        <f>_xlfn.XLOOKUP(C225,'[1]SIG Job Families &amp; Descriptions'!F:F,'[1]SIG Job Families &amp; Descriptions'!B:B)</f>
        <v>IT</v>
      </c>
      <c r="B225" s="34" t="str">
        <f>_xlfn.XLOOKUP(C225,'[1]SIG Job Families &amp; Descriptions'!F:F,'[1]SIG Job Families &amp; Descriptions'!D:D)</f>
        <v xml:space="preserve">IT Adminstration &amp; Support  </v>
      </c>
      <c r="C225" s="34" t="s">
        <v>78</v>
      </c>
      <c r="D225" s="30" t="str">
        <f t="shared" si="6"/>
        <v>AIT</v>
      </c>
      <c r="E225" s="31" t="str">
        <f>_xlfn.XLOOKUP(C225,'[1]SIG Job Families &amp; Descriptions'!F:F,'[1]SIG Job Families &amp; Descriptions'!A:A)</f>
        <v>AIT000</v>
      </c>
      <c r="F225" s="32" t="s">
        <v>29</v>
      </c>
      <c r="G225" s="33" t="s">
        <v>35</v>
      </c>
      <c r="H225" s="34" t="str">
        <f>F225&amp;"-"&amp;G225</f>
        <v>Management-11</v>
      </c>
      <c r="I225" s="35" t="str">
        <f>IF(ISERROR(_xlfn.XLOOKUP(H225,'[1]SIG Level Structure'!D:D,'[1]SIG Level Structure'!D:D)),"0","1")</f>
        <v>1</v>
      </c>
      <c r="J225" s="36" t="str">
        <f>_xlfn.XLOOKUP($H225,'[1]SIG Level Structure'!$D:$D,'[1]SIG Level Structure'!F:F)</f>
        <v>M1</v>
      </c>
      <c r="K225" s="37" t="str">
        <f>E225&amp;"-"&amp;J225&amp;"-"&amp;G225</f>
        <v>AIT000-M1-11</v>
      </c>
      <c r="L225" s="37" t="str">
        <f>IFERROR(D225&amp;"-"&amp;LEFT(J225,1),"--")</f>
        <v>AIT-M</v>
      </c>
      <c r="M225" s="37" t="str">
        <f>VLOOKUP(L225,'[1]Compatible JC'!$A:$A,1,FALSE)</f>
        <v>AIT-M</v>
      </c>
      <c r="N225" s="37" t="str">
        <f>IFERROR(_xlfn.XLOOKUP(H225,'[1]SIG Level Structure'!D:D,'[1]SIG Level Structure'!C:C),"--")</f>
        <v>Supervisor</v>
      </c>
      <c r="O225" s="38" t="str">
        <f>IFERROR(TRIM(N225&amp;" "&amp;C225),"--")</f>
        <v>Supervisor IT Adminstration &amp; Support</v>
      </c>
      <c r="P225" s="22" t="str">
        <f>_xlfn.XLOOKUP(E225,'[1]SIG Job Families &amp; Descriptions'!A:A,'[1]SIG Job Families &amp; Descriptions'!G:G)</f>
        <v xml:space="preserve">Manages the Information Technology (IT) infrastructure within an organization, including the physical network (e.g., LANs/WANs, servers, terminals) as well as server applications and software (e.g., PeopleSoft, Oracle). Configures, installs, maintains and upgrades server applications and hardware.
Provides (on-site) technical support to the organization's internal users of computer applications and hardware (e.g., PCs, servers, mainframes). Answers questions regarding system procedures, online transactions, systems status and downtime procedures and is typically located within a call center. Collaborates with network services, software systems engineering and/or application development in order to restore service and/or identify problems. Maintains a troubleshooting tracking log ensuring timely resolution of problems.
</v>
      </c>
      <c r="Q225" s="39" t="str">
        <f>_xlfn.XLOOKUP(E225,'[1]2022 GI Position Descriptions'!E:E,'[1]2022 GI Position Descriptions'!G:G)</f>
        <v>Administers the IT infrastructure within an organization, including the physical network (e.g., LANs/WANs, servers, terminals) as well as server applications and software (e.g., PeopleSoft, Oracle) | Responsibilities are within the IT Administration Function as a generalist or in a combination of Disciplines</v>
      </c>
      <c r="R225" s="22" t="str">
        <f>IF(LEFT(J225,1)="E","EX",LEFT(J225,1))</f>
        <v>M</v>
      </c>
      <c r="S225" s="22" t="str">
        <f>_xlfn.XLOOKUP($R225,'[1]Career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225" s="22" t="str">
        <f>J225</f>
        <v>M1</v>
      </c>
      <c r="U225" s="40" t="str">
        <f t="shared" si="7"/>
        <v>M1</v>
      </c>
      <c r="V225" s="22" t="str">
        <f>_xlfn.XLOOKUP(T225,'[1]Career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225" s="41" t="str">
        <f>J225&amp;"-"&amp;G225</f>
        <v>M1-11</v>
      </c>
      <c r="X225" s="42" t="str">
        <f>G225</f>
        <v>11</v>
      </c>
      <c r="Y225" s="22" t="str">
        <f>_xlfn.XLOOKUP(W225,'[1]Career Bands &amp; Levels'!A:A,'[1]Career Bands &amp; Levels'!C:C,"No Grade Differentiator")</f>
        <v xml:space="preserve">●	Accountable for the results of a large and/or moderately complex support or production operations team including subordinate work leaders		
●	Applies acquired expertise to analyze and solve problems without clear precedent		
●	Provides input on resource planning and policy development		
●	Coaches team members on performance, completes employee performance evaluations and recommends pay actions		</v>
      </c>
      <c r="Z225" s="43" t="str">
        <f>IFERROR(O225&amp;" - "&amp;G225,"--")</f>
        <v>Supervisor IT Adminstration &amp; Support - 11</v>
      </c>
      <c r="AA225" s="44" t="str">
        <f>_xlfn.XLOOKUP($H225,'[1]SIG Qualifications Input'!$D:$D,'[1]SIG Qualifications Input'!$H:$H)</f>
        <v>University degree or equivalent and 5-7 years of work experience or equivalent
Experienced in application of management techniques
Experience in operationally managing a mixed-level team</v>
      </c>
    </row>
    <row r="226" spans="1:27" ht="243.75" customHeight="1" thickBot="1" x14ac:dyDescent="0.2">
      <c r="A226" s="34" t="str">
        <f>_xlfn.XLOOKUP(C226,'[1]SIG Job Families &amp; Descriptions'!F:F,'[1]SIG Job Families &amp; Descriptions'!B:B)</f>
        <v>IT</v>
      </c>
      <c r="B226" s="34" t="str">
        <f>_xlfn.XLOOKUP(C226,'[1]SIG Job Families &amp; Descriptions'!F:F,'[1]SIG Job Families &amp; Descriptions'!D:D)</f>
        <v xml:space="preserve">IT Adminstration &amp; Support  </v>
      </c>
      <c r="C226" s="34" t="s">
        <v>78</v>
      </c>
      <c r="D226" s="30" t="str">
        <f t="shared" si="6"/>
        <v>AIT</v>
      </c>
      <c r="E226" s="31" t="str">
        <f>_xlfn.XLOOKUP(C226,'[1]SIG Job Families &amp; Descriptions'!F:F,'[1]SIG Job Families &amp; Descriptions'!A:A)</f>
        <v>AIT000</v>
      </c>
      <c r="F226" s="32" t="s">
        <v>29</v>
      </c>
      <c r="G226" s="33" t="s">
        <v>36</v>
      </c>
      <c r="H226" s="34" t="str">
        <f>F226&amp;"-"&amp;G226</f>
        <v>Management-10</v>
      </c>
      <c r="I226" s="35" t="str">
        <f>IF(ISERROR(_xlfn.XLOOKUP(H226,'[1]SIG Level Structure'!D:D,'[1]SIG Level Structure'!D:D)),"0","1")</f>
        <v>1</v>
      </c>
      <c r="J226" s="36" t="str">
        <f>_xlfn.XLOOKUP($H226,'[1]SIG Level Structure'!$D:$D,'[1]SIG Level Structure'!F:F)</f>
        <v>M1</v>
      </c>
      <c r="K226" s="37" t="str">
        <f>E226&amp;"-"&amp;J226&amp;"-"&amp;G226</f>
        <v>AIT000-M1-10</v>
      </c>
      <c r="L226" s="37" t="str">
        <f>IFERROR(D226&amp;"-"&amp;LEFT(J226,1),"--")</f>
        <v>AIT-M</v>
      </c>
      <c r="M226" s="37" t="str">
        <f>VLOOKUP(L226,'[1]Compatible JC'!$A:$A,1,FALSE)</f>
        <v>AIT-M</v>
      </c>
      <c r="N226" s="37" t="str">
        <f>IFERROR(_xlfn.XLOOKUP(H226,'[1]SIG Level Structure'!D:D,'[1]SIG Level Structure'!C:C),"--")</f>
        <v>Supervisor</v>
      </c>
      <c r="O226" s="38" t="str">
        <f>IFERROR(TRIM(N226&amp;" "&amp;C226),"--")</f>
        <v>Supervisor IT Adminstration &amp; Support</v>
      </c>
      <c r="P226" s="22" t="str">
        <f>_xlfn.XLOOKUP(E226,'[1]SIG Job Families &amp; Descriptions'!A:A,'[1]SIG Job Families &amp; Descriptions'!G:G)</f>
        <v xml:space="preserve">Manages the Information Technology (IT) infrastructure within an organization, including the physical network (e.g., LANs/WANs, servers, terminals) as well as server applications and software (e.g., PeopleSoft, Oracle). Configures, installs, maintains and upgrades server applications and hardware.
Provides (on-site) technical support to the organization's internal users of computer applications and hardware (e.g., PCs, servers, mainframes). Answers questions regarding system procedures, online transactions, systems status and downtime procedures and is typically located within a call center. Collaborates with network services, software systems engineering and/or application development in order to restore service and/or identify problems. Maintains a troubleshooting tracking log ensuring timely resolution of problems.
</v>
      </c>
      <c r="Q226" s="39" t="str">
        <f>_xlfn.XLOOKUP(E226,'[1]2022 GI Position Descriptions'!E:E,'[1]2022 GI Position Descriptions'!G:G)</f>
        <v>Administers the IT infrastructure within an organization, including the physical network (e.g., LANs/WANs, servers, terminals) as well as server applications and software (e.g., PeopleSoft, Oracle) | Responsibilities are within the IT Administration Function as a generalist or in a combination of Disciplines</v>
      </c>
      <c r="R226" s="22" t="str">
        <f>IF(LEFT(J226,1)="E","EX",LEFT(J226,1))</f>
        <v>M</v>
      </c>
      <c r="S226" s="22" t="str">
        <f>_xlfn.XLOOKUP($R226,'[1]Career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226" s="22" t="str">
        <f>J226</f>
        <v>M1</v>
      </c>
      <c r="U226" s="40" t="str">
        <f t="shared" si="7"/>
        <v>M1</v>
      </c>
      <c r="V226" s="22" t="str">
        <f>_xlfn.XLOOKUP(T226,'[1]Career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226" s="41" t="str">
        <f>J226&amp;"-"&amp;G226</f>
        <v>M1-10</v>
      </c>
      <c r="X226" s="42" t="str">
        <f>G226</f>
        <v>10</v>
      </c>
      <c r="Y226" s="22" t="str">
        <f>_xlfn.XLOOKUP(W226,'[1]Career Bands &amp; Levels'!A:A,'[1]Career Bands &amp; Levels'!C:C,"No Grade Differentiator")</f>
        <v xml:space="preserve">●	Accountable for the results of medium-sized routine support or production operations teams		
●	Solves problems based on practice and precedent		
●	Trains team members and provides input to employee performance evaluations		</v>
      </c>
      <c r="Z226" s="43" t="str">
        <f>IFERROR(O226&amp;" - "&amp;G226,"--")</f>
        <v>Supervisor IT Adminstration &amp; Support - 10</v>
      </c>
      <c r="AA226" s="44" t="str">
        <f>_xlfn.XLOOKUP($H226,'[1]SIG Qualifications Input'!$D:$D,'[1]SIG Qualifications Input'!$H:$H)</f>
        <v>University degree or equivalent and 5-7 years of work experience or equivalent
Experienced in application of management techniques
Experience in operationally managing a mixed-level team</v>
      </c>
    </row>
    <row r="227" spans="1:27" ht="267" thickBot="1" x14ac:dyDescent="0.2">
      <c r="A227" s="34" t="str">
        <f>_xlfn.XLOOKUP(C227,'[1]SIG Job Families &amp; Descriptions'!F:F,'[1]SIG Job Families &amp; Descriptions'!B:B)</f>
        <v>IT</v>
      </c>
      <c r="B227" s="34" t="str">
        <f>_xlfn.XLOOKUP(C227,'[1]SIG Job Families &amp; Descriptions'!F:F,'[1]SIG Job Families &amp; Descriptions'!D:D)</f>
        <v xml:space="preserve">IT Adminstration &amp; Support  </v>
      </c>
      <c r="C227" s="34" t="s">
        <v>79</v>
      </c>
      <c r="D227" s="30" t="str">
        <f t="shared" si="6"/>
        <v>AIT</v>
      </c>
      <c r="E227" s="31" t="str">
        <f>_xlfn.XLOOKUP(C227,'[1]SIG Job Families &amp; Descriptions'!F:F,'[1]SIG Job Families &amp; Descriptions'!A:A)</f>
        <v>AIT010</v>
      </c>
      <c r="F227" s="32" t="s">
        <v>29</v>
      </c>
      <c r="G227" s="33" t="s">
        <v>35</v>
      </c>
      <c r="H227" s="34" t="str">
        <f>F227&amp;"-"&amp;G227</f>
        <v>Management-11</v>
      </c>
      <c r="I227" s="35" t="str">
        <f>IF(ISERROR(_xlfn.XLOOKUP(H227,'[1]SIG Level Structure'!D:D,'[1]SIG Level Structure'!D:D)),"0","1")</f>
        <v>1</v>
      </c>
      <c r="J227" s="36" t="str">
        <f>_xlfn.XLOOKUP($H227,'[1]SIG Level Structure'!$D:$D,'[1]SIG Level Structure'!F:F)</f>
        <v>M1</v>
      </c>
      <c r="K227" s="37" t="str">
        <f>E227&amp;"-"&amp;J227&amp;"-"&amp;G227</f>
        <v>AIT010-M1-11</v>
      </c>
      <c r="L227" s="37" t="str">
        <f>IFERROR(D227&amp;"-"&amp;LEFT(J227,1),"--")</f>
        <v>AIT-M</v>
      </c>
      <c r="M227" s="37" t="str">
        <f>VLOOKUP(L227,'[1]Compatible JC'!$A:$A,1,FALSE)</f>
        <v>AIT-M</v>
      </c>
      <c r="N227" s="37" t="str">
        <f>IFERROR(_xlfn.XLOOKUP(H227,'[1]SIG Level Structure'!D:D,'[1]SIG Level Structure'!C:C),"--")</f>
        <v>Supervisor</v>
      </c>
      <c r="O227" s="38" t="str">
        <f>IFERROR(TRIM(N227&amp;" "&amp;C227),"--")</f>
        <v>Supervisor IT Infrastructure</v>
      </c>
      <c r="P227" s="22" t="str">
        <f>_xlfn.XLOOKUP(E227,'[1]SIG Job Families &amp; Descriptions'!A:A,'[1]SIG Job Families &amp; Descriptions'!G:G)</f>
        <v xml:space="preserve">Manages the Information Technology (IT) infrastructure within an organization, including the physical network (e.g., LANs/WANs, servers, terminals) as well as server applications and software (e.g., PeopleSoft, Oracle). Configures, installs, maintains and upgrades server applications and hardware.
Provides (on-site) technical support to the organization's internal users of computer applications and hardware (e.g., PCs, servers, mainframes). Answers questions regarding system procedures, online transactions, systems status and downtime procedures and is typically located within a call center. Collaborates with network services, software systems engineering and/or application development in order to restore service and/or identify problems. Maintains a troubleshooting tracking log ensuring timely resolution of problems.
</v>
      </c>
      <c r="Q227" s="39" t="str">
        <f>_xlfn.XLOOKUP(E227,'[1]2022 GI Position Descriptions'!E:E,'[1]2022 GI Position Descriptions'!G:G)</f>
        <v>Configures, installs, maintains and upgrades computer systems hardware and software | Administers and maintains security of operating systems | Restores files or systems by designing, writing and implementing back-up procedures | Provides operational support for the organization's information systems and peripheral equipment such as application servers, database servers, web servers, desktops, printers and storage devices | Performs recovery procedures, scheduling and back-ups and monitors batch processes</v>
      </c>
      <c r="R227" s="22" t="str">
        <f>IF(LEFT(J227,1)="E","EX",LEFT(J227,1))</f>
        <v>M</v>
      </c>
      <c r="S227" s="22" t="str">
        <f>_xlfn.XLOOKUP($R227,'[1]Career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227" s="22" t="str">
        <f>J227</f>
        <v>M1</v>
      </c>
      <c r="U227" s="40" t="str">
        <f t="shared" si="7"/>
        <v>M1</v>
      </c>
      <c r="V227" s="22" t="str">
        <f>_xlfn.XLOOKUP(T227,'[1]Career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227" s="41" t="str">
        <f>J227&amp;"-"&amp;G227</f>
        <v>M1-11</v>
      </c>
      <c r="X227" s="42" t="str">
        <f>G227</f>
        <v>11</v>
      </c>
      <c r="Y227" s="22" t="str">
        <f>_xlfn.XLOOKUP(W227,'[1]Career Bands &amp; Levels'!A:A,'[1]Career Bands &amp; Levels'!C:C,"No Grade Differentiator")</f>
        <v xml:space="preserve">●	Accountable for the results of a large and/or moderately complex support or production operations team including subordinate work leaders		
●	Applies acquired expertise to analyze and solve problems without clear precedent		
●	Provides input on resource planning and policy development		
●	Coaches team members on performance, completes employee performance evaluations and recommends pay actions		</v>
      </c>
      <c r="Z227" s="43" t="str">
        <f>IFERROR(O227&amp;" - "&amp;G227,"--")</f>
        <v>Supervisor IT Infrastructure - 11</v>
      </c>
      <c r="AA227" s="44" t="str">
        <f>_xlfn.XLOOKUP($H227,'[1]SIG Qualifications Input'!$D:$D,'[1]SIG Qualifications Input'!$H:$H)</f>
        <v>University degree or equivalent and 5-7 years of work experience or equivalent
Experienced in application of management techniques
Experience in operationally managing a mixed-level team</v>
      </c>
    </row>
    <row r="228" spans="1:27" ht="267" thickBot="1" x14ac:dyDescent="0.2">
      <c r="A228" s="34" t="str">
        <f>_xlfn.XLOOKUP(C228,'[1]SIG Job Families &amp; Descriptions'!F:F,'[1]SIG Job Families &amp; Descriptions'!B:B)</f>
        <v>IT</v>
      </c>
      <c r="B228" s="34" t="str">
        <f>_xlfn.XLOOKUP(C228,'[1]SIG Job Families &amp; Descriptions'!F:F,'[1]SIG Job Families &amp; Descriptions'!D:D)</f>
        <v xml:space="preserve">IT Adminstration &amp; Support  </v>
      </c>
      <c r="C228" s="34" t="s">
        <v>79</v>
      </c>
      <c r="D228" s="30" t="str">
        <f t="shared" si="6"/>
        <v>AIT</v>
      </c>
      <c r="E228" s="31" t="str">
        <f>_xlfn.XLOOKUP(C228,'[1]SIG Job Families &amp; Descriptions'!F:F,'[1]SIG Job Families &amp; Descriptions'!A:A)</f>
        <v>AIT010</v>
      </c>
      <c r="F228" s="32" t="s">
        <v>29</v>
      </c>
      <c r="G228" s="33" t="s">
        <v>36</v>
      </c>
      <c r="H228" s="34" t="str">
        <f>F228&amp;"-"&amp;G228</f>
        <v>Management-10</v>
      </c>
      <c r="I228" s="35" t="str">
        <f>IF(ISERROR(_xlfn.XLOOKUP(H228,'[1]SIG Level Structure'!D:D,'[1]SIG Level Structure'!D:D)),"0","1")</f>
        <v>1</v>
      </c>
      <c r="J228" s="36" t="str">
        <f>_xlfn.XLOOKUP($H228,'[1]SIG Level Structure'!$D:$D,'[1]SIG Level Structure'!F:F)</f>
        <v>M1</v>
      </c>
      <c r="K228" s="37" t="str">
        <f>E228&amp;"-"&amp;J228&amp;"-"&amp;G228</f>
        <v>AIT010-M1-10</v>
      </c>
      <c r="L228" s="37" t="str">
        <f>IFERROR(D228&amp;"-"&amp;LEFT(J228,1),"--")</f>
        <v>AIT-M</v>
      </c>
      <c r="M228" s="37" t="str">
        <f>VLOOKUP(L228,'[1]Compatible JC'!$A:$A,1,FALSE)</f>
        <v>AIT-M</v>
      </c>
      <c r="N228" s="37" t="str">
        <f>IFERROR(_xlfn.XLOOKUP(H228,'[1]SIG Level Structure'!D:D,'[1]SIG Level Structure'!C:C),"--")</f>
        <v>Supervisor</v>
      </c>
      <c r="O228" s="38" t="str">
        <f>IFERROR(TRIM(N228&amp;" "&amp;C228),"--")</f>
        <v>Supervisor IT Infrastructure</v>
      </c>
      <c r="P228" s="22" t="str">
        <f>_xlfn.XLOOKUP(E228,'[1]SIG Job Families &amp; Descriptions'!A:A,'[1]SIG Job Families &amp; Descriptions'!G:G)</f>
        <v xml:space="preserve">Manages the Information Technology (IT) infrastructure within an organization, including the physical network (e.g., LANs/WANs, servers, terminals) as well as server applications and software (e.g., PeopleSoft, Oracle). Configures, installs, maintains and upgrades server applications and hardware.
Provides (on-site) technical support to the organization's internal users of computer applications and hardware (e.g., PCs, servers, mainframes). Answers questions regarding system procedures, online transactions, systems status and downtime procedures and is typically located within a call center. Collaborates with network services, software systems engineering and/or application development in order to restore service and/or identify problems. Maintains a troubleshooting tracking log ensuring timely resolution of problems.
</v>
      </c>
      <c r="Q228" s="39" t="str">
        <f>_xlfn.XLOOKUP(E228,'[1]2022 GI Position Descriptions'!E:E,'[1]2022 GI Position Descriptions'!G:G)</f>
        <v>Configures, installs, maintains and upgrades computer systems hardware and software | Administers and maintains security of operating systems | Restores files or systems by designing, writing and implementing back-up procedures | Provides operational support for the organization's information systems and peripheral equipment such as application servers, database servers, web servers, desktops, printers and storage devices | Performs recovery procedures, scheduling and back-ups and monitors batch processes</v>
      </c>
      <c r="R228" s="22" t="str">
        <f>IF(LEFT(J228,1)="E","EX",LEFT(J228,1))</f>
        <v>M</v>
      </c>
      <c r="S228" s="22" t="str">
        <f>_xlfn.XLOOKUP($R228,'[1]Career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228" s="22" t="str">
        <f>J228</f>
        <v>M1</v>
      </c>
      <c r="U228" s="40" t="str">
        <f t="shared" si="7"/>
        <v>M1</v>
      </c>
      <c r="V228" s="22" t="str">
        <f>_xlfn.XLOOKUP(T228,'[1]Career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228" s="41" t="str">
        <f>J228&amp;"-"&amp;G228</f>
        <v>M1-10</v>
      </c>
      <c r="X228" s="42" t="str">
        <f>G228</f>
        <v>10</v>
      </c>
      <c r="Y228" s="22" t="str">
        <f>_xlfn.XLOOKUP(W228,'[1]Career Bands &amp; Levels'!A:A,'[1]Career Bands &amp; Levels'!C:C,"No Grade Differentiator")</f>
        <v xml:space="preserve">●	Accountable for the results of medium-sized routine support or production operations teams		
●	Solves problems based on practice and precedent		
●	Trains team members and provides input to employee performance evaluations		</v>
      </c>
      <c r="Z228" s="43" t="str">
        <f>IFERROR(O228&amp;" - "&amp;G228,"--")</f>
        <v>Supervisor IT Infrastructure - 10</v>
      </c>
      <c r="AA228" s="44" t="str">
        <f>_xlfn.XLOOKUP($H228,'[1]SIG Qualifications Input'!$D:$D,'[1]SIG Qualifications Input'!$H:$H)</f>
        <v>University degree or equivalent and 5-7 years of work experience or equivalent
Experienced in application of management techniques
Experience in operationally managing a mixed-level team</v>
      </c>
    </row>
    <row r="229" spans="1:27" ht="240" customHeight="1" thickBot="1" x14ac:dyDescent="0.2">
      <c r="A229" s="34" t="str">
        <f>_xlfn.XLOOKUP(C229,'[1]SIG Job Families &amp; Descriptions'!F:F,'[1]SIG Job Families &amp; Descriptions'!B:B)</f>
        <v>IT</v>
      </c>
      <c r="B229" s="34" t="str">
        <f>_xlfn.XLOOKUP(C229,'[1]SIG Job Families &amp; Descriptions'!F:F,'[1]SIG Job Families &amp; Descriptions'!D:D)</f>
        <v xml:space="preserve">IT Adminstration &amp; Support  </v>
      </c>
      <c r="C229" s="34" t="s">
        <v>79</v>
      </c>
      <c r="D229" s="30" t="str">
        <f t="shared" si="6"/>
        <v>AIT</v>
      </c>
      <c r="E229" s="31" t="str">
        <f>_xlfn.XLOOKUP(C229,'[1]SIG Job Families &amp; Descriptions'!F:F,'[1]SIG Job Families &amp; Descriptions'!A:A)</f>
        <v>AIT010</v>
      </c>
      <c r="F229" s="32" t="s">
        <v>32</v>
      </c>
      <c r="G229" s="33" t="s">
        <v>36</v>
      </c>
      <c r="H229" s="34" t="str">
        <f>F229&amp;"-"&amp;G229</f>
        <v>Professional-10</v>
      </c>
      <c r="I229" s="35" t="str">
        <f>IF(ISERROR(_xlfn.XLOOKUP(H229,'[1]SIG Level Structure'!D:D,'[1]SIG Level Structure'!D:D)),"0","1")</f>
        <v>1</v>
      </c>
      <c r="J229" s="36" t="str">
        <f>_xlfn.XLOOKUP($H229,'[1]SIG Level Structure'!$D:$D,'[1]SIG Level Structure'!F:F)</f>
        <v>P2</v>
      </c>
      <c r="K229" s="37" t="str">
        <f>E229&amp;"-"&amp;J229&amp;"-"&amp;G229</f>
        <v>AIT010-P2-10</v>
      </c>
      <c r="L229" s="37" t="str">
        <f>IFERROR(D229&amp;"-"&amp;LEFT(J229,1),"--")</f>
        <v>AIT-P</v>
      </c>
      <c r="M229" s="37" t="str">
        <f>VLOOKUP(L229,'[1]Compatible JC'!$A:$A,1,FALSE)</f>
        <v>AIT-P</v>
      </c>
      <c r="N229" s="37" t="str">
        <f>IFERROR(_xlfn.XLOOKUP(H229,'[1]SIG Level Structure'!D:D,'[1]SIG Level Structure'!C:C),"--")</f>
        <v>Senior Specialist</v>
      </c>
      <c r="O229" s="38" t="str">
        <f>IFERROR(TRIM(N229&amp;" "&amp;C229),"--")</f>
        <v>Senior Specialist IT Infrastructure</v>
      </c>
      <c r="P229" s="22" t="str">
        <f>_xlfn.XLOOKUP(E229,'[1]SIG Job Families &amp; Descriptions'!A:A,'[1]SIG Job Families &amp; Descriptions'!G:G)</f>
        <v xml:space="preserve">Manages the Information Technology (IT) infrastructure within an organization, including the physical network (e.g., LANs/WANs, servers, terminals) as well as server applications and software (e.g., PeopleSoft, Oracle). Configures, installs, maintains and upgrades server applications and hardware.
Provides (on-site) technical support to the organization's internal users of computer applications and hardware (e.g., PCs, servers, mainframes). Answers questions regarding system procedures, online transactions, systems status and downtime procedures and is typically located within a call center. Collaborates with network services, software systems engineering and/or application development in order to restore service and/or identify problems. Maintains a troubleshooting tracking log ensuring timely resolution of problems.
</v>
      </c>
      <c r="Q229" s="39" t="str">
        <f>_xlfn.XLOOKUP(E229,'[1]2022 GI Position Descriptions'!E:E,'[1]2022 GI Position Descriptions'!G:G)</f>
        <v>Configures, installs, maintains and upgrades computer systems hardware and software | Administers and maintains security of operating systems | Restores files or systems by designing, writing and implementing back-up procedures | Provides operational support for the organization's information systems and peripheral equipment such as application servers, database servers, web servers, desktops, printers and storage devices | Performs recovery procedures, scheduling and back-ups and monitors batch processes</v>
      </c>
      <c r="R229" s="22" t="str">
        <f>IF(LEFT(J229,1)="E","EX",LEFT(J229,1))</f>
        <v>P</v>
      </c>
      <c r="S229" s="22" t="str">
        <f>_xlfn.XLOOKUP($R229,'[1]Career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29" s="22" t="str">
        <f>J229</f>
        <v>P2</v>
      </c>
      <c r="U229" s="40" t="str">
        <f t="shared" si="7"/>
        <v>P2</v>
      </c>
      <c r="V229" s="22" t="str">
        <f>_xlfn.XLOOKUP(T229,'[1]Career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229" s="41" t="str">
        <f>J229&amp;"-"&amp;G229</f>
        <v>P2-10</v>
      </c>
      <c r="X229" s="42" t="str">
        <f>G229</f>
        <v>10</v>
      </c>
      <c r="Y229" s="22" t="str">
        <f>_xlfn.XLOOKUP(W229,'[1]Career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229" s="43" t="str">
        <f>IFERROR(O229&amp;" - "&amp;G229,"--")</f>
        <v>Senior Specialist IT Infrastructure - 10</v>
      </c>
      <c r="AA229" s="44" t="str">
        <f>_xlfn.XLOOKUP($H229,'[1]SIG Qualifications Input'!$D:$D,'[1]SIG Qualifications Input'!$H:$H)</f>
        <v>University degree or equivalent and 2-4 years of work experience or equivalent</v>
      </c>
    </row>
    <row r="230" spans="1:27" ht="267" thickBot="1" x14ac:dyDescent="0.2">
      <c r="A230" s="34" t="str">
        <f>_xlfn.XLOOKUP(C230,'[1]SIG Job Families &amp; Descriptions'!F:F,'[1]SIG Job Families &amp; Descriptions'!B:B)</f>
        <v>IT</v>
      </c>
      <c r="B230" s="34" t="str">
        <f>_xlfn.XLOOKUP(C230,'[1]SIG Job Families &amp; Descriptions'!F:F,'[1]SIG Job Families &amp; Descriptions'!D:D)</f>
        <v xml:space="preserve">IT Adminstration &amp; Support  </v>
      </c>
      <c r="C230" s="34" t="s">
        <v>79</v>
      </c>
      <c r="D230" s="30" t="str">
        <f t="shared" si="6"/>
        <v>AIT</v>
      </c>
      <c r="E230" s="31" t="str">
        <f>_xlfn.XLOOKUP(C230,'[1]SIG Job Families &amp; Descriptions'!F:F,'[1]SIG Job Families &amp; Descriptions'!A:A)</f>
        <v>AIT010</v>
      </c>
      <c r="F230" s="32" t="s">
        <v>32</v>
      </c>
      <c r="G230" s="33" t="s">
        <v>37</v>
      </c>
      <c r="H230" s="34" t="str">
        <f>F230&amp;"-"&amp;G230</f>
        <v>Professional-09</v>
      </c>
      <c r="I230" s="35" t="str">
        <f>IF(ISERROR(_xlfn.XLOOKUP(H230,'[1]SIG Level Structure'!D:D,'[1]SIG Level Structure'!D:D)),"0","1")</f>
        <v>1</v>
      </c>
      <c r="J230" s="36" t="str">
        <f>_xlfn.XLOOKUP($H230,'[1]SIG Level Structure'!$D:$D,'[1]SIG Level Structure'!F:F)</f>
        <v>P2</v>
      </c>
      <c r="K230" s="37" t="str">
        <f>E230&amp;"-"&amp;J230&amp;"-"&amp;G230</f>
        <v>AIT010-P2-09</v>
      </c>
      <c r="L230" s="37" t="str">
        <f>IFERROR(D230&amp;"-"&amp;LEFT(J230,1),"--")</f>
        <v>AIT-P</v>
      </c>
      <c r="M230" s="37" t="str">
        <f>VLOOKUP(L230,'[1]Compatible JC'!$A:$A,1,FALSE)</f>
        <v>AIT-P</v>
      </c>
      <c r="N230" s="37" t="str">
        <f>IFERROR(_xlfn.XLOOKUP(H230,'[1]SIG Level Structure'!D:D,'[1]SIG Level Structure'!C:C),"--")</f>
        <v>Senior Specialist</v>
      </c>
      <c r="O230" s="38" t="str">
        <f>IFERROR(TRIM(N230&amp;" "&amp;C230),"--")</f>
        <v>Senior Specialist IT Infrastructure</v>
      </c>
      <c r="P230" s="22" t="str">
        <f>_xlfn.XLOOKUP(E230,'[1]SIG Job Families &amp; Descriptions'!A:A,'[1]SIG Job Families &amp; Descriptions'!G:G)</f>
        <v xml:space="preserve">Manages the Information Technology (IT) infrastructure within an organization, including the physical network (e.g., LANs/WANs, servers, terminals) as well as server applications and software (e.g., PeopleSoft, Oracle). Configures, installs, maintains and upgrades server applications and hardware.
Provides (on-site) technical support to the organization's internal users of computer applications and hardware (e.g., PCs, servers, mainframes). Answers questions regarding system procedures, online transactions, systems status and downtime procedures and is typically located within a call center. Collaborates with network services, software systems engineering and/or application development in order to restore service and/or identify problems. Maintains a troubleshooting tracking log ensuring timely resolution of problems.
</v>
      </c>
      <c r="Q230" s="39" t="str">
        <f>_xlfn.XLOOKUP(E230,'[1]2022 GI Position Descriptions'!E:E,'[1]2022 GI Position Descriptions'!G:G)</f>
        <v>Configures, installs, maintains and upgrades computer systems hardware and software | Administers and maintains security of operating systems | Restores files or systems by designing, writing and implementing back-up procedures | Provides operational support for the organization's information systems and peripheral equipment such as application servers, database servers, web servers, desktops, printers and storage devices | Performs recovery procedures, scheduling and back-ups and monitors batch processes</v>
      </c>
      <c r="R230" s="22" t="str">
        <f>IF(LEFT(J230,1)="E","EX",LEFT(J230,1))</f>
        <v>P</v>
      </c>
      <c r="S230" s="22" t="str">
        <f>_xlfn.XLOOKUP($R230,'[1]Career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30" s="22" t="str">
        <f>J230</f>
        <v>P2</v>
      </c>
      <c r="U230" s="40" t="str">
        <f t="shared" si="7"/>
        <v>P2</v>
      </c>
      <c r="V230" s="22" t="str">
        <f>_xlfn.XLOOKUP(T230,'[1]Career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230" s="41" t="str">
        <f>J230&amp;"-"&amp;G230</f>
        <v>P2-09</v>
      </c>
      <c r="X230" s="42" t="str">
        <f>G230</f>
        <v>09</v>
      </c>
      <c r="Y230" s="22" t="str">
        <f>_xlfn.XLOOKUP(W230,'[1]Career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230" s="43" t="str">
        <f>IFERROR(O230&amp;" - "&amp;G230,"--")</f>
        <v>Senior Specialist IT Infrastructure - 09</v>
      </c>
      <c r="AA230" s="44" t="str">
        <f>_xlfn.XLOOKUP($H230,'[1]SIG Qualifications Input'!$D:$D,'[1]SIG Qualifications Input'!$H:$H)</f>
        <v>University degree or equivalent and 2-4 years of work experience or equivalent</v>
      </c>
    </row>
    <row r="231" spans="1:27" ht="183" thickBot="1" x14ac:dyDescent="0.2">
      <c r="A231" s="34" t="str">
        <f>_xlfn.XLOOKUP(C231,'[1]SIG Job Families &amp; Descriptions'!F:F,'[1]SIG Job Families &amp; Descriptions'!B:B)</f>
        <v>IT</v>
      </c>
      <c r="B231" s="34" t="str">
        <f>_xlfn.XLOOKUP(C231,'[1]SIG Job Families &amp; Descriptions'!F:F,'[1]SIG Job Families &amp; Descriptions'!D:D)</f>
        <v>IT Development/IT &amp; Digital Transformation</v>
      </c>
      <c r="C231" s="34" t="s">
        <v>80</v>
      </c>
      <c r="D231" s="30" t="str">
        <f t="shared" si="6"/>
        <v>AID</v>
      </c>
      <c r="E231" s="31" t="str">
        <f>_xlfn.XLOOKUP(C231,'[1]SIG Job Families &amp; Descriptions'!F:F,'[1]SIG Job Families &amp; Descriptions'!A:A)</f>
        <v>AID010</v>
      </c>
      <c r="F231" s="32" t="s">
        <v>29</v>
      </c>
      <c r="G231" s="33" t="s">
        <v>33</v>
      </c>
      <c r="H231" s="34" t="str">
        <f>F231&amp;"-"&amp;G231</f>
        <v>Management-13</v>
      </c>
      <c r="I231" s="35" t="str">
        <f>IF(ISERROR(_xlfn.XLOOKUP(H231,'[1]SIG Level Structure'!D:D,'[1]SIG Level Structure'!D:D)),"0","1")</f>
        <v>1</v>
      </c>
      <c r="J231" s="36" t="str">
        <f>_xlfn.XLOOKUP($H231,'[1]SIG Level Structure'!$D:$D,'[1]SIG Level Structure'!F:F)</f>
        <v>M2</v>
      </c>
      <c r="K231" s="37" t="str">
        <f>E231&amp;"-"&amp;J231&amp;"-"&amp;G231</f>
        <v>AID010-M2-13</v>
      </c>
      <c r="L231" s="37" t="str">
        <f>IFERROR(D231&amp;"-"&amp;LEFT(J231,1),"--")</f>
        <v>AID-M</v>
      </c>
      <c r="M231" s="37" t="str">
        <f>VLOOKUP(L231,'[1]Compatible JC'!$A:$A,1,FALSE)</f>
        <v>AID-M</v>
      </c>
      <c r="N231" s="37" t="str">
        <f>IFERROR(_xlfn.XLOOKUP(H231,'[1]SIG Level Structure'!D:D,'[1]SIG Level Structure'!C:C),"--")</f>
        <v>Manager</v>
      </c>
      <c r="O231" s="38" t="str">
        <f>IFERROR(TRIM(N231&amp;" "&amp;C231),"--")</f>
        <v>Manager Application Development</v>
      </c>
      <c r="P231" s="22" t="str">
        <f>_xlfn.XLOOKUP(E231,'[1]SIG Job Families &amp; Descriptions'!A:A,'[1]SIG Job Families &amp; Descriptions'!G:G)</f>
        <v xml:space="preserve">Designs, develops, codes, tests, debugs and/or customizes information technology (IT) solutions for own business or external clients | Applies best practices and advanced methodologies, including Scrum techniques, to address and review system requirements, business processes, changing development and technology environments .
</v>
      </c>
      <c r="Q231" s="39" t="str">
        <f>_xlfn.XLOOKUP(E231,'[1]2022 GI Position Descriptions'!E:E,'[1]2022 GI Position Descriptions'!G:G)</f>
        <v>Designs, develops, tests, debugs, and implements software applications in accordance with specifications and business needs | Develops program logic for new applications or analyzes and modifies logic in existing applications | Analyzes requirements, tests and integrates application components | Ensures that application improvements are successfully implemented | Typically works on a defined project and may work in a highly efficient ("Agile") development environment</v>
      </c>
      <c r="R231" s="22" t="str">
        <f>IF(LEFT(J231,1)="E","EX",LEFT(J231,1))</f>
        <v>M</v>
      </c>
      <c r="S231" s="22" t="str">
        <f>_xlfn.XLOOKUP($R231,'[1]Career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231" s="22" t="str">
        <f>J231</f>
        <v>M2</v>
      </c>
      <c r="U231" s="40" t="str">
        <f t="shared" si="7"/>
        <v>M2</v>
      </c>
      <c r="V231" s="22" t="str">
        <f>_xlfn.XLOOKUP(T231,'[1]Career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231" s="41" t="str">
        <f>J231&amp;"-"&amp;G231</f>
        <v>M2-13</v>
      </c>
      <c r="X231" s="42" t="str">
        <f>G231</f>
        <v>13</v>
      </c>
      <c r="Y231" s="22" t="str">
        <f>_xlfn.XLOOKUP(W231,'[1]Career Bands &amp; Levels'!A:A,'[1]Career Bands &amp; Levels'!C:C,"No Grade Differentiator")</f>
        <v>●	Accountable for the budget, performance and results of a medium-sized team or multiple small teams of employees		
●	Exercises full management authority, including performance reviews, pay decisions, recruitment, discipline, termination and other personnel actions		
●	Addresses issues with impact beyond own team based on knowledge of related disciplines</v>
      </c>
      <c r="Z231" s="43" t="str">
        <f>IFERROR(O231&amp;" - "&amp;G231,"--")</f>
        <v>Manager Application Development - 13</v>
      </c>
      <c r="AA231" s="44" t="str">
        <f>_xlfn.XLOOKUP($H231,'[1]SIG Qualifications Input'!$D:$D,'[1]SIG Qualifications Input'!$H:$H)</f>
        <v>University degree or equivalent and 7-10 years of work experience or equivalent
Experience in managing mixed-level team(s) of professionals and subordinate managers</v>
      </c>
    </row>
    <row r="232" spans="1:27" ht="183" thickBot="1" x14ac:dyDescent="0.2">
      <c r="A232" s="34" t="str">
        <f>_xlfn.XLOOKUP(C232,'[1]SIG Job Families &amp; Descriptions'!F:F,'[1]SIG Job Families &amp; Descriptions'!B:B)</f>
        <v>IT</v>
      </c>
      <c r="B232" s="34" t="str">
        <f>_xlfn.XLOOKUP(C232,'[1]SIG Job Families &amp; Descriptions'!F:F,'[1]SIG Job Families &amp; Descriptions'!D:D)</f>
        <v>IT Development/IT &amp; Digital Transformation</v>
      </c>
      <c r="C232" s="34" t="s">
        <v>80</v>
      </c>
      <c r="D232" s="30" t="str">
        <f t="shared" si="6"/>
        <v>AID</v>
      </c>
      <c r="E232" s="31" t="str">
        <f>_xlfn.XLOOKUP(C232,'[1]SIG Job Families &amp; Descriptions'!F:F,'[1]SIG Job Families &amp; Descriptions'!A:A)</f>
        <v>AID010</v>
      </c>
      <c r="F232" s="32" t="s">
        <v>29</v>
      </c>
      <c r="G232" s="33" t="s">
        <v>34</v>
      </c>
      <c r="H232" s="34" t="str">
        <f>F232&amp;"-"&amp;G232</f>
        <v>Management-12</v>
      </c>
      <c r="I232" s="35" t="str">
        <f>IF(ISERROR(_xlfn.XLOOKUP(H232,'[1]SIG Level Structure'!D:D,'[1]SIG Level Structure'!D:D)),"0","1")</f>
        <v>1</v>
      </c>
      <c r="J232" s="36" t="str">
        <f>_xlfn.XLOOKUP($H232,'[1]SIG Level Structure'!$D:$D,'[1]SIG Level Structure'!F:F)</f>
        <v>M2</v>
      </c>
      <c r="K232" s="37" t="str">
        <f>E232&amp;"-"&amp;J232&amp;"-"&amp;G232</f>
        <v>AID010-M2-12</v>
      </c>
      <c r="L232" s="37" t="str">
        <f>IFERROR(D232&amp;"-"&amp;LEFT(J232,1),"--")</f>
        <v>AID-M</v>
      </c>
      <c r="M232" s="37" t="str">
        <f>VLOOKUP(L232,'[1]Compatible JC'!$A:$A,1,FALSE)</f>
        <v>AID-M</v>
      </c>
      <c r="N232" s="37" t="str">
        <f>IFERROR(_xlfn.XLOOKUP(H232,'[1]SIG Level Structure'!D:D,'[1]SIG Level Structure'!C:C),"--")</f>
        <v>Manager</v>
      </c>
      <c r="O232" s="38" t="str">
        <f>IFERROR(TRIM(N232&amp;" "&amp;C232),"--")</f>
        <v>Manager Application Development</v>
      </c>
      <c r="P232" s="22" t="str">
        <f>_xlfn.XLOOKUP(E232,'[1]SIG Job Families &amp; Descriptions'!A:A,'[1]SIG Job Families &amp; Descriptions'!G:G)</f>
        <v xml:space="preserve">Designs, develops, codes, tests, debugs and/or customizes information technology (IT) solutions for own business or external clients | Applies best practices and advanced methodologies, including Scrum techniques, to address and review system requirements, business processes, changing development and technology environments .
</v>
      </c>
      <c r="Q232" s="39" t="str">
        <f>_xlfn.XLOOKUP(E232,'[1]2022 GI Position Descriptions'!E:E,'[1]2022 GI Position Descriptions'!G:G)</f>
        <v>Designs, develops, tests, debugs, and implements software applications in accordance with specifications and business needs | Develops program logic for new applications or analyzes and modifies logic in existing applications | Analyzes requirements, tests and integrates application components | Ensures that application improvements are successfully implemented | Typically works on a defined project and may work in a highly efficient ("Agile") development environment</v>
      </c>
      <c r="R232" s="22" t="str">
        <f>IF(LEFT(J232,1)="E","EX",LEFT(J232,1))</f>
        <v>M</v>
      </c>
      <c r="S232" s="22" t="str">
        <f>_xlfn.XLOOKUP($R232,'[1]Career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232" s="22" t="str">
        <f>J232</f>
        <v>M2</v>
      </c>
      <c r="U232" s="40" t="str">
        <f t="shared" si="7"/>
        <v>M2</v>
      </c>
      <c r="V232" s="22" t="str">
        <f>_xlfn.XLOOKUP(T232,'[1]Career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232" s="41" t="str">
        <f>J232&amp;"-"&amp;G232</f>
        <v>M2-12</v>
      </c>
      <c r="X232" s="42" t="str">
        <f>G232</f>
        <v>12</v>
      </c>
      <c r="Y232" s="22" t="str">
        <f>_xlfn.XLOOKUP(W232,'[1]Career Bands &amp; Levels'!A:A,'[1]Career Bands &amp; Levels'!C:C,"No Grade Differentiator")</f>
        <v xml:space="preserve">●	Accountable for results of a small team of employees		
●	Exercises limited management authority; sets employee performance objectives, conducts performance reviews and recommends pay actions		
●	Defines team operating standards and ensures essential procedures are followed based on knowledge of own discipline		</v>
      </c>
      <c r="Z232" s="43" t="str">
        <f>IFERROR(O232&amp;" - "&amp;G232,"--")</f>
        <v>Manager Application Development - 12</v>
      </c>
      <c r="AA232" s="44" t="str">
        <f>_xlfn.XLOOKUP($H232,'[1]SIG Qualifications Input'!$D:$D,'[1]SIG Qualifications Input'!$H:$H)</f>
        <v>University degree or equivalent and 7-10 years of work experience or equivalent
Experience in managing mixed-level team(s) of professionals and subordinate managers</v>
      </c>
    </row>
    <row r="233" spans="1:27" ht="183" thickBot="1" x14ac:dyDescent="0.2">
      <c r="A233" s="34" t="str">
        <f>_xlfn.XLOOKUP(C233,'[1]SIG Job Families &amp; Descriptions'!F:F,'[1]SIG Job Families &amp; Descriptions'!B:B)</f>
        <v>IT</v>
      </c>
      <c r="B233" s="34" t="str">
        <f>_xlfn.XLOOKUP(C233,'[1]SIG Job Families &amp; Descriptions'!F:F,'[1]SIG Job Families &amp; Descriptions'!D:D)</f>
        <v>IT Development/IT &amp; Digital Transformation</v>
      </c>
      <c r="C233" s="34" t="s">
        <v>80</v>
      </c>
      <c r="D233" s="30" t="str">
        <f t="shared" si="6"/>
        <v>AID</v>
      </c>
      <c r="E233" s="31" t="str">
        <f>_xlfn.XLOOKUP(C233,'[1]SIG Job Families &amp; Descriptions'!F:F,'[1]SIG Job Families &amp; Descriptions'!A:A)</f>
        <v>AID010</v>
      </c>
      <c r="F233" s="32" t="s">
        <v>29</v>
      </c>
      <c r="G233" s="33" t="s">
        <v>35</v>
      </c>
      <c r="H233" s="34" t="str">
        <f>F233&amp;"-"&amp;G233</f>
        <v>Management-11</v>
      </c>
      <c r="I233" s="35" t="str">
        <f>IF(ISERROR(_xlfn.XLOOKUP(H233,'[1]SIG Level Structure'!D:D,'[1]SIG Level Structure'!D:D)),"0","1")</f>
        <v>1</v>
      </c>
      <c r="J233" s="36" t="str">
        <f>_xlfn.XLOOKUP($H233,'[1]SIG Level Structure'!$D:$D,'[1]SIG Level Structure'!F:F)</f>
        <v>M1</v>
      </c>
      <c r="K233" s="37" t="str">
        <f>E233&amp;"-"&amp;J233&amp;"-"&amp;G233</f>
        <v>AID010-M1-11</v>
      </c>
      <c r="L233" s="37" t="str">
        <f>IFERROR(D233&amp;"-"&amp;LEFT(J233,1),"--")</f>
        <v>AID-M</v>
      </c>
      <c r="M233" s="37" t="str">
        <f>VLOOKUP(L233,'[1]Compatible JC'!$A:$A,1,FALSE)</f>
        <v>AID-M</v>
      </c>
      <c r="N233" s="37" t="str">
        <f>IFERROR(_xlfn.XLOOKUP(H233,'[1]SIG Level Structure'!D:D,'[1]SIG Level Structure'!C:C),"--")</f>
        <v>Supervisor</v>
      </c>
      <c r="O233" s="38" t="str">
        <f>IFERROR(TRIM(N233&amp;" "&amp;C233),"--")</f>
        <v>Supervisor Application Development</v>
      </c>
      <c r="P233" s="22" t="str">
        <f>_xlfn.XLOOKUP(E233,'[1]SIG Job Families &amp; Descriptions'!A:A,'[1]SIG Job Families &amp; Descriptions'!G:G)</f>
        <v xml:space="preserve">Designs, develops, codes, tests, debugs and/or customizes information technology (IT) solutions for own business or external clients | Applies best practices and advanced methodologies, including Scrum techniques, to address and review system requirements, business processes, changing development and technology environments .
</v>
      </c>
      <c r="Q233" s="39" t="str">
        <f>_xlfn.XLOOKUP(E233,'[1]2022 GI Position Descriptions'!E:E,'[1]2022 GI Position Descriptions'!G:G)</f>
        <v>Designs, develops, tests, debugs, and implements software applications in accordance with specifications and business needs | Develops program logic for new applications or analyzes and modifies logic in existing applications | Analyzes requirements, tests and integrates application components | Ensures that application improvements are successfully implemented | Typically works on a defined project and may work in a highly efficient ("Agile") development environment</v>
      </c>
      <c r="R233" s="22" t="str">
        <f>IF(LEFT(J233,1)="E","EX",LEFT(J233,1))</f>
        <v>M</v>
      </c>
      <c r="S233" s="22" t="str">
        <f>_xlfn.XLOOKUP($R233,'[1]Career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233" s="22" t="str">
        <f>J233</f>
        <v>M1</v>
      </c>
      <c r="U233" s="40" t="str">
        <f t="shared" si="7"/>
        <v>M1</v>
      </c>
      <c r="V233" s="22" t="str">
        <f>_xlfn.XLOOKUP(T233,'[1]Career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233" s="41" t="str">
        <f>J233&amp;"-"&amp;G233</f>
        <v>M1-11</v>
      </c>
      <c r="X233" s="42" t="str">
        <f>G233</f>
        <v>11</v>
      </c>
      <c r="Y233" s="22" t="str">
        <f>_xlfn.XLOOKUP(W233,'[1]Career Bands &amp; Levels'!A:A,'[1]Career Bands &amp; Levels'!C:C,"No Grade Differentiator")</f>
        <v xml:space="preserve">●	Accountable for the results of a large and/or moderately complex support or production operations team including subordinate work leaders		
●	Applies acquired expertise to analyze and solve problems without clear precedent		
●	Provides input on resource planning and policy development		
●	Coaches team members on performance, completes employee performance evaluations and recommends pay actions		</v>
      </c>
      <c r="Z233" s="43" t="str">
        <f>IFERROR(O233&amp;" - "&amp;G233,"--")</f>
        <v>Supervisor Application Development - 11</v>
      </c>
      <c r="AA233" s="44" t="str">
        <f>_xlfn.XLOOKUP($H233,'[1]SIG Qualifications Input'!$D:$D,'[1]SIG Qualifications Input'!$H:$H)</f>
        <v>University degree or equivalent and 5-7 years of work experience or equivalent
Experienced in application of management techniques
Experience in operationally managing a mixed-level team</v>
      </c>
    </row>
    <row r="234" spans="1:27" ht="183" thickBot="1" x14ac:dyDescent="0.2">
      <c r="A234" s="34" t="str">
        <f>_xlfn.XLOOKUP(C234,'[1]SIG Job Families &amp; Descriptions'!F:F,'[1]SIG Job Families &amp; Descriptions'!B:B)</f>
        <v>IT</v>
      </c>
      <c r="B234" s="34" t="str">
        <f>_xlfn.XLOOKUP(C234,'[1]SIG Job Families &amp; Descriptions'!F:F,'[1]SIG Job Families &amp; Descriptions'!D:D)</f>
        <v>IT Development/IT &amp; Digital Transformation</v>
      </c>
      <c r="C234" s="34" t="s">
        <v>80</v>
      </c>
      <c r="D234" s="30" t="str">
        <f t="shared" si="6"/>
        <v>AID</v>
      </c>
      <c r="E234" s="31" t="str">
        <f>_xlfn.XLOOKUP(C234,'[1]SIG Job Families &amp; Descriptions'!F:F,'[1]SIG Job Families &amp; Descriptions'!A:A)</f>
        <v>AID010</v>
      </c>
      <c r="F234" s="32" t="s">
        <v>29</v>
      </c>
      <c r="G234" s="33" t="s">
        <v>36</v>
      </c>
      <c r="H234" s="34" t="str">
        <f>F234&amp;"-"&amp;G234</f>
        <v>Management-10</v>
      </c>
      <c r="I234" s="35" t="str">
        <f>IF(ISERROR(_xlfn.XLOOKUP(H234,'[1]SIG Level Structure'!D:D,'[1]SIG Level Structure'!D:D)),"0","1")</f>
        <v>1</v>
      </c>
      <c r="J234" s="36" t="str">
        <f>_xlfn.XLOOKUP($H234,'[1]SIG Level Structure'!$D:$D,'[1]SIG Level Structure'!F:F)</f>
        <v>M1</v>
      </c>
      <c r="K234" s="37" t="str">
        <f>E234&amp;"-"&amp;J234&amp;"-"&amp;G234</f>
        <v>AID010-M1-10</v>
      </c>
      <c r="L234" s="37" t="str">
        <f>IFERROR(D234&amp;"-"&amp;LEFT(J234,1),"--")</f>
        <v>AID-M</v>
      </c>
      <c r="M234" s="37" t="str">
        <f>VLOOKUP(L234,'[1]Compatible JC'!$A:$A,1,FALSE)</f>
        <v>AID-M</v>
      </c>
      <c r="N234" s="37" t="str">
        <f>IFERROR(_xlfn.XLOOKUP(H234,'[1]SIG Level Structure'!D:D,'[1]SIG Level Structure'!C:C),"--")</f>
        <v>Supervisor</v>
      </c>
      <c r="O234" s="38" t="str">
        <f>IFERROR(TRIM(N234&amp;" "&amp;C234),"--")</f>
        <v>Supervisor Application Development</v>
      </c>
      <c r="P234" s="22" t="str">
        <f>_xlfn.XLOOKUP(E234,'[1]SIG Job Families &amp; Descriptions'!A:A,'[1]SIG Job Families &amp; Descriptions'!G:G)</f>
        <v xml:space="preserve">Designs, develops, codes, tests, debugs and/or customizes information technology (IT) solutions for own business or external clients | Applies best practices and advanced methodologies, including Scrum techniques, to address and review system requirements, business processes, changing development and technology environments .
</v>
      </c>
      <c r="Q234" s="39" t="str">
        <f>_xlfn.XLOOKUP(E234,'[1]2022 GI Position Descriptions'!E:E,'[1]2022 GI Position Descriptions'!G:G)</f>
        <v>Designs, develops, tests, debugs, and implements software applications in accordance with specifications and business needs | Develops program logic for new applications or analyzes and modifies logic in existing applications | Analyzes requirements, tests and integrates application components | Ensures that application improvements are successfully implemented | Typically works on a defined project and may work in a highly efficient ("Agile") development environment</v>
      </c>
      <c r="R234" s="22" t="str">
        <f>IF(LEFT(J234,1)="E","EX",LEFT(J234,1))</f>
        <v>M</v>
      </c>
      <c r="S234" s="22" t="str">
        <f>_xlfn.XLOOKUP($R234,'[1]Career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234" s="22" t="str">
        <f>J234</f>
        <v>M1</v>
      </c>
      <c r="U234" s="40" t="str">
        <f t="shared" si="7"/>
        <v>M1</v>
      </c>
      <c r="V234" s="22" t="str">
        <f>_xlfn.XLOOKUP(T234,'[1]Career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234" s="41" t="str">
        <f>J234&amp;"-"&amp;G234</f>
        <v>M1-10</v>
      </c>
      <c r="X234" s="42" t="str">
        <f>G234</f>
        <v>10</v>
      </c>
      <c r="Y234" s="22" t="str">
        <f>_xlfn.XLOOKUP(W234,'[1]Career Bands &amp; Levels'!A:A,'[1]Career Bands &amp; Levels'!C:C,"No Grade Differentiator")</f>
        <v xml:space="preserve">●	Accountable for the results of medium-sized routine support or production operations teams		
●	Solves problems based on practice and precedent		
●	Trains team members and provides input to employee performance evaluations		</v>
      </c>
      <c r="Z234" s="43" t="str">
        <f>IFERROR(O234&amp;" - "&amp;G234,"--")</f>
        <v>Supervisor Application Development - 10</v>
      </c>
      <c r="AA234" s="44" t="str">
        <f>_xlfn.XLOOKUP($H234,'[1]SIG Qualifications Input'!$D:$D,'[1]SIG Qualifications Input'!$H:$H)</f>
        <v>University degree or equivalent and 5-7 years of work experience or equivalent
Experienced in application of management techniques
Experience in operationally managing a mixed-level team</v>
      </c>
    </row>
    <row r="235" spans="1:27" ht="169" thickBot="1" x14ac:dyDescent="0.2">
      <c r="A235" s="34" t="str">
        <f>_xlfn.XLOOKUP(C235,'[1]SIG Job Families &amp; Descriptions'!F:F,'[1]SIG Job Families &amp; Descriptions'!B:B)</f>
        <v>IT</v>
      </c>
      <c r="B235" s="34" t="str">
        <f>_xlfn.XLOOKUP(C235,'[1]SIG Job Families &amp; Descriptions'!F:F,'[1]SIG Job Families &amp; Descriptions'!D:D)</f>
        <v>IT Development/IT &amp; Digital Transformation</v>
      </c>
      <c r="C235" s="34" t="s">
        <v>80</v>
      </c>
      <c r="D235" s="30" t="str">
        <f t="shared" si="6"/>
        <v>AID</v>
      </c>
      <c r="E235" s="31" t="str">
        <f>_xlfn.XLOOKUP(C235,'[1]SIG Job Families &amp; Descriptions'!F:F,'[1]SIG Job Families &amp; Descriptions'!A:A)</f>
        <v>AID010</v>
      </c>
      <c r="F235" s="32" t="s">
        <v>32</v>
      </c>
      <c r="G235" s="33" t="s">
        <v>34</v>
      </c>
      <c r="H235" s="34" t="str">
        <f>F235&amp;"-"&amp;G235</f>
        <v>Professional-12</v>
      </c>
      <c r="I235" s="35" t="str">
        <f>IF(ISERROR(_xlfn.XLOOKUP(H235,'[1]SIG Level Structure'!D:D,'[1]SIG Level Structure'!D:D)),"0","1")</f>
        <v>1</v>
      </c>
      <c r="J235" s="36" t="str">
        <f>_xlfn.XLOOKUP($H235,'[1]SIG Level Structure'!$D:$D,'[1]SIG Level Structure'!F:F)</f>
        <v>P3</v>
      </c>
      <c r="K235" s="37" t="str">
        <f>E235&amp;"-"&amp;J235&amp;"-"&amp;G235</f>
        <v>AID010-P3-12</v>
      </c>
      <c r="L235" s="37" t="str">
        <f>IFERROR(D235&amp;"-"&amp;LEFT(J235,1),"--")</f>
        <v>AID-P</v>
      </c>
      <c r="M235" s="37" t="str">
        <f>VLOOKUP(L235,'[1]Compatible JC'!$A:$A,1,FALSE)</f>
        <v>AID-P</v>
      </c>
      <c r="N235" s="37" t="str">
        <f>IFERROR(_xlfn.XLOOKUP(H235,'[1]SIG Level Structure'!D:D,'[1]SIG Level Structure'!C:C),"--")</f>
        <v>Expert</v>
      </c>
      <c r="O235" s="38" t="str">
        <f>IFERROR(TRIM(N235&amp;" "&amp;C235),"--")</f>
        <v>Expert Application Development</v>
      </c>
      <c r="P235" s="22" t="str">
        <f>_xlfn.XLOOKUP(E235,'[1]SIG Job Families &amp; Descriptions'!A:A,'[1]SIG Job Families &amp; Descriptions'!G:G)</f>
        <v xml:space="preserve">Designs, develops, codes, tests, debugs and/or customizes information technology (IT) solutions for own business or external clients | Applies best practices and advanced methodologies, including Scrum techniques, to address and review system requirements, business processes, changing development and technology environments .
</v>
      </c>
      <c r="Q235" s="39" t="str">
        <f>_xlfn.XLOOKUP(E235,'[1]2022 GI Position Descriptions'!E:E,'[1]2022 GI Position Descriptions'!G:G)</f>
        <v>Designs, develops, tests, debugs, and implements software applications in accordance with specifications and business needs | Develops program logic for new applications or analyzes and modifies logic in existing applications | Analyzes requirements, tests and integrates application components | Ensures that application improvements are successfully implemented | Typically works on a defined project and may work in a highly efficient ("Agile") development environment</v>
      </c>
      <c r="R235" s="22" t="str">
        <f>IF(LEFT(J235,1)="E","EX",LEFT(J235,1))</f>
        <v>P</v>
      </c>
      <c r="S235" s="22" t="str">
        <f>_xlfn.XLOOKUP($R235,'[1]Career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35" s="22" t="str">
        <f>J235</f>
        <v>P3</v>
      </c>
      <c r="U235" s="40" t="str">
        <f t="shared" si="7"/>
        <v>P3</v>
      </c>
      <c r="V235" s="22" t="str">
        <f>_xlfn.XLOOKUP(T235,'[1]Career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235" s="41" t="str">
        <f>J235&amp;"-"&amp;G235</f>
        <v>P3-12</v>
      </c>
      <c r="X235" s="42" t="str">
        <f>G235</f>
        <v>12</v>
      </c>
      <c r="Y235" s="22" t="str">
        <f>_xlfn.XLOOKUP(W235,'[1]Career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235" s="43" t="str">
        <f>IFERROR(O235&amp;" - "&amp;G235,"--")</f>
        <v>Expert Application Development - 12</v>
      </c>
      <c r="AA235" s="44" t="str">
        <f>_xlfn.XLOOKUP($H235,'[1]SIG Qualifications Input'!$D:$D,'[1]SIG Qualifications Input'!$H:$H)</f>
        <v>University degree or equivalent and 4-8 years of work experience or equivalent, 
Initial experience in functionally leading (sub-) projects</v>
      </c>
    </row>
    <row r="236" spans="1:27" ht="169" thickBot="1" x14ac:dyDescent="0.2">
      <c r="A236" s="34" t="str">
        <f>_xlfn.XLOOKUP(C236,'[1]SIG Job Families &amp; Descriptions'!F:F,'[1]SIG Job Families &amp; Descriptions'!B:B)</f>
        <v>IT</v>
      </c>
      <c r="B236" s="34" t="str">
        <f>_xlfn.XLOOKUP(C236,'[1]SIG Job Families &amp; Descriptions'!F:F,'[1]SIG Job Families &amp; Descriptions'!D:D)</f>
        <v>IT Development/IT &amp; Digital Transformation</v>
      </c>
      <c r="C236" s="34" t="s">
        <v>80</v>
      </c>
      <c r="D236" s="30" t="str">
        <f t="shared" si="6"/>
        <v>AID</v>
      </c>
      <c r="E236" s="31" t="str">
        <f>_xlfn.XLOOKUP(C236,'[1]SIG Job Families &amp; Descriptions'!F:F,'[1]SIG Job Families &amp; Descriptions'!A:A)</f>
        <v>AID010</v>
      </c>
      <c r="F236" s="32" t="s">
        <v>32</v>
      </c>
      <c r="G236" s="33" t="s">
        <v>35</v>
      </c>
      <c r="H236" s="34" t="str">
        <f>F236&amp;"-"&amp;G236</f>
        <v>Professional-11</v>
      </c>
      <c r="I236" s="35" t="str">
        <f>IF(ISERROR(_xlfn.XLOOKUP(H236,'[1]SIG Level Structure'!D:D,'[1]SIG Level Structure'!D:D)),"0","1")</f>
        <v>1</v>
      </c>
      <c r="J236" s="36" t="str">
        <f>_xlfn.XLOOKUP($H236,'[1]SIG Level Structure'!$D:$D,'[1]SIG Level Structure'!F:F)</f>
        <v>P3</v>
      </c>
      <c r="K236" s="37" t="str">
        <f>E236&amp;"-"&amp;J236&amp;"-"&amp;G236</f>
        <v>AID010-P3-11</v>
      </c>
      <c r="L236" s="37" t="str">
        <f>IFERROR(D236&amp;"-"&amp;LEFT(J236,1),"--")</f>
        <v>AID-P</v>
      </c>
      <c r="M236" s="37" t="str">
        <f>VLOOKUP(L236,'[1]Compatible JC'!$A:$A,1,FALSE)</f>
        <v>AID-P</v>
      </c>
      <c r="N236" s="37" t="str">
        <f>IFERROR(_xlfn.XLOOKUP(H236,'[1]SIG Level Structure'!D:D,'[1]SIG Level Structure'!C:C),"--")</f>
        <v>Expert</v>
      </c>
      <c r="O236" s="38" t="str">
        <f>IFERROR(TRIM(N236&amp;" "&amp;C236),"--")</f>
        <v>Expert Application Development</v>
      </c>
      <c r="P236" s="22" t="str">
        <f>_xlfn.XLOOKUP(E236,'[1]SIG Job Families &amp; Descriptions'!A:A,'[1]SIG Job Families &amp; Descriptions'!G:G)</f>
        <v xml:space="preserve">Designs, develops, codes, tests, debugs and/or customizes information technology (IT) solutions for own business or external clients | Applies best practices and advanced methodologies, including Scrum techniques, to address and review system requirements, business processes, changing development and technology environments .
</v>
      </c>
      <c r="Q236" s="39" t="str">
        <f>_xlfn.XLOOKUP(E236,'[1]2022 GI Position Descriptions'!E:E,'[1]2022 GI Position Descriptions'!G:G)</f>
        <v>Designs, develops, tests, debugs, and implements software applications in accordance with specifications and business needs | Develops program logic for new applications or analyzes and modifies logic in existing applications | Analyzes requirements, tests and integrates application components | Ensures that application improvements are successfully implemented | Typically works on a defined project and may work in a highly efficient ("Agile") development environment</v>
      </c>
      <c r="R236" s="22" t="str">
        <f>IF(LEFT(J236,1)="E","EX",LEFT(J236,1))</f>
        <v>P</v>
      </c>
      <c r="S236" s="22" t="str">
        <f>_xlfn.XLOOKUP($R236,'[1]Career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36" s="22" t="str">
        <f>J236</f>
        <v>P3</v>
      </c>
      <c r="U236" s="40" t="str">
        <f t="shared" si="7"/>
        <v>P3</v>
      </c>
      <c r="V236" s="22" t="str">
        <f>_xlfn.XLOOKUP(T236,'[1]Career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236" s="41" t="str">
        <f>J236&amp;"-"&amp;G236</f>
        <v>P3-11</v>
      </c>
      <c r="X236" s="42" t="str">
        <f>G236</f>
        <v>11</v>
      </c>
      <c r="Y236" s="22" t="str">
        <f>_xlfn.XLOOKUP(W236,'[1]Career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236" s="43" t="str">
        <f>IFERROR(O236&amp;" - "&amp;G236,"--")</f>
        <v>Expert Application Development - 11</v>
      </c>
      <c r="AA236" s="44" t="str">
        <f>_xlfn.XLOOKUP($H236,'[1]SIG Qualifications Input'!$D:$D,'[1]SIG Qualifications Input'!$H:$H)</f>
        <v>University degree or equivalent and 4-8 years of work experience or equivalent, 
Initial experience in functionally leading (sub-) projects</v>
      </c>
    </row>
    <row r="237" spans="1:27" ht="169" thickBot="1" x14ac:dyDescent="0.2">
      <c r="A237" s="34" t="str">
        <f>_xlfn.XLOOKUP(C237,'[1]SIG Job Families &amp; Descriptions'!F:F,'[1]SIG Job Families &amp; Descriptions'!B:B)</f>
        <v>IT</v>
      </c>
      <c r="B237" s="34" t="str">
        <f>_xlfn.XLOOKUP(C237,'[1]SIG Job Families &amp; Descriptions'!F:F,'[1]SIG Job Families &amp; Descriptions'!D:D)</f>
        <v>IT Development/IT &amp; Digital Transformation</v>
      </c>
      <c r="C237" s="34" t="s">
        <v>80</v>
      </c>
      <c r="D237" s="30" t="str">
        <f t="shared" si="6"/>
        <v>AID</v>
      </c>
      <c r="E237" s="31" t="str">
        <f>_xlfn.XLOOKUP(C237,'[1]SIG Job Families &amp; Descriptions'!F:F,'[1]SIG Job Families &amp; Descriptions'!A:A)</f>
        <v>AID010</v>
      </c>
      <c r="F237" s="32" t="s">
        <v>32</v>
      </c>
      <c r="G237" s="33" t="s">
        <v>36</v>
      </c>
      <c r="H237" s="34" t="str">
        <f>F237&amp;"-"&amp;G237</f>
        <v>Professional-10</v>
      </c>
      <c r="I237" s="35" t="str">
        <f>IF(ISERROR(_xlfn.XLOOKUP(H237,'[1]SIG Level Structure'!D:D,'[1]SIG Level Structure'!D:D)),"0","1")</f>
        <v>1</v>
      </c>
      <c r="J237" s="36" t="str">
        <f>_xlfn.XLOOKUP($H237,'[1]SIG Level Structure'!$D:$D,'[1]SIG Level Structure'!F:F)</f>
        <v>P2</v>
      </c>
      <c r="K237" s="37" t="str">
        <f>E237&amp;"-"&amp;J237&amp;"-"&amp;G237</f>
        <v>AID010-P2-10</v>
      </c>
      <c r="L237" s="37" t="str">
        <f>IFERROR(D237&amp;"-"&amp;LEFT(J237,1),"--")</f>
        <v>AID-P</v>
      </c>
      <c r="M237" s="37" t="str">
        <f>VLOOKUP(L237,'[1]Compatible JC'!$A:$A,1,FALSE)</f>
        <v>AID-P</v>
      </c>
      <c r="N237" s="37" t="str">
        <f>IFERROR(_xlfn.XLOOKUP(H237,'[1]SIG Level Structure'!D:D,'[1]SIG Level Structure'!C:C),"--")</f>
        <v>Senior Specialist</v>
      </c>
      <c r="O237" s="38" t="str">
        <f>IFERROR(TRIM(N237&amp;" "&amp;C237),"--")</f>
        <v>Senior Specialist Application Development</v>
      </c>
      <c r="P237" s="22" t="str">
        <f>_xlfn.XLOOKUP(E237,'[1]SIG Job Families &amp; Descriptions'!A:A,'[1]SIG Job Families &amp; Descriptions'!G:G)</f>
        <v xml:space="preserve">Designs, develops, codes, tests, debugs and/or customizes information technology (IT) solutions for own business or external clients | Applies best practices and advanced methodologies, including Scrum techniques, to address and review system requirements, business processes, changing development and technology environments .
</v>
      </c>
      <c r="Q237" s="39" t="str">
        <f>_xlfn.XLOOKUP(E237,'[1]2022 GI Position Descriptions'!E:E,'[1]2022 GI Position Descriptions'!G:G)</f>
        <v>Designs, develops, tests, debugs, and implements software applications in accordance with specifications and business needs | Develops program logic for new applications or analyzes and modifies logic in existing applications | Analyzes requirements, tests and integrates application components | Ensures that application improvements are successfully implemented | Typically works on a defined project and may work in a highly efficient ("Agile") development environment</v>
      </c>
      <c r="R237" s="22" t="str">
        <f>IF(LEFT(J237,1)="E","EX",LEFT(J237,1))</f>
        <v>P</v>
      </c>
      <c r="S237" s="22" t="str">
        <f>_xlfn.XLOOKUP($R237,'[1]Career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37" s="22" t="str">
        <f>J237</f>
        <v>P2</v>
      </c>
      <c r="U237" s="40" t="str">
        <f t="shared" si="7"/>
        <v>P2</v>
      </c>
      <c r="V237" s="22" t="str">
        <f>_xlfn.XLOOKUP(T237,'[1]Career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237" s="41" t="str">
        <f>J237&amp;"-"&amp;G237</f>
        <v>P2-10</v>
      </c>
      <c r="X237" s="42" t="str">
        <f>G237</f>
        <v>10</v>
      </c>
      <c r="Y237" s="22" t="str">
        <f>_xlfn.XLOOKUP(W237,'[1]Career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237" s="43" t="str">
        <f>IFERROR(O237&amp;" - "&amp;G237,"--")</f>
        <v>Senior Specialist Application Development - 10</v>
      </c>
      <c r="AA237" s="44" t="str">
        <f>_xlfn.XLOOKUP($H237,'[1]SIG Qualifications Input'!$D:$D,'[1]SIG Qualifications Input'!$H:$H)</f>
        <v>University degree or equivalent and 2-4 years of work experience or equivalent</v>
      </c>
    </row>
    <row r="238" spans="1:27" ht="169" thickBot="1" x14ac:dyDescent="0.2">
      <c r="A238" s="34" t="str">
        <f>_xlfn.XLOOKUP(C238,'[1]SIG Job Families &amp; Descriptions'!F:F,'[1]SIG Job Families &amp; Descriptions'!B:B)</f>
        <v>IT</v>
      </c>
      <c r="B238" s="34" t="str">
        <f>_xlfn.XLOOKUP(C238,'[1]SIG Job Families &amp; Descriptions'!F:F,'[1]SIG Job Families &amp; Descriptions'!D:D)</f>
        <v>IT Development/IT &amp; Digital Transformation</v>
      </c>
      <c r="C238" s="34" t="s">
        <v>80</v>
      </c>
      <c r="D238" s="30" t="str">
        <f t="shared" si="6"/>
        <v>AID</v>
      </c>
      <c r="E238" s="31" t="str">
        <f>_xlfn.XLOOKUP(C238,'[1]SIG Job Families &amp; Descriptions'!F:F,'[1]SIG Job Families &amp; Descriptions'!A:A)</f>
        <v>AID010</v>
      </c>
      <c r="F238" s="32" t="s">
        <v>32</v>
      </c>
      <c r="G238" s="33" t="s">
        <v>37</v>
      </c>
      <c r="H238" s="34" t="str">
        <f>F238&amp;"-"&amp;G238</f>
        <v>Professional-09</v>
      </c>
      <c r="I238" s="35" t="str">
        <f>IF(ISERROR(_xlfn.XLOOKUP(H238,'[1]SIG Level Structure'!D:D,'[1]SIG Level Structure'!D:D)),"0","1")</f>
        <v>1</v>
      </c>
      <c r="J238" s="36" t="str">
        <f>_xlfn.XLOOKUP($H238,'[1]SIG Level Structure'!$D:$D,'[1]SIG Level Structure'!F:F)</f>
        <v>P2</v>
      </c>
      <c r="K238" s="37" t="str">
        <f>E238&amp;"-"&amp;J238&amp;"-"&amp;G238</f>
        <v>AID010-P2-09</v>
      </c>
      <c r="L238" s="37" t="str">
        <f>IFERROR(D238&amp;"-"&amp;LEFT(J238,1),"--")</f>
        <v>AID-P</v>
      </c>
      <c r="M238" s="37" t="str">
        <f>VLOOKUP(L238,'[1]Compatible JC'!$A:$A,1,FALSE)</f>
        <v>AID-P</v>
      </c>
      <c r="N238" s="37" t="str">
        <f>IFERROR(_xlfn.XLOOKUP(H238,'[1]SIG Level Structure'!D:D,'[1]SIG Level Structure'!C:C),"--")</f>
        <v>Senior Specialist</v>
      </c>
      <c r="O238" s="38" t="str">
        <f>IFERROR(TRIM(N238&amp;" "&amp;C238),"--")</f>
        <v>Senior Specialist Application Development</v>
      </c>
      <c r="P238" s="22" t="str">
        <f>_xlfn.XLOOKUP(E238,'[1]SIG Job Families &amp; Descriptions'!A:A,'[1]SIG Job Families &amp; Descriptions'!G:G)</f>
        <v xml:space="preserve">Designs, develops, codes, tests, debugs and/or customizes information technology (IT) solutions for own business or external clients | Applies best practices and advanced methodologies, including Scrum techniques, to address and review system requirements, business processes, changing development and technology environments .
</v>
      </c>
      <c r="Q238" s="39" t="str">
        <f>_xlfn.XLOOKUP(E238,'[1]2022 GI Position Descriptions'!E:E,'[1]2022 GI Position Descriptions'!G:G)</f>
        <v>Designs, develops, tests, debugs, and implements software applications in accordance with specifications and business needs | Develops program logic for new applications or analyzes and modifies logic in existing applications | Analyzes requirements, tests and integrates application components | Ensures that application improvements are successfully implemented | Typically works on a defined project and may work in a highly efficient ("Agile") development environment</v>
      </c>
      <c r="R238" s="22" t="str">
        <f>IF(LEFT(J238,1)="E","EX",LEFT(J238,1))</f>
        <v>P</v>
      </c>
      <c r="S238" s="22" t="str">
        <f>_xlfn.XLOOKUP($R238,'[1]Career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38" s="22" t="str">
        <f>J238</f>
        <v>P2</v>
      </c>
      <c r="U238" s="40" t="str">
        <f t="shared" si="7"/>
        <v>P2</v>
      </c>
      <c r="V238" s="22" t="str">
        <f>_xlfn.XLOOKUP(T238,'[1]Career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238" s="41" t="str">
        <f>J238&amp;"-"&amp;G238</f>
        <v>P2-09</v>
      </c>
      <c r="X238" s="42" t="str">
        <f>G238</f>
        <v>09</v>
      </c>
      <c r="Y238" s="22" t="str">
        <f>_xlfn.XLOOKUP(W238,'[1]Career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238" s="43" t="str">
        <f>IFERROR(O238&amp;" - "&amp;G238,"--")</f>
        <v>Senior Specialist Application Development - 09</v>
      </c>
      <c r="AA238" s="44" t="str">
        <f>_xlfn.XLOOKUP($H238,'[1]SIG Qualifications Input'!$D:$D,'[1]SIG Qualifications Input'!$H:$H)</f>
        <v>University degree or equivalent and 2-4 years of work experience or equivalent</v>
      </c>
    </row>
    <row r="239" spans="1:27" ht="169" thickBot="1" x14ac:dyDescent="0.2">
      <c r="A239" s="34" t="str">
        <f>_xlfn.XLOOKUP(C239,'[1]SIG Job Families &amp; Descriptions'!F:F,'[1]SIG Job Families &amp; Descriptions'!B:B)</f>
        <v>IT</v>
      </c>
      <c r="B239" s="34" t="str">
        <f>_xlfn.XLOOKUP(C239,'[1]SIG Job Families &amp; Descriptions'!F:F,'[1]SIG Job Families &amp; Descriptions'!D:D)</f>
        <v>IT Development/IT &amp; Digital Transformation</v>
      </c>
      <c r="C239" s="34" t="s">
        <v>80</v>
      </c>
      <c r="D239" s="30" t="str">
        <f t="shared" si="6"/>
        <v>AID</v>
      </c>
      <c r="E239" s="31" t="str">
        <f>_xlfn.XLOOKUP(C239,'[1]SIG Job Families &amp; Descriptions'!F:F,'[1]SIG Job Families &amp; Descriptions'!A:A)</f>
        <v>AID010</v>
      </c>
      <c r="F239" s="32" t="s">
        <v>32</v>
      </c>
      <c r="G239" s="33" t="s">
        <v>43</v>
      </c>
      <c r="H239" s="34" t="str">
        <f>F239&amp;"-"&amp;G239</f>
        <v>Professional-08</v>
      </c>
      <c r="I239" s="35" t="str">
        <f>IF(ISERROR(_xlfn.XLOOKUP(H239,'[1]SIG Level Structure'!D:D,'[1]SIG Level Structure'!D:D)),"0","1")</f>
        <v>1</v>
      </c>
      <c r="J239" s="36" t="str">
        <f>_xlfn.XLOOKUP($H239,'[1]SIG Level Structure'!$D:$D,'[1]SIG Level Structure'!F:F)</f>
        <v>P1</v>
      </c>
      <c r="K239" s="37" t="str">
        <f>E239&amp;"-"&amp;J239&amp;"-"&amp;G239</f>
        <v>AID010-P1-08</v>
      </c>
      <c r="L239" s="37" t="str">
        <f>IFERROR(D239&amp;"-"&amp;LEFT(J239,1),"--")</f>
        <v>AID-P</v>
      </c>
      <c r="M239" s="37" t="str">
        <f>VLOOKUP(L239,'[1]Compatible JC'!$A:$A,1,FALSE)</f>
        <v>AID-P</v>
      </c>
      <c r="N239" s="37" t="str">
        <f>IFERROR(_xlfn.XLOOKUP(H239,'[1]SIG Level Structure'!D:D,'[1]SIG Level Structure'!C:C),"--")</f>
        <v>Specialist</v>
      </c>
      <c r="O239" s="38" t="str">
        <f>IFERROR(TRIM(N239&amp;" "&amp;C239),"--")</f>
        <v>Specialist Application Development</v>
      </c>
      <c r="P239" s="22" t="str">
        <f>_xlfn.XLOOKUP(E239,'[1]SIG Job Families &amp; Descriptions'!A:A,'[1]SIG Job Families &amp; Descriptions'!G:G)</f>
        <v xml:space="preserve">Designs, develops, codes, tests, debugs and/or customizes information technology (IT) solutions for own business or external clients | Applies best practices and advanced methodologies, including Scrum techniques, to address and review system requirements, business processes, changing development and technology environments .
</v>
      </c>
      <c r="Q239" s="39" t="str">
        <f>_xlfn.XLOOKUP(E239,'[1]2022 GI Position Descriptions'!E:E,'[1]2022 GI Position Descriptions'!G:G)</f>
        <v>Designs, develops, tests, debugs, and implements software applications in accordance with specifications and business needs | Develops program logic for new applications or analyzes and modifies logic in existing applications | Analyzes requirements, tests and integrates application components | Ensures that application improvements are successfully implemented | Typically works on a defined project and may work in a highly efficient ("Agile") development environment</v>
      </c>
      <c r="R239" s="22" t="str">
        <f>IF(LEFT(J239,1)="E","EX",LEFT(J239,1))</f>
        <v>P</v>
      </c>
      <c r="S239" s="22" t="str">
        <f>_xlfn.XLOOKUP($R239,'[1]Career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39" s="22" t="str">
        <f>J239</f>
        <v>P1</v>
      </c>
      <c r="U239" s="40" t="str">
        <f t="shared" si="7"/>
        <v>P1</v>
      </c>
      <c r="V239" s="22" t="str">
        <f>_xlfn.XLOOKUP(T239,'[1]Career Bands &amp; Levels'!A:A,'[1]Career Bands &amp; Levels'!C:C)</f>
        <v xml:space="preserve">●	Performs routine assignments in the entry level of the Professional Career Band		
●	Typically requires a college or university degree or the equivalent work experience and has conceptual knowledge of fundamental theories, principles and practices 		
●	Has no discretion to vary from established procedures by performing structured work assignments		
●	Uses existing procedures to solve routine or standard problems		
●	Receives instruction, guidance and direction from more senior level roles		</v>
      </c>
      <c r="W239" s="41" t="str">
        <f>J239&amp;"-"&amp;G239</f>
        <v>P1-08</v>
      </c>
      <c r="X239" s="42" t="str">
        <f>G239</f>
        <v>08</v>
      </c>
      <c r="Y239" s="22" t="str">
        <f>_xlfn.XLOOKUP(W239,'[1]Career Bands &amp; Levels'!A:A,'[1]Career Bands &amp; Levels'!C:C,"No Grade Differentiator")</f>
        <v>No Grade Differentiator</v>
      </c>
      <c r="Z239" s="43" t="str">
        <f>IFERROR(O239&amp;" - "&amp;G239,"--")</f>
        <v>Specialist Application Development - 08</v>
      </c>
      <c r="AA239" s="44" t="str">
        <f>_xlfn.XLOOKUP($H239,'[1]SIG Qualifications Input'!$D:$D,'[1]SIG Qualifications Input'!$H:$H)</f>
        <v>University degree or equivalent and 0-1 year of work experience or equivalent</v>
      </c>
    </row>
    <row r="240" spans="1:27" ht="183" thickBot="1" x14ac:dyDescent="0.2">
      <c r="A240" s="34" t="str">
        <f>_xlfn.XLOOKUP(C240,'[1]SIG Job Families &amp; Descriptions'!F:F,'[1]SIG Job Families &amp; Descriptions'!B:B)</f>
        <v>IT</v>
      </c>
      <c r="B240" s="34" t="str">
        <f>_xlfn.XLOOKUP(C240,'[1]SIG Job Families &amp; Descriptions'!F:F,'[1]SIG Job Families &amp; Descriptions'!D:D)</f>
        <v>IT Development/IT &amp; Digital Transformation</v>
      </c>
      <c r="C240" s="34" t="s">
        <v>81</v>
      </c>
      <c r="D240" s="30" t="str">
        <f t="shared" si="6"/>
        <v>AID</v>
      </c>
      <c r="E240" s="31" t="str">
        <f>_xlfn.XLOOKUP(C240,'[1]SIG Job Families &amp; Descriptions'!F:F,'[1]SIG Job Families &amp; Descriptions'!A:A)</f>
        <v>AID020</v>
      </c>
      <c r="F240" s="32" t="s">
        <v>29</v>
      </c>
      <c r="G240" s="33" t="s">
        <v>35</v>
      </c>
      <c r="H240" s="34" t="str">
        <f>F240&amp;"-"&amp;G240</f>
        <v>Management-11</v>
      </c>
      <c r="I240" s="35" t="str">
        <f>IF(ISERROR(_xlfn.XLOOKUP(H240,'[1]SIG Level Structure'!D:D,'[1]SIG Level Structure'!D:D)),"0","1")</f>
        <v>1</v>
      </c>
      <c r="J240" s="36" t="str">
        <f>_xlfn.XLOOKUP($H240,'[1]SIG Level Structure'!$D:$D,'[1]SIG Level Structure'!F:F)</f>
        <v>M1</v>
      </c>
      <c r="K240" s="37" t="str">
        <f>E240&amp;"-"&amp;J240&amp;"-"&amp;G240</f>
        <v>AID020-M1-11</v>
      </c>
      <c r="L240" s="37" t="str">
        <f>IFERROR(D240&amp;"-"&amp;LEFT(J240,1),"--")</f>
        <v>AID-M</v>
      </c>
      <c r="M240" s="37" t="str">
        <f>VLOOKUP(L240,'[1]Compatible JC'!$A:$A,1,FALSE)</f>
        <v>AID-M</v>
      </c>
      <c r="N240" s="37" t="str">
        <f>IFERROR(_xlfn.XLOOKUP(H240,'[1]SIG Level Structure'!D:D,'[1]SIG Level Structure'!C:C),"--")</f>
        <v>Supervisor</v>
      </c>
      <c r="O240" s="38" t="str">
        <f>IFERROR(TRIM(N240&amp;" "&amp;C240),"--")</f>
        <v>Supervisor Business Systems</v>
      </c>
      <c r="P240" s="22" t="str">
        <f>_xlfn.XLOOKUP(E240,'[1]SIG Job Families &amp; Descriptions'!A:A,'[1]SIG Job Families &amp; Descriptions'!G:G)</f>
        <v xml:space="preserve">Designs, develops, codes, tests, debugs and/or customizes information technology (IT) solutions for own business or external clients | Applies best practices and advanced methodologies, including Scrum techniques, to address and review system requirements, business processes, changing development and technology environments .
</v>
      </c>
      <c r="Q240" s="39" t="str">
        <f>_xlfn.XLOOKUP(E240,'[1]2022 GI Position Descriptions'!E:E,'[1]2022 GI Position Descriptions'!G:G)</f>
        <v>Acts as a liaison between the IT development group and business units for the development and implementation of new systems and enhancement of existing systems | Evaluates new applications and identifies systems requirements | Evaluates new IT developments and evolving business requirements and recommends appropriate systems alternatives and/or enhancements to current systems | Prepares communications and makes presentations on system enhancements and/or alternatives</v>
      </c>
      <c r="R240" s="22" t="str">
        <f>IF(LEFT(J240,1)="E","EX",LEFT(J240,1))</f>
        <v>M</v>
      </c>
      <c r="S240" s="22" t="str">
        <f>_xlfn.XLOOKUP($R240,'[1]Career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240" s="22" t="str">
        <f>J240</f>
        <v>M1</v>
      </c>
      <c r="U240" s="40" t="str">
        <f t="shared" si="7"/>
        <v>M1</v>
      </c>
      <c r="V240" s="22" t="str">
        <f>_xlfn.XLOOKUP(T240,'[1]Career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240" s="41" t="str">
        <f>J240&amp;"-"&amp;G240</f>
        <v>M1-11</v>
      </c>
      <c r="X240" s="42" t="str">
        <f>G240</f>
        <v>11</v>
      </c>
      <c r="Y240" s="22" t="str">
        <f>_xlfn.XLOOKUP(W240,'[1]Career Bands &amp; Levels'!A:A,'[1]Career Bands &amp; Levels'!C:C,"No Grade Differentiator")</f>
        <v xml:space="preserve">●	Accountable for the results of a large and/or moderately complex support or production operations team including subordinate work leaders		
●	Applies acquired expertise to analyze and solve problems without clear precedent		
●	Provides input on resource planning and policy development		
●	Coaches team members on performance, completes employee performance evaluations and recommends pay actions		</v>
      </c>
      <c r="Z240" s="43" t="str">
        <f>IFERROR(O240&amp;" - "&amp;G240,"--")</f>
        <v>Supervisor Business Systems - 11</v>
      </c>
      <c r="AA240" s="44" t="str">
        <f>_xlfn.XLOOKUP($H240,'[1]SIG Qualifications Input'!$D:$D,'[1]SIG Qualifications Input'!$H:$H)</f>
        <v>University degree or equivalent and 5-7 years of work experience or equivalent
Experienced in application of management techniques
Experience in operationally managing a mixed-level team</v>
      </c>
    </row>
    <row r="241" spans="1:27" ht="183" thickBot="1" x14ac:dyDescent="0.2">
      <c r="A241" s="34" t="str">
        <f>_xlfn.XLOOKUP(C241,'[1]SIG Job Families &amp; Descriptions'!F:F,'[1]SIG Job Families &amp; Descriptions'!B:B)</f>
        <v>IT</v>
      </c>
      <c r="B241" s="34" t="str">
        <f>_xlfn.XLOOKUP(C241,'[1]SIG Job Families &amp; Descriptions'!F:F,'[1]SIG Job Families &amp; Descriptions'!D:D)</f>
        <v>IT Development/IT &amp; Digital Transformation</v>
      </c>
      <c r="C241" s="34" t="s">
        <v>81</v>
      </c>
      <c r="D241" s="30" t="str">
        <f t="shared" si="6"/>
        <v>AID</v>
      </c>
      <c r="E241" s="31" t="str">
        <f>_xlfn.XLOOKUP(C241,'[1]SIG Job Families &amp; Descriptions'!F:F,'[1]SIG Job Families &amp; Descriptions'!A:A)</f>
        <v>AID020</v>
      </c>
      <c r="F241" s="32" t="s">
        <v>29</v>
      </c>
      <c r="G241" s="33" t="s">
        <v>36</v>
      </c>
      <c r="H241" s="34" t="str">
        <f>F241&amp;"-"&amp;G241</f>
        <v>Management-10</v>
      </c>
      <c r="I241" s="35" t="str">
        <f>IF(ISERROR(_xlfn.XLOOKUP(H241,'[1]SIG Level Structure'!D:D,'[1]SIG Level Structure'!D:D)),"0","1")</f>
        <v>1</v>
      </c>
      <c r="J241" s="36" t="str">
        <f>_xlfn.XLOOKUP($H241,'[1]SIG Level Structure'!$D:$D,'[1]SIG Level Structure'!F:F)</f>
        <v>M1</v>
      </c>
      <c r="K241" s="37" t="str">
        <f>E241&amp;"-"&amp;J241&amp;"-"&amp;G241</f>
        <v>AID020-M1-10</v>
      </c>
      <c r="L241" s="37" t="str">
        <f>IFERROR(D241&amp;"-"&amp;LEFT(J241,1),"--")</f>
        <v>AID-M</v>
      </c>
      <c r="M241" s="37" t="str">
        <f>VLOOKUP(L241,'[1]Compatible JC'!$A:$A,1,FALSE)</f>
        <v>AID-M</v>
      </c>
      <c r="N241" s="37" t="str">
        <f>IFERROR(_xlfn.XLOOKUP(H241,'[1]SIG Level Structure'!D:D,'[1]SIG Level Structure'!C:C),"--")</f>
        <v>Supervisor</v>
      </c>
      <c r="O241" s="38" t="str">
        <f>IFERROR(TRIM(N241&amp;" "&amp;C241),"--")</f>
        <v>Supervisor Business Systems</v>
      </c>
      <c r="P241" s="22" t="str">
        <f>_xlfn.XLOOKUP(E241,'[1]SIG Job Families &amp; Descriptions'!A:A,'[1]SIG Job Families &amp; Descriptions'!G:G)</f>
        <v xml:space="preserve">Designs, develops, codes, tests, debugs and/or customizes information technology (IT) solutions for own business or external clients | Applies best practices and advanced methodologies, including Scrum techniques, to address and review system requirements, business processes, changing development and technology environments .
</v>
      </c>
      <c r="Q241" s="39" t="str">
        <f>_xlfn.XLOOKUP(E241,'[1]2022 GI Position Descriptions'!E:E,'[1]2022 GI Position Descriptions'!G:G)</f>
        <v>Acts as a liaison between the IT development group and business units for the development and implementation of new systems and enhancement of existing systems | Evaluates new applications and identifies systems requirements | Evaluates new IT developments and evolving business requirements and recommends appropriate systems alternatives and/or enhancements to current systems | Prepares communications and makes presentations on system enhancements and/or alternatives</v>
      </c>
      <c r="R241" s="22" t="str">
        <f>IF(LEFT(J241,1)="E","EX",LEFT(J241,1))</f>
        <v>M</v>
      </c>
      <c r="S241" s="22" t="str">
        <f>_xlfn.XLOOKUP($R241,'[1]Career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241" s="22" t="str">
        <f>J241</f>
        <v>M1</v>
      </c>
      <c r="U241" s="40" t="str">
        <f t="shared" si="7"/>
        <v>M1</v>
      </c>
      <c r="V241" s="22" t="str">
        <f>_xlfn.XLOOKUP(T241,'[1]Career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241" s="41" t="str">
        <f>J241&amp;"-"&amp;G241</f>
        <v>M1-10</v>
      </c>
      <c r="X241" s="42" t="str">
        <f>G241</f>
        <v>10</v>
      </c>
      <c r="Y241" s="22" t="str">
        <f>_xlfn.XLOOKUP(W241,'[1]Career Bands &amp; Levels'!A:A,'[1]Career Bands &amp; Levels'!C:C,"No Grade Differentiator")</f>
        <v xml:space="preserve">●	Accountable for the results of medium-sized routine support or production operations teams		
●	Solves problems based on practice and precedent		
●	Trains team members and provides input to employee performance evaluations		</v>
      </c>
      <c r="Z241" s="43" t="str">
        <f>IFERROR(O241&amp;" - "&amp;G241,"--")</f>
        <v>Supervisor Business Systems - 10</v>
      </c>
      <c r="AA241" s="44" t="str">
        <f>_xlfn.XLOOKUP($H241,'[1]SIG Qualifications Input'!$D:$D,'[1]SIG Qualifications Input'!$H:$H)</f>
        <v>University degree or equivalent and 5-7 years of work experience or equivalent
Experienced in application of management techniques
Experience in operationally managing a mixed-level team</v>
      </c>
    </row>
    <row r="242" spans="1:27" ht="143.25" customHeight="1" thickBot="1" x14ac:dyDescent="0.2">
      <c r="A242" s="34" t="str">
        <f>_xlfn.XLOOKUP(C242,'[1]SIG Job Families &amp; Descriptions'!F:F,'[1]SIG Job Families &amp; Descriptions'!B:B)</f>
        <v>IT</v>
      </c>
      <c r="B242" s="34" t="str">
        <f>_xlfn.XLOOKUP(C242,'[1]SIG Job Families &amp; Descriptions'!F:F,'[1]SIG Job Families &amp; Descriptions'!D:D)</f>
        <v>IT Development/IT &amp; Digital Transformation</v>
      </c>
      <c r="C242" s="34" t="s">
        <v>81</v>
      </c>
      <c r="D242" s="30" t="str">
        <f t="shared" si="6"/>
        <v>AID</v>
      </c>
      <c r="E242" s="31" t="str">
        <f>_xlfn.XLOOKUP(C242,'[1]SIG Job Families &amp; Descriptions'!F:F,'[1]SIG Job Families &amp; Descriptions'!A:A)</f>
        <v>AID020</v>
      </c>
      <c r="F242" s="32" t="s">
        <v>32</v>
      </c>
      <c r="G242" s="33" t="s">
        <v>36</v>
      </c>
      <c r="H242" s="34" t="str">
        <f>F242&amp;"-"&amp;G242</f>
        <v>Professional-10</v>
      </c>
      <c r="I242" s="35" t="str">
        <f>IF(ISERROR(_xlfn.XLOOKUP(H242,'[1]SIG Level Structure'!D:D,'[1]SIG Level Structure'!D:D)),"0","1")</f>
        <v>1</v>
      </c>
      <c r="J242" s="36" t="str">
        <f>_xlfn.XLOOKUP($H242,'[1]SIG Level Structure'!$D:$D,'[1]SIG Level Structure'!F:F)</f>
        <v>P2</v>
      </c>
      <c r="K242" s="37" t="str">
        <f>E242&amp;"-"&amp;J242&amp;"-"&amp;G242</f>
        <v>AID020-P2-10</v>
      </c>
      <c r="L242" s="37" t="str">
        <f>IFERROR(D242&amp;"-"&amp;LEFT(J242,1),"--")</f>
        <v>AID-P</v>
      </c>
      <c r="M242" s="37" t="str">
        <f>VLOOKUP(L242,'[1]Compatible JC'!$A:$A,1,FALSE)</f>
        <v>AID-P</v>
      </c>
      <c r="N242" s="37" t="str">
        <f>IFERROR(_xlfn.XLOOKUP(H242,'[1]SIG Level Structure'!D:D,'[1]SIG Level Structure'!C:C),"--")</f>
        <v>Senior Specialist</v>
      </c>
      <c r="O242" s="38" t="str">
        <f>IFERROR(TRIM(N242&amp;" "&amp;C242),"--")</f>
        <v>Senior Specialist Business Systems</v>
      </c>
      <c r="P242" s="22" t="str">
        <f>_xlfn.XLOOKUP(E242,'[1]SIG Job Families &amp; Descriptions'!A:A,'[1]SIG Job Families &amp; Descriptions'!G:G)</f>
        <v xml:space="preserve">Designs, develops, codes, tests, debugs and/or customizes information technology (IT) solutions for own business or external clients | Applies best practices and advanced methodologies, including Scrum techniques, to address and review system requirements, business processes, changing development and technology environments .
</v>
      </c>
      <c r="Q242" s="39" t="str">
        <f>_xlfn.XLOOKUP(E242,'[1]2022 GI Position Descriptions'!E:E,'[1]2022 GI Position Descriptions'!G:G)</f>
        <v>Acts as a liaison between the IT development group and business units for the development and implementation of new systems and enhancement of existing systems | Evaluates new applications and identifies systems requirements | Evaluates new IT developments and evolving business requirements and recommends appropriate systems alternatives and/or enhancements to current systems | Prepares communications and makes presentations on system enhancements and/or alternatives</v>
      </c>
      <c r="R242" s="22" t="str">
        <f>IF(LEFT(J242,1)="E","EX",LEFT(J242,1))</f>
        <v>P</v>
      </c>
      <c r="S242" s="22" t="str">
        <f>_xlfn.XLOOKUP($R242,'[1]Career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42" s="22" t="str">
        <f>J242</f>
        <v>P2</v>
      </c>
      <c r="U242" s="40" t="str">
        <f t="shared" si="7"/>
        <v>P2</v>
      </c>
      <c r="V242" s="22" t="str">
        <f>_xlfn.XLOOKUP(T242,'[1]Career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242" s="41" t="str">
        <f>J242&amp;"-"&amp;G242</f>
        <v>P2-10</v>
      </c>
      <c r="X242" s="42" t="str">
        <f>G242</f>
        <v>10</v>
      </c>
      <c r="Y242" s="22" t="str">
        <f>_xlfn.XLOOKUP(W242,'[1]Career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242" s="43" t="str">
        <f>IFERROR(O242&amp;" - "&amp;G242,"--")</f>
        <v>Senior Specialist Business Systems - 10</v>
      </c>
      <c r="AA242" s="44" t="str">
        <f>_xlfn.XLOOKUP($H242,'[1]SIG Qualifications Input'!$D:$D,'[1]SIG Qualifications Input'!$H:$H)</f>
        <v>University degree or equivalent and 2-4 years of work experience or equivalent</v>
      </c>
    </row>
    <row r="243" spans="1:27" ht="169" thickBot="1" x14ac:dyDescent="0.2">
      <c r="A243" s="34" t="str">
        <f>_xlfn.XLOOKUP(C243,'[1]SIG Job Families &amp; Descriptions'!F:F,'[1]SIG Job Families &amp; Descriptions'!B:B)</f>
        <v>IT</v>
      </c>
      <c r="B243" s="34" t="str">
        <f>_xlfn.XLOOKUP(C243,'[1]SIG Job Families &amp; Descriptions'!F:F,'[1]SIG Job Families &amp; Descriptions'!D:D)</f>
        <v>IT Development/IT &amp; Digital Transformation</v>
      </c>
      <c r="C243" s="34" t="s">
        <v>81</v>
      </c>
      <c r="D243" s="30" t="str">
        <f t="shared" si="6"/>
        <v>AID</v>
      </c>
      <c r="E243" s="31" t="str">
        <f>_xlfn.XLOOKUP(C243,'[1]SIG Job Families &amp; Descriptions'!F:F,'[1]SIG Job Families &amp; Descriptions'!A:A)</f>
        <v>AID020</v>
      </c>
      <c r="F243" s="32" t="s">
        <v>32</v>
      </c>
      <c r="G243" s="33" t="s">
        <v>37</v>
      </c>
      <c r="H243" s="34" t="str">
        <f>F243&amp;"-"&amp;G243</f>
        <v>Professional-09</v>
      </c>
      <c r="I243" s="35" t="str">
        <f>IF(ISERROR(_xlfn.XLOOKUP(H243,'[1]SIG Level Structure'!D:D,'[1]SIG Level Structure'!D:D)),"0","1")</f>
        <v>1</v>
      </c>
      <c r="J243" s="36" t="str">
        <f>_xlfn.XLOOKUP($H243,'[1]SIG Level Structure'!$D:$D,'[1]SIG Level Structure'!F:F)</f>
        <v>P2</v>
      </c>
      <c r="K243" s="37" t="str">
        <f>E243&amp;"-"&amp;J243&amp;"-"&amp;G243</f>
        <v>AID020-P2-09</v>
      </c>
      <c r="L243" s="37" t="str">
        <f>IFERROR(D243&amp;"-"&amp;LEFT(J243,1),"--")</f>
        <v>AID-P</v>
      </c>
      <c r="M243" s="37" t="str">
        <f>VLOOKUP(L243,'[1]Compatible JC'!$A:$A,1,FALSE)</f>
        <v>AID-P</v>
      </c>
      <c r="N243" s="37" t="str">
        <f>IFERROR(_xlfn.XLOOKUP(H243,'[1]SIG Level Structure'!D:D,'[1]SIG Level Structure'!C:C),"--")</f>
        <v>Senior Specialist</v>
      </c>
      <c r="O243" s="38" t="str">
        <f>IFERROR(TRIM(N243&amp;" "&amp;C243),"--")</f>
        <v>Senior Specialist Business Systems</v>
      </c>
      <c r="P243" s="22" t="str">
        <f>_xlfn.XLOOKUP(E243,'[1]SIG Job Families &amp; Descriptions'!A:A,'[1]SIG Job Families &amp; Descriptions'!G:G)</f>
        <v xml:space="preserve">Designs, develops, codes, tests, debugs and/or customizes information technology (IT) solutions for own business or external clients | Applies best practices and advanced methodologies, including Scrum techniques, to address and review system requirements, business processes, changing development and technology environments .
</v>
      </c>
      <c r="Q243" s="39" t="str">
        <f>_xlfn.XLOOKUP(E243,'[1]2022 GI Position Descriptions'!E:E,'[1]2022 GI Position Descriptions'!G:G)</f>
        <v>Acts as a liaison between the IT development group and business units for the development and implementation of new systems and enhancement of existing systems | Evaluates new applications and identifies systems requirements | Evaluates new IT developments and evolving business requirements and recommends appropriate systems alternatives and/or enhancements to current systems | Prepares communications and makes presentations on system enhancements and/or alternatives</v>
      </c>
      <c r="R243" s="22" t="str">
        <f>IF(LEFT(J243,1)="E","EX",LEFT(J243,1))</f>
        <v>P</v>
      </c>
      <c r="S243" s="22" t="str">
        <f>_xlfn.XLOOKUP($R243,'[1]Career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43" s="22" t="str">
        <f>J243</f>
        <v>P2</v>
      </c>
      <c r="U243" s="40" t="str">
        <f t="shared" si="7"/>
        <v>P2</v>
      </c>
      <c r="V243" s="22" t="str">
        <f>_xlfn.XLOOKUP(T243,'[1]Career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243" s="41" t="str">
        <f>J243&amp;"-"&amp;G243</f>
        <v>P2-09</v>
      </c>
      <c r="X243" s="42" t="str">
        <f>G243</f>
        <v>09</v>
      </c>
      <c r="Y243" s="22" t="str">
        <f>_xlfn.XLOOKUP(W243,'[1]Career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243" s="43" t="str">
        <f>IFERROR(O243&amp;" - "&amp;G243,"--")</f>
        <v>Senior Specialist Business Systems - 09</v>
      </c>
      <c r="AA243" s="44" t="str">
        <f>_xlfn.XLOOKUP($H243,'[1]SIG Qualifications Input'!$D:$D,'[1]SIG Qualifications Input'!$H:$H)</f>
        <v>University degree or equivalent and 2-4 years of work experience or equivalent</v>
      </c>
    </row>
    <row r="244" spans="1:27" ht="159.75" customHeight="1" thickBot="1" x14ac:dyDescent="0.2">
      <c r="A244" s="34" t="str">
        <f>_xlfn.XLOOKUP(C244,'[1]SIG Job Families &amp; Descriptions'!F:F,'[1]SIG Job Families &amp; Descriptions'!B:B)</f>
        <v>IT</v>
      </c>
      <c r="B244" s="34" t="str">
        <f>_xlfn.XLOOKUP(C244,'[1]SIG Job Families &amp; Descriptions'!F:F,'[1]SIG Job Families &amp; Descriptions'!D:D)</f>
        <v>IT Development/IT &amp; Digital Transformation</v>
      </c>
      <c r="C244" s="34" t="s">
        <v>82</v>
      </c>
      <c r="D244" s="30" t="str">
        <f t="shared" si="6"/>
        <v>AID</v>
      </c>
      <c r="E244" s="31" t="str">
        <f>_xlfn.XLOOKUP(C244,'[1]SIG Job Families &amp; Descriptions'!F:F,'[1]SIG Job Families &amp; Descriptions'!A:A)</f>
        <v>AID030</v>
      </c>
      <c r="F244" s="32" t="s">
        <v>32</v>
      </c>
      <c r="G244" s="33" t="s">
        <v>36</v>
      </c>
      <c r="H244" s="34" t="str">
        <f>F244&amp;"-"&amp;G244</f>
        <v>Professional-10</v>
      </c>
      <c r="I244" s="35" t="str">
        <f>IF(ISERROR(_xlfn.XLOOKUP(H244,'[1]SIG Level Structure'!D:D,'[1]SIG Level Structure'!D:D)),"0","1")</f>
        <v>1</v>
      </c>
      <c r="J244" s="36" t="str">
        <f>_xlfn.XLOOKUP($H244,'[1]SIG Level Structure'!$D:$D,'[1]SIG Level Structure'!F:F)</f>
        <v>P2</v>
      </c>
      <c r="K244" s="37" t="str">
        <f>E244&amp;"-"&amp;J244&amp;"-"&amp;G244</f>
        <v>AID030-P2-10</v>
      </c>
      <c r="L244" s="37" t="str">
        <f>IFERROR(D244&amp;"-"&amp;LEFT(J244,1),"--")</f>
        <v>AID-P</v>
      </c>
      <c r="M244" s="37" t="str">
        <f>VLOOKUP(L244,'[1]Compatible JC'!$A:$A,1,FALSE)</f>
        <v>AID-P</v>
      </c>
      <c r="N244" s="37" t="str">
        <f>IFERROR(_xlfn.XLOOKUP(H244,'[1]SIG Level Structure'!D:D,'[1]SIG Level Structure'!C:C),"--")</f>
        <v>Senior Specialist</v>
      </c>
      <c r="O244" s="38" t="str">
        <f>IFERROR(TRIM(N244&amp;" "&amp;C244),"--")</f>
        <v>Senior Specialist IT Architecture</v>
      </c>
      <c r="P244" s="22" t="str">
        <f>_xlfn.XLOOKUP(E244,'[1]SIG Job Families &amp; Descriptions'!A:A,'[1]SIG Job Families &amp; Descriptions'!G:G)</f>
        <v xml:space="preserve">Designs, develops, codes, tests, debugs and/or customizes information technology (IT) solutions for own business or external clients | Applies best practices and advanced methodologies, including Scrum techniques, to address and review system requirements, business processes, changing development and technology environments .
</v>
      </c>
      <c r="Q244" s="39" t="str">
        <f>_xlfn.XLOOKUP(E244,'[1]2022 GI Position Descriptions'!E:E,'[1]2022 GI Position Descriptions'!G:G)</f>
        <v>Designs and develops IT architecture (integrated process, applications, data and technology) solutions to business problems in alignment with the enterprise architecture direction and standards | Performs technical planning, architecture development and modification of specifications | Develops specifications for new products/services, applications and service offerings | Assesses the compatibility and integration of products/services proposed as standards in order to ensure an integrated architecture across interdependent technologies</v>
      </c>
      <c r="R244" s="22" t="str">
        <f>IF(LEFT(J244,1)="E","EX",LEFT(J244,1))</f>
        <v>P</v>
      </c>
      <c r="S244" s="22" t="str">
        <f>_xlfn.XLOOKUP($R244,'[1]Career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44" s="22" t="str">
        <f>J244</f>
        <v>P2</v>
      </c>
      <c r="U244" s="40" t="str">
        <f t="shared" si="7"/>
        <v>P2</v>
      </c>
      <c r="V244" s="22" t="str">
        <f>_xlfn.XLOOKUP(T244,'[1]Career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244" s="41" t="str">
        <f>J244&amp;"-"&amp;G244</f>
        <v>P2-10</v>
      </c>
      <c r="X244" s="42" t="str">
        <f>G244</f>
        <v>10</v>
      </c>
      <c r="Y244" s="22" t="str">
        <f>_xlfn.XLOOKUP(W244,'[1]Career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244" s="43" t="str">
        <f>IFERROR(O244&amp;" - "&amp;G244,"--")</f>
        <v>Senior Specialist IT Architecture - 10</v>
      </c>
      <c r="AA244" s="44" t="str">
        <f>_xlfn.XLOOKUP($H244,'[1]SIG Qualifications Input'!$D:$D,'[1]SIG Qualifications Input'!$H:$H)</f>
        <v>University degree or equivalent and 2-4 years of work experience or equivalent</v>
      </c>
    </row>
    <row r="245" spans="1:27" ht="162" customHeight="1" thickBot="1" x14ac:dyDescent="0.2">
      <c r="A245" s="34" t="str">
        <f>_xlfn.XLOOKUP(C245,'[1]SIG Job Families &amp; Descriptions'!F:F,'[1]SIG Job Families &amp; Descriptions'!B:B)</f>
        <v>IT</v>
      </c>
      <c r="B245" s="34" t="str">
        <f>_xlfn.XLOOKUP(C245,'[1]SIG Job Families &amp; Descriptions'!F:F,'[1]SIG Job Families &amp; Descriptions'!D:D)</f>
        <v>IT Development/IT &amp; Digital Transformation</v>
      </c>
      <c r="C245" s="34" t="s">
        <v>82</v>
      </c>
      <c r="D245" s="30" t="str">
        <f t="shared" si="6"/>
        <v>AID</v>
      </c>
      <c r="E245" s="31" t="str">
        <f>_xlfn.XLOOKUP(C245,'[1]SIG Job Families &amp; Descriptions'!F:F,'[1]SIG Job Families &amp; Descriptions'!A:A)</f>
        <v>AID030</v>
      </c>
      <c r="F245" s="32" t="s">
        <v>32</v>
      </c>
      <c r="G245" s="33" t="s">
        <v>37</v>
      </c>
      <c r="H245" s="34" t="str">
        <f>F245&amp;"-"&amp;G245</f>
        <v>Professional-09</v>
      </c>
      <c r="I245" s="35" t="str">
        <f>IF(ISERROR(_xlfn.XLOOKUP(H245,'[1]SIG Level Structure'!D:D,'[1]SIG Level Structure'!D:D)),"0","1")</f>
        <v>1</v>
      </c>
      <c r="J245" s="36" t="str">
        <f>_xlfn.XLOOKUP($H245,'[1]SIG Level Structure'!$D:$D,'[1]SIG Level Structure'!F:F)</f>
        <v>P2</v>
      </c>
      <c r="K245" s="37" t="str">
        <f>E245&amp;"-"&amp;J245&amp;"-"&amp;G245</f>
        <v>AID030-P2-09</v>
      </c>
      <c r="L245" s="37" t="str">
        <f>IFERROR(D245&amp;"-"&amp;LEFT(J245,1),"--")</f>
        <v>AID-P</v>
      </c>
      <c r="M245" s="37" t="str">
        <f>VLOOKUP(L245,'[1]Compatible JC'!$A:$A,1,FALSE)</f>
        <v>AID-P</v>
      </c>
      <c r="N245" s="37" t="str">
        <f>IFERROR(_xlfn.XLOOKUP(H245,'[1]SIG Level Structure'!D:D,'[1]SIG Level Structure'!C:C),"--")</f>
        <v>Senior Specialist</v>
      </c>
      <c r="O245" s="38" t="str">
        <f>IFERROR(TRIM(N245&amp;" "&amp;C245),"--")</f>
        <v>Senior Specialist IT Architecture</v>
      </c>
      <c r="P245" s="22" t="str">
        <f>_xlfn.XLOOKUP(E245,'[1]SIG Job Families &amp; Descriptions'!A:A,'[1]SIG Job Families &amp; Descriptions'!G:G)</f>
        <v xml:space="preserve">Designs, develops, codes, tests, debugs and/or customizes information technology (IT) solutions for own business or external clients | Applies best practices and advanced methodologies, including Scrum techniques, to address and review system requirements, business processes, changing development and technology environments .
</v>
      </c>
      <c r="Q245" s="39" t="str">
        <f>_xlfn.XLOOKUP(E245,'[1]2022 GI Position Descriptions'!E:E,'[1]2022 GI Position Descriptions'!G:G)</f>
        <v>Designs and develops IT architecture (integrated process, applications, data and technology) solutions to business problems in alignment with the enterprise architecture direction and standards | Performs technical planning, architecture development and modification of specifications | Develops specifications for new products/services, applications and service offerings | Assesses the compatibility and integration of products/services proposed as standards in order to ensure an integrated architecture across interdependent technologies</v>
      </c>
      <c r="R245" s="22" t="str">
        <f>IF(LEFT(J245,1)="E","EX",LEFT(J245,1))</f>
        <v>P</v>
      </c>
      <c r="S245" s="22" t="str">
        <f>_xlfn.XLOOKUP($R245,'[1]Career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45" s="22" t="str">
        <f>J245</f>
        <v>P2</v>
      </c>
      <c r="U245" s="40" t="str">
        <f t="shared" si="7"/>
        <v>P2</v>
      </c>
      <c r="V245" s="22" t="str">
        <f>_xlfn.XLOOKUP(T245,'[1]Career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245" s="41" t="str">
        <f>J245&amp;"-"&amp;G245</f>
        <v>P2-09</v>
      </c>
      <c r="X245" s="42" t="str">
        <f>G245</f>
        <v>09</v>
      </c>
      <c r="Y245" s="22" t="str">
        <f>_xlfn.XLOOKUP(W245,'[1]Career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245" s="43" t="str">
        <f>IFERROR(O245&amp;" - "&amp;G245,"--")</f>
        <v>Senior Specialist IT Architecture - 09</v>
      </c>
      <c r="AA245" s="44" t="str">
        <f>_xlfn.XLOOKUP($H245,'[1]SIG Qualifications Input'!$D:$D,'[1]SIG Qualifications Input'!$H:$H)</f>
        <v>University degree or equivalent and 2-4 years of work experience or equivalent</v>
      </c>
    </row>
    <row r="246" spans="1:27" ht="183" thickBot="1" x14ac:dyDescent="0.2">
      <c r="A246" s="34" t="str">
        <f>_xlfn.XLOOKUP(C246,'[1]SIG Job Families &amp; Descriptions'!F:F,'[1]SIG Job Families &amp; Descriptions'!B:B)</f>
        <v>IT</v>
      </c>
      <c r="B246" s="34" t="str">
        <f>_xlfn.XLOOKUP(C246,'[1]SIG Job Families &amp; Descriptions'!F:F,'[1]SIG Job Families &amp; Descriptions'!D:D)</f>
        <v>IT/ Digital Projects</v>
      </c>
      <c r="C246" s="34" t="s">
        <v>83</v>
      </c>
      <c r="D246" s="30" t="str">
        <f t="shared" si="6"/>
        <v>APM</v>
      </c>
      <c r="E246" s="31" t="str">
        <f>_xlfn.XLOOKUP(C246,'[1]SIG Job Families &amp; Descriptions'!F:F,'[1]SIG Job Families &amp; Descriptions'!A:A)</f>
        <v>APM010</v>
      </c>
      <c r="F246" s="32" t="s">
        <v>60</v>
      </c>
      <c r="G246" s="33" t="s">
        <v>40</v>
      </c>
      <c r="H246" s="34" t="str">
        <f>F246&amp;"-"&amp;G246</f>
        <v>Projects-16</v>
      </c>
      <c r="I246" s="35" t="str">
        <f>IF(ISERROR(_xlfn.XLOOKUP(H246,'[1]SIG Level Structure'!D:D,'[1]SIG Level Structure'!D:D)),"0","1")</f>
        <v>1</v>
      </c>
      <c r="J246" s="36" t="str">
        <f>_xlfn.XLOOKUP($H246,'[1]SIG Level Structure'!$D:$D,'[1]SIG Level Structure'!F:F)</f>
        <v>M4</v>
      </c>
      <c r="K246" s="37" t="str">
        <f>E246&amp;"-"&amp;J246&amp;"-"&amp;G246</f>
        <v>APM010-M4-16</v>
      </c>
      <c r="L246" s="37" t="str">
        <f>IFERROR(D246&amp;"-"&amp;LEFT(J246,1),"--")</f>
        <v>APM-M</v>
      </c>
      <c r="M246" s="37" t="str">
        <f>VLOOKUP(L246,'[1]Compatible JC'!$A:$A,1,FALSE)</f>
        <v>APM-M</v>
      </c>
      <c r="N246" s="37" t="str">
        <f>IFERROR(_xlfn.XLOOKUP(H246,'[1]SIG Level Structure'!D:D,'[1]SIG Level Structure'!C:C),"--")</f>
        <v>Program Manager</v>
      </c>
      <c r="O246" s="38" t="str">
        <f>IFERROR(TRIM(N246&amp;" "&amp;C246),"--")</f>
        <v>Program Manager IT/ Digital Projects</v>
      </c>
      <c r="P246" s="22" t="str">
        <f>_xlfn.XLOOKUP(E246,'[1]SIG Job Families &amp; Descriptions'!A:A,'[1]SIG Job Families &amp; Descriptions'!G:G)</f>
        <v>Manages all aspects of a diverse IT project or multiple IT projects, typically involving multiple Disciplines in the IT Function. Utilizes expertise and leadership skills to direct staff and to resolve issues to ensure project goals and requirements are met. Typically uses Scrum/Agile development techniques and tools for team collaboration, issue tracking and backlog management</v>
      </c>
      <c r="Q246" s="39" t="str">
        <f>_xlfn.XLOOKUP(E246,'[1]2022 GI Position Descriptions'!E:E,'[1]2022 GI Position Descriptions'!G:G)</f>
        <v>Manages all aspects of a diverse IT project or multiple IT projects, typically involving multiple Disciplines in the IT Function | Utilizes expertise and leadership skills to direct staff and to resolve issues to ensure project goals and requirements are met | Typically uses Scrum/Agile development techniques and tools for team collaboration, issue tracking and backlog management</v>
      </c>
      <c r="R246" s="22" t="str">
        <f>IF(LEFT(J246,1)="E","EX",LEFT(J246,1))</f>
        <v>M</v>
      </c>
      <c r="S246" s="22" t="str">
        <f>_xlfn.XLOOKUP($R246,'[1]Career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246" s="22" t="str">
        <f>J246</f>
        <v>M4</v>
      </c>
      <c r="U246" s="40" t="str">
        <f t="shared" si="7"/>
        <v>M4</v>
      </c>
      <c r="V246" s="22" t="str">
        <f>_xlfn.XLOOKUP(T246,'[1]Career Bands &amp; Levels'!A:A,'[1]Career Bands &amp; Levels'!C:C)</f>
        <v xml:space="preserve">●	Provides leadership and direction through Senior Managers and Managers		
●	Has accountability for the performance and results of:		
	●	A large, strategically important discipline in an extremely large market; and/or	
	●	Related disciplines or a medium-sized function in a large market or medium-sized division; and/or	
	●	A medium-sized discipline or department in a major region	
●	Adapts and executes functional or departmental business plans and contributes to the development of functional or departmental strategies		
●	Decisions are guided by functional or major operational segment strategies and priorities		</v>
      </c>
      <c r="W246" s="41" t="str">
        <f>J246&amp;"-"&amp;G246</f>
        <v>M4-16</v>
      </c>
      <c r="X246" s="42" t="str">
        <f>G246</f>
        <v>16</v>
      </c>
      <c r="Y246" s="22" t="str">
        <f>_xlfn.XLOOKUP(W246,'[1]Career Bands &amp; Levels'!A:A,'[1]Career Bands &amp; Levels'!C:C,"No Grade Differentiator")</f>
        <v>No Grade Differentiator</v>
      </c>
      <c r="Z246" s="43" t="str">
        <f>IFERROR(O246&amp;" - "&amp;G246,"--")</f>
        <v>Program Manager IT/ Digital Projects - 16</v>
      </c>
      <c r="AA246" s="44" t="str">
        <f>_xlfn.XLOOKUP($H246,'[1]SIG Qualifications Input'!$D:$D,'[1]SIG Qualifications Input'!$H:$H)</f>
        <v>University degree or equivalent and 10+ years of work experience or equivalent, 
Very experienced in functionally leading cross-functional projects</v>
      </c>
    </row>
    <row r="247" spans="1:27" ht="183" thickBot="1" x14ac:dyDescent="0.2">
      <c r="A247" s="34" t="str">
        <f>_xlfn.XLOOKUP(C247,'[1]SIG Job Families &amp; Descriptions'!F:F,'[1]SIG Job Families &amp; Descriptions'!B:B)</f>
        <v>IT</v>
      </c>
      <c r="B247" s="34" t="str">
        <f>_xlfn.XLOOKUP(C247,'[1]SIG Job Families &amp; Descriptions'!F:F,'[1]SIG Job Families &amp; Descriptions'!D:D)</f>
        <v>IT/ Digital Projects</v>
      </c>
      <c r="C247" s="34" t="s">
        <v>83</v>
      </c>
      <c r="D247" s="30" t="str">
        <f t="shared" si="6"/>
        <v>APM</v>
      </c>
      <c r="E247" s="31" t="str">
        <f>_xlfn.XLOOKUP(C247,'[1]SIG Job Families &amp; Descriptions'!F:F,'[1]SIG Job Families &amp; Descriptions'!A:A)</f>
        <v>APM010</v>
      </c>
      <c r="F247" s="32" t="s">
        <v>60</v>
      </c>
      <c r="G247" s="33" t="s">
        <v>30</v>
      </c>
      <c r="H247" s="34" t="str">
        <f>F247&amp;"-"&amp;G247</f>
        <v>Projects-15</v>
      </c>
      <c r="I247" s="35" t="str">
        <f>IF(ISERROR(_xlfn.XLOOKUP(H247,'[1]SIG Level Structure'!D:D,'[1]SIG Level Structure'!D:D)),"0","1")</f>
        <v>1</v>
      </c>
      <c r="J247" s="36" t="str">
        <f>_xlfn.XLOOKUP($H247,'[1]SIG Level Structure'!$D:$D,'[1]SIG Level Structure'!F:F)</f>
        <v>M3</v>
      </c>
      <c r="K247" s="37" t="str">
        <f>E247&amp;"-"&amp;J247&amp;"-"&amp;G247</f>
        <v>APM010-M3-15</v>
      </c>
      <c r="L247" s="37" t="str">
        <f>IFERROR(D247&amp;"-"&amp;LEFT(J247,1),"--")</f>
        <v>APM-M</v>
      </c>
      <c r="M247" s="37" t="str">
        <f>VLOOKUP(L247,'[1]Compatible JC'!$A:$A,1,FALSE)</f>
        <v>APM-M</v>
      </c>
      <c r="N247" s="37" t="str">
        <f>IFERROR(_xlfn.XLOOKUP(H247,'[1]SIG Level Structure'!D:D,'[1]SIG Level Structure'!C:C),"--")</f>
        <v>Program Manager</v>
      </c>
      <c r="O247" s="38" t="str">
        <f>IFERROR(TRIM(N247&amp;" "&amp;C247),"--")</f>
        <v>Program Manager IT/ Digital Projects</v>
      </c>
      <c r="P247" s="22" t="str">
        <f>_xlfn.XLOOKUP(E247,'[1]SIG Job Families &amp; Descriptions'!A:A,'[1]SIG Job Families &amp; Descriptions'!G:G)</f>
        <v>Manages all aspects of a diverse IT project or multiple IT projects, typically involving multiple Disciplines in the IT Function. Utilizes expertise and leadership skills to direct staff and to resolve issues to ensure project goals and requirements are met. Typically uses Scrum/Agile development techniques and tools for team collaboration, issue tracking and backlog management</v>
      </c>
      <c r="Q247" s="39" t="str">
        <f>_xlfn.XLOOKUP(E247,'[1]2022 GI Position Descriptions'!E:E,'[1]2022 GI Position Descriptions'!G:G)</f>
        <v>Manages all aspects of a diverse IT project or multiple IT projects, typically involving multiple Disciplines in the IT Function | Utilizes expertise and leadership skills to direct staff and to resolve issues to ensure project goals and requirements are met | Typically uses Scrum/Agile development techniques and tools for team collaboration, issue tracking and backlog management</v>
      </c>
      <c r="R247" s="22" t="str">
        <f>IF(LEFT(J247,1)="E","EX",LEFT(J247,1))</f>
        <v>M</v>
      </c>
      <c r="S247" s="22" t="str">
        <f>_xlfn.XLOOKUP($R247,'[1]Career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247" s="22" t="str">
        <f>J247</f>
        <v>M3</v>
      </c>
      <c r="U247" s="40" t="str">
        <f t="shared" si="7"/>
        <v>M3</v>
      </c>
      <c r="V247" s="22" t="str">
        <f>_xlfn.XLOOKUP(T247,'[1]Career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247" s="41" t="str">
        <f>J247&amp;"-"&amp;G247</f>
        <v>M3-15</v>
      </c>
      <c r="X247" s="42" t="str">
        <f>G247</f>
        <v>15</v>
      </c>
      <c r="Y247" s="22" t="str">
        <f>_xlfn.XLOOKUP(W247,'[1]Career Bands &amp; Levels'!A:A,'[1]Career Bands &amp; Levels'!C:C,"No Grade Differentiator")</f>
        <v xml:space="preserve">●	Looks beyond existing methodologies and own discipline to define and resolve complex problems
●	Develops plans and delivers results in fast-changing businesses and/or regulatory environments
●	Provides input to functional or departmental strategy		
●	Manages large, potentially diverse teams of managers and/or senior professionals		
		</v>
      </c>
      <c r="Z247" s="43" t="str">
        <f>IFERROR(O247&amp;" - "&amp;G247,"--")</f>
        <v>Program Manager IT/ Digital Projects - 15</v>
      </c>
      <c r="AA247" s="44" t="str">
        <f>_xlfn.XLOOKUP($H247,'[1]SIG Qualifications Input'!$D:$D,'[1]SIG Qualifications Input'!$H:$H)</f>
        <v>University degree or equivalent and 10+ years of work experience or equivalent, 
Very experienced in functionally leading cross-functional projects</v>
      </c>
    </row>
    <row r="248" spans="1:27" ht="183" thickBot="1" x14ac:dyDescent="0.2">
      <c r="A248" s="34" t="str">
        <f>_xlfn.XLOOKUP(C248,'[1]SIG Job Families &amp; Descriptions'!F:F,'[1]SIG Job Families &amp; Descriptions'!B:B)</f>
        <v>IT</v>
      </c>
      <c r="B248" s="34" t="str">
        <f>_xlfn.XLOOKUP(C248,'[1]SIG Job Families &amp; Descriptions'!F:F,'[1]SIG Job Families &amp; Descriptions'!D:D)</f>
        <v>IT/ Digital Projects</v>
      </c>
      <c r="C248" s="34" t="s">
        <v>83</v>
      </c>
      <c r="D248" s="30" t="str">
        <f t="shared" si="6"/>
        <v>APM</v>
      </c>
      <c r="E248" s="31" t="str">
        <f>_xlfn.XLOOKUP(C248,'[1]SIG Job Families &amp; Descriptions'!F:F,'[1]SIG Job Families &amp; Descriptions'!A:A)</f>
        <v>APM010</v>
      </c>
      <c r="F248" s="32" t="s">
        <v>60</v>
      </c>
      <c r="G248" s="33" t="s">
        <v>31</v>
      </c>
      <c r="H248" s="34" t="str">
        <f>F248&amp;"-"&amp;G248</f>
        <v>Projects-14</v>
      </c>
      <c r="I248" s="35" t="str">
        <f>IF(ISERROR(_xlfn.XLOOKUP(H248,'[1]SIG Level Structure'!D:D,'[1]SIG Level Structure'!D:D)),"0","1")</f>
        <v>1</v>
      </c>
      <c r="J248" s="36" t="str">
        <f>_xlfn.XLOOKUP($H248,'[1]SIG Level Structure'!$D:$D,'[1]SIG Level Structure'!F:F)</f>
        <v>M3</v>
      </c>
      <c r="K248" s="37" t="str">
        <f>E248&amp;"-"&amp;J248&amp;"-"&amp;G248</f>
        <v>APM010-M3-14</v>
      </c>
      <c r="L248" s="37" t="str">
        <f>IFERROR(D248&amp;"-"&amp;LEFT(J248,1),"--")</f>
        <v>APM-M</v>
      </c>
      <c r="M248" s="37" t="str">
        <f>VLOOKUP(L248,'[1]Compatible JC'!$A:$A,1,FALSE)</f>
        <v>APM-M</v>
      </c>
      <c r="N248" s="37" t="str">
        <f>IFERROR(_xlfn.XLOOKUP(H248,'[1]SIG Level Structure'!D:D,'[1]SIG Level Structure'!C:C),"--")</f>
        <v>Senior Project Manager</v>
      </c>
      <c r="O248" s="38" t="str">
        <f>IFERROR(TRIM(N248&amp;" "&amp;C248),"--")</f>
        <v>Senior Project Manager IT/ Digital Projects</v>
      </c>
      <c r="P248" s="22" t="str">
        <f>_xlfn.XLOOKUP(E248,'[1]SIG Job Families &amp; Descriptions'!A:A,'[1]SIG Job Families &amp; Descriptions'!G:G)</f>
        <v>Manages all aspects of a diverse IT project or multiple IT projects, typically involving multiple Disciplines in the IT Function. Utilizes expertise and leadership skills to direct staff and to resolve issues to ensure project goals and requirements are met. Typically uses Scrum/Agile development techniques and tools for team collaboration, issue tracking and backlog management</v>
      </c>
      <c r="Q248" s="39" t="str">
        <f>_xlfn.XLOOKUP(E248,'[1]2022 GI Position Descriptions'!E:E,'[1]2022 GI Position Descriptions'!G:G)</f>
        <v>Manages all aspects of a diverse IT project or multiple IT projects, typically involving multiple Disciplines in the IT Function | Utilizes expertise and leadership skills to direct staff and to resolve issues to ensure project goals and requirements are met | Typically uses Scrum/Agile development techniques and tools for team collaboration, issue tracking and backlog management</v>
      </c>
      <c r="R248" s="22" t="str">
        <f>IF(LEFT(J248,1)="E","EX",LEFT(J248,1))</f>
        <v>M</v>
      </c>
      <c r="S248" s="22" t="str">
        <f>_xlfn.XLOOKUP($R248,'[1]Career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248" s="22" t="str">
        <f>J248</f>
        <v>M3</v>
      </c>
      <c r="U248" s="40" t="str">
        <f t="shared" si="7"/>
        <v>M3</v>
      </c>
      <c r="V248" s="22" t="str">
        <f>_xlfn.XLOOKUP(T248,'[1]Career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248" s="41" t="str">
        <f>J248&amp;"-"&amp;G248</f>
        <v>M3-14</v>
      </c>
      <c r="X248" s="42" t="str">
        <f>G248</f>
        <v>14</v>
      </c>
      <c r="Y248" s="22" t="str">
        <f>_xlfn.XLOOKUP(W248,'[1]Career Bands &amp; Levels'!A:A,'[1]Career Bands &amp; Levels'!C:C,"No Grade Differentiator")</f>
        <v xml:space="preserve">●	Identifies applications of functional knowledge and existing methodologies to complex problems	
●	Manages large teams of professionals and/or junior managers		
		</v>
      </c>
      <c r="Z248" s="43" t="str">
        <f>IFERROR(O248&amp;" - "&amp;G248,"--")</f>
        <v>Senior Project Manager IT/ Digital Projects - 14</v>
      </c>
      <c r="AA248" s="44" t="str">
        <f>_xlfn.XLOOKUP($H248,'[1]SIG Qualifications Input'!$D:$D,'[1]SIG Qualifications Input'!$H:$H)</f>
        <v>University degree or equivalent and 8-10 years of work experience or equivalent, 
Experience in functionally leading (sub-)projects / teams</v>
      </c>
    </row>
    <row r="249" spans="1:27" ht="169" thickBot="1" x14ac:dyDescent="0.2">
      <c r="A249" s="34" t="str">
        <f>_xlfn.XLOOKUP(C249,'[1]SIG Job Families &amp; Descriptions'!F:F,'[1]SIG Job Families &amp; Descriptions'!B:B)</f>
        <v>IT</v>
      </c>
      <c r="B249" s="34" t="str">
        <f>_xlfn.XLOOKUP(C249,'[1]SIG Job Families &amp; Descriptions'!F:F,'[1]SIG Job Families &amp; Descriptions'!D:D)</f>
        <v>IT/ Digital Projects</v>
      </c>
      <c r="C249" s="34" t="s">
        <v>83</v>
      </c>
      <c r="D249" s="30" t="str">
        <f t="shared" si="6"/>
        <v>APM</v>
      </c>
      <c r="E249" s="31" t="str">
        <f>_xlfn.XLOOKUP(C249,'[1]SIG Job Families &amp; Descriptions'!F:F,'[1]SIG Job Families &amp; Descriptions'!A:A)</f>
        <v>APM010</v>
      </c>
      <c r="F249" s="32" t="s">
        <v>60</v>
      </c>
      <c r="G249" s="33" t="s">
        <v>33</v>
      </c>
      <c r="H249" s="34" t="str">
        <f>F249&amp;"-"&amp;G249</f>
        <v>Projects-13</v>
      </c>
      <c r="I249" s="35" t="str">
        <f>IF(ISERROR(_xlfn.XLOOKUP(H249,'[1]SIG Level Structure'!D:D,'[1]SIG Level Structure'!D:D)),"0","1")</f>
        <v>1</v>
      </c>
      <c r="J249" s="36" t="str">
        <f>_xlfn.XLOOKUP($H249,'[1]SIG Level Structure'!$D:$D,'[1]SIG Level Structure'!F:F)</f>
        <v>P4</v>
      </c>
      <c r="K249" s="37" t="str">
        <f>E249&amp;"-"&amp;J249&amp;"-"&amp;G249</f>
        <v>APM010-P4-13</v>
      </c>
      <c r="L249" s="37" t="str">
        <f>IFERROR(D249&amp;"-"&amp;LEFT(J249,1),"--")</f>
        <v>APM-P</v>
      </c>
      <c r="M249" s="37" t="str">
        <f>VLOOKUP(L249,'[1]Compatible JC'!$A:$A,1,FALSE)</f>
        <v>APM-P</v>
      </c>
      <c r="N249" s="37" t="str">
        <f>IFERROR(_xlfn.XLOOKUP(H249,'[1]SIG Level Structure'!D:D,'[1]SIG Level Structure'!C:C),"--")</f>
        <v>Senior Project Manager</v>
      </c>
      <c r="O249" s="38" t="str">
        <f>IFERROR(TRIM(N249&amp;" "&amp;C249),"--")</f>
        <v>Senior Project Manager IT/ Digital Projects</v>
      </c>
      <c r="P249" s="22" t="str">
        <f>_xlfn.XLOOKUP(E249,'[1]SIG Job Families &amp; Descriptions'!A:A,'[1]SIG Job Families &amp; Descriptions'!G:G)</f>
        <v>Manages all aspects of a diverse IT project or multiple IT projects, typically involving multiple Disciplines in the IT Function. Utilizes expertise and leadership skills to direct staff and to resolve issues to ensure project goals and requirements are met. Typically uses Scrum/Agile development techniques and tools for team collaboration, issue tracking and backlog management</v>
      </c>
      <c r="Q249" s="39" t="str">
        <f>_xlfn.XLOOKUP(E249,'[1]2022 GI Position Descriptions'!E:E,'[1]2022 GI Position Descriptions'!G:G)</f>
        <v>Manages all aspects of a diverse IT project or multiple IT projects, typically involving multiple Disciplines in the IT Function | Utilizes expertise and leadership skills to direct staff and to resolve issues to ensure project goals and requirements are met | Typically uses Scrum/Agile development techniques and tools for team collaboration, issue tracking and backlog management</v>
      </c>
      <c r="R249" s="22" t="str">
        <f>IF(LEFT(J249,1)="E","EX",LEFT(J249,1))</f>
        <v>P</v>
      </c>
      <c r="S249" s="22" t="str">
        <f>_xlfn.XLOOKUP($R249,'[1]Career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49" s="22" t="str">
        <f>J249</f>
        <v>P4</v>
      </c>
      <c r="U249" s="40" t="str">
        <f t="shared" si="7"/>
        <v>P4</v>
      </c>
      <c r="V249" s="22" t="str">
        <f>_xlfn.XLOOKUP(T249,'[1]Career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249" s="41" t="str">
        <f>J249&amp;"-"&amp;G249</f>
        <v>P4-13</v>
      </c>
      <c r="X249" s="42" t="str">
        <f>G249</f>
        <v>13</v>
      </c>
      <c r="Y249" s="22" t="str">
        <f>_xlfn.XLOOKUP(W249,'[1]Career Bands &amp; Levels'!A:A,'[1]Career Bands &amp; Levels'!C:C,"No Grade Differentiator")</f>
        <v xml:space="preserve">●	Guides others in resolving complex issues in specialized area based on existing solutions and procedures		
●	Serves as an expert within own discipline		
●	May lead function teams or projects and serves as a best practices/quality resource		
●	Trains/mentors junior staff		</v>
      </c>
      <c r="Z249" s="43" t="str">
        <f>IFERROR(O249&amp;" - "&amp;G249,"--")</f>
        <v>Senior Project Manager IT/ Digital Projects - 13</v>
      </c>
      <c r="AA249" s="44" t="str">
        <f>_xlfn.XLOOKUP($H249,'[1]SIG Qualifications Input'!$D:$D,'[1]SIG Qualifications Input'!$H:$H)</f>
        <v>University degree or equivalent and 8-10 years of work experience or equivalent, 
Experience in functionally leading (sub-)projects / teams</v>
      </c>
    </row>
    <row r="250" spans="1:27" ht="169" thickBot="1" x14ac:dyDescent="0.2">
      <c r="A250" s="34" t="str">
        <f>_xlfn.XLOOKUP(C250,'[1]SIG Job Families &amp; Descriptions'!F:F,'[1]SIG Job Families &amp; Descriptions'!B:B)</f>
        <v>IT</v>
      </c>
      <c r="B250" s="34" t="str">
        <f>_xlfn.XLOOKUP(C250,'[1]SIG Job Families &amp; Descriptions'!F:F,'[1]SIG Job Families &amp; Descriptions'!D:D)</f>
        <v>IT/ Digital Projects</v>
      </c>
      <c r="C250" s="34" t="s">
        <v>83</v>
      </c>
      <c r="D250" s="30" t="str">
        <f t="shared" si="6"/>
        <v>APM</v>
      </c>
      <c r="E250" s="31" t="str">
        <f>_xlfn.XLOOKUP(C250,'[1]SIG Job Families &amp; Descriptions'!F:F,'[1]SIG Job Families &amp; Descriptions'!A:A)</f>
        <v>APM010</v>
      </c>
      <c r="F250" s="32" t="s">
        <v>60</v>
      </c>
      <c r="G250" s="33" t="s">
        <v>34</v>
      </c>
      <c r="H250" s="34" t="str">
        <f>F250&amp;"-"&amp;G250</f>
        <v>Projects-12</v>
      </c>
      <c r="I250" s="35" t="str">
        <f>IF(ISERROR(_xlfn.XLOOKUP(H250,'[1]SIG Level Structure'!D:D,'[1]SIG Level Structure'!D:D)),"0","1")</f>
        <v>1</v>
      </c>
      <c r="J250" s="36" t="str">
        <f>_xlfn.XLOOKUP($H250,'[1]SIG Level Structure'!$D:$D,'[1]SIG Level Structure'!F:F)</f>
        <v>P3</v>
      </c>
      <c r="K250" s="37" t="str">
        <f>E250&amp;"-"&amp;J250&amp;"-"&amp;G250</f>
        <v>APM010-P3-12</v>
      </c>
      <c r="L250" s="37" t="str">
        <f>IFERROR(D250&amp;"-"&amp;LEFT(J250,1),"--")</f>
        <v>APM-P</v>
      </c>
      <c r="M250" s="37" t="str">
        <f>VLOOKUP(L250,'[1]Compatible JC'!$A:$A,1,FALSE)</f>
        <v>APM-P</v>
      </c>
      <c r="N250" s="37" t="str">
        <f>IFERROR(_xlfn.XLOOKUP(H250,'[1]SIG Level Structure'!D:D,'[1]SIG Level Structure'!C:C),"--")</f>
        <v>Project Manager</v>
      </c>
      <c r="O250" s="38" t="str">
        <f>IFERROR(TRIM(N250&amp;" "&amp;C250),"--")</f>
        <v>Project Manager IT/ Digital Projects</v>
      </c>
      <c r="P250" s="22" t="str">
        <f>_xlfn.XLOOKUP(E250,'[1]SIG Job Families &amp; Descriptions'!A:A,'[1]SIG Job Families &amp; Descriptions'!G:G)</f>
        <v>Manages all aspects of a diverse IT project or multiple IT projects, typically involving multiple Disciplines in the IT Function. Utilizes expertise and leadership skills to direct staff and to resolve issues to ensure project goals and requirements are met. Typically uses Scrum/Agile development techniques and tools for team collaboration, issue tracking and backlog management</v>
      </c>
      <c r="Q250" s="39" t="str">
        <f>_xlfn.XLOOKUP(E250,'[1]2022 GI Position Descriptions'!E:E,'[1]2022 GI Position Descriptions'!G:G)</f>
        <v>Manages all aspects of a diverse IT project or multiple IT projects, typically involving multiple Disciplines in the IT Function | Utilizes expertise and leadership skills to direct staff and to resolve issues to ensure project goals and requirements are met | Typically uses Scrum/Agile development techniques and tools for team collaboration, issue tracking and backlog management</v>
      </c>
      <c r="R250" s="22" t="str">
        <f>IF(LEFT(J250,1)="E","EX",LEFT(J250,1))</f>
        <v>P</v>
      </c>
      <c r="S250" s="22" t="str">
        <f>_xlfn.XLOOKUP($R250,'[1]Career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50" s="22" t="str">
        <f>J250</f>
        <v>P3</v>
      </c>
      <c r="U250" s="40" t="str">
        <f t="shared" si="7"/>
        <v>P3</v>
      </c>
      <c r="V250" s="22" t="str">
        <f>_xlfn.XLOOKUP(T250,'[1]Career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250" s="41" t="str">
        <f>J250&amp;"-"&amp;G250</f>
        <v>P3-12</v>
      </c>
      <c r="X250" s="42" t="str">
        <f>G250</f>
        <v>12</v>
      </c>
      <c r="Y250" s="22" t="str">
        <f>_xlfn.XLOOKUP(W250,'[1]Career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250" s="43" t="str">
        <f>IFERROR(O250&amp;" - "&amp;G250,"--")</f>
        <v>Project Manager IT/ Digital Projects - 12</v>
      </c>
      <c r="AA250" s="44" t="str">
        <f>_xlfn.XLOOKUP($H250,'[1]SIG Qualifications Input'!$D:$D,'[1]SIG Qualifications Input'!$H:$H)</f>
        <v>University degree or equivalent and 4-8 years of work experience or equivalent, 
Initial experience in functionally leading (sub-) projects</v>
      </c>
    </row>
    <row r="251" spans="1:27" ht="169" thickBot="1" x14ac:dyDescent="0.2">
      <c r="A251" s="34" t="str">
        <f>_xlfn.XLOOKUP(C251,'[1]SIG Job Families &amp; Descriptions'!F:F,'[1]SIG Job Families &amp; Descriptions'!B:B)</f>
        <v>IT</v>
      </c>
      <c r="B251" s="34" t="str">
        <f>_xlfn.XLOOKUP(C251,'[1]SIG Job Families &amp; Descriptions'!F:F,'[1]SIG Job Families &amp; Descriptions'!D:D)</f>
        <v>IT/ Digital Projects</v>
      </c>
      <c r="C251" s="34" t="s">
        <v>83</v>
      </c>
      <c r="D251" s="30" t="str">
        <f t="shared" si="6"/>
        <v>APM</v>
      </c>
      <c r="E251" s="31" t="str">
        <f>_xlfn.XLOOKUP(C251,'[1]SIG Job Families &amp; Descriptions'!F:F,'[1]SIG Job Families &amp; Descriptions'!A:A)</f>
        <v>APM010</v>
      </c>
      <c r="F251" s="32" t="s">
        <v>60</v>
      </c>
      <c r="G251" s="33" t="s">
        <v>35</v>
      </c>
      <c r="H251" s="34" t="str">
        <f>F251&amp;"-"&amp;G251</f>
        <v>Projects-11</v>
      </c>
      <c r="I251" s="35" t="str">
        <f>IF(ISERROR(_xlfn.XLOOKUP(H251,'[1]SIG Level Structure'!D:D,'[1]SIG Level Structure'!D:D)),"0","1")</f>
        <v>1</v>
      </c>
      <c r="J251" s="36" t="str">
        <f>_xlfn.XLOOKUP($H251,'[1]SIG Level Structure'!$D:$D,'[1]SIG Level Structure'!F:F)</f>
        <v>P3</v>
      </c>
      <c r="K251" s="37" t="str">
        <f>E251&amp;"-"&amp;J251&amp;"-"&amp;G251</f>
        <v>APM010-P3-11</v>
      </c>
      <c r="L251" s="37" t="str">
        <f>IFERROR(D251&amp;"-"&amp;LEFT(J251,1),"--")</f>
        <v>APM-P</v>
      </c>
      <c r="M251" s="37" t="str">
        <f>VLOOKUP(L251,'[1]Compatible JC'!$A:$A,1,FALSE)</f>
        <v>APM-P</v>
      </c>
      <c r="N251" s="37" t="str">
        <f>IFERROR(_xlfn.XLOOKUP(H251,'[1]SIG Level Structure'!D:D,'[1]SIG Level Structure'!C:C),"--")</f>
        <v>Project Manager</v>
      </c>
      <c r="O251" s="38" t="str">
        <f>IFERROR(TRIM(N251&amp;" "&amp;C251),"--")</f>
        <v>Project Manager IT/ Digital Projects</v>
      </c>
      <c r="P251" s="22" t="str">
        <f>_xlfn.XLOOKUP(E251,'[1]SIG Job Families &amp; Descriptions'!A:A,'[1]SIG Job Families &amp; Descriptions'!G:G)</f>
        <v>Manages all aspects of a diverse IT project or multiple IT projects, typically involving multiple Disciplines in the IT Function. Utilizes expertise and leadership skills to direct staff and to resolve issues to ensure project goals and requirements are met. Typically uses Scrum/Agile development techniques and tools for team collaboration, issue tracking and backlog management</v>
      </c>
      <c r="Q251" s="39" t="str">
        <f>_xlfn.XLOOKUP(E251,'[1]2022 GI Position Descriptions'!E:E,'[1]2022 GI Position Descriptions'!G:G)</f>
        <v>Manages all aspects of a diverse IT project or multiple IT projects, typically involving multiple Disciplines in the IT Function | Utilizes expertise and leadership skills to direct staff and to resolve issues to ensure project goals and requirements are met | Typically uses Scrum/Agile development techniques and tools for team collaboration, issue tracking and backlog management</v>
      </c>
      <c r="R251" s="22" t="str">
        <f>IF(LEFT(J251,1)="E","EX",LEFT(J251,1))</f>
        <v>P</v>
      </c>
      <c r="S251" s="22" t="str">
        <f>_xlfn.XLOOKUP($R251,'[1]Career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51" s="22" t="str">
        <f>J251</f>
        <v>P3</v>
      </c>
      <c r="U251" s="40" t="str">
        <f t="shared" si="7"/>
        <v>P3</v>
      </c>
      <c r="V251" s="22" t="str">
        <f>_xlfn.XLOOKUP(T251,'[1]Career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251" s="41" t="str">
        <f>J251&amp;"-"&amp;G251</f>
        <v>P3-11</v>
      </c>
      <c r="X251" s="42" t="str">
        <f>G251</f>
        <v>11</v>
      </c>
      <c r="Y251" s="22" t="str">
        <f>_xlfn.XLOOKUP(W251,'[1]Career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251" s="43" t="str">
        <f>IFERROR(O251&amp;" - "&amp;G251,"--")</f>
        <v>Project Manager IT/ Digital Projects - 11</v>
      </c>
      <c r="AA251" s="44" t="str">
        <f>_xlfn.XLOOKUP($H251,'[1]SIG Qualifications Input'!$D:$D,'[1]SIG Qualifications Input'!$H:$H)</f>
        <v>University degree or equivalent and 4-8 years of work experience or equivalent, 
Initial experience in functionally leading (sub-) projects</v>
      </c>
    </row>
    <row r="252" spans="1:27" ht="169" thickBot="1" x14ac:dyDescent="0.2">
      <c r="A252" s="34" t="str">
        <f>_xlfn.XLOOKUP(C252,'[1]SIG Job Families &amp; Descriptions'!F:F,'[1]SIG Job Families &amp; Descriptions'!B:B)</f>
        <v>IT</v>
      </c>
      <c r="B252" s="34" t="str">
        <f>_xlfn.XLOOKUP(C252,'[1]SIG Job Families &amp; Descriptions'!F:F,'[1]SIG Job Families &amp; Descriptions'!D:D)</f>
        <v>IT/ Digital Projects</v>
      </c>
      <c r="C252" s="34" t="s">
        <v>83</v>
      </c>
      <c r="D252" s="30" t="str">
        <f t="shared" si="6"/>
        <v>APM</v>
      </c>
      <c r="E252" s="31" t="str">
        <f>_xlfn.XLOOKUP(C252,'[1]SIG Job Families &amp; Descriptions'!F:F,'[1]SIG Job Families &amp; Descriptions'!A:A)</f>
        <v>APM010</v>
      </c>
      <c r="F252" s="32" t="s">
        <v>60</v>
      </c>
      <c r="G252" s="33" t="s">
        <v>36</v>
      </c>
      <c r="H252" s="34" t="str">
        <f>F252&amp;"-"&amp;G252</f>
        <v>Projects-10</v>
      </c>
      <c r="I252" s="35" t="str">
        <f>IF(ISERROR(_xlfn.XLOOKUP(H252,'[1]SIG Level Structure'!D:D,'[1]SIG Level Structure'!D:D)),"0","1")</f>
        <v>1</v>
      </c>
      <c r="J252" s="36" t="str">
        <f>_xlfn.XLOOKUP($H252,'[1]SIG Level Structure'!$D:$D,'[1]SIG Level Structure'!F:F)</f>
        <v>P2</v>
      </c>
      <c r="K252" s="37" t="str">
        <f>E252&amp;"-"&amp;J252&amp;"-"&amp;G252</f>
        <v>APM010-P2-10</v>
      </c>
      <c r="L252" s="37" t="str">
        <f>IFERROR(D252&amp;"-"&amp;LEFT(J252,1),"--")</f>
        <v>APM-P</v>
      </c>
      <c r="M252" s="37" t="str">
        <f>VLOOKUP(L252,'[1]Compatible JC'!$A:$A,1,FALSE)</f>
        <v>APM-P</v>
      </c>
      <c r="N252" s="37" t="str">
        <f>IFERROR(_xlfn.XLOOKUP(H252,'[1]SIG Level Structure'!D:D,'[1]SIG Level Structure'!C:C),"--")</f>
        <v>Senior Project Coordinator</v>
      </c>
      <c r="O252" s="38" t="str">
        <f>IFERROR(TRIM(N252&amp;" "&amp;C252),"--")</f>
        <v>Senior Project Coordinator IT/ Digital Projects</v>
      </c>
      <c r="P252" s="22" t="str">
        <f>_xlfn.XLOOKUP(E252,'[1]SIG Job Families &amp; Descriptions'!A:A,'[1]SIG Job Families &amp; Descriptions'!G:G)</f>
        <v>Manages all aspects of a diverse IT project or multiple IT projects, typically involving multiple Disciplines in the IT Function. Utilizes expertise and leadership skills to direct staff and to resolve issues to ensure project goals and requirements are met. Typically uses Scrum/Agile development techniques and tools for team collaboration, issue tracking and backlog management</v>
      </c>
      <c r="Q252" s="39" t="str">
        <f>_xlfn.XLOOKUP(E252,'[1]2022 GI Position Descriptions'!E:E,'[1]2022 GI Position Descriptions'!G:G)</f>
        <v>Manages all aspects of a diverse IT project or multiple IT projects, typically involving multiple Disciplines in the IT Function | Utilizes expertise and leadership skills to direct staff and to resolve issues to ensure project goals and requirements are met | Typically uses Scrum/Agile development techniques and tools for team collaboration, issue tracking and backlog management</v>
      </c>
      <c r="R252" s="22" t="str">
        <f>IF(LEFT(J252,1)="E","EX",LEFT(J252,1))</f>
        <v>P</v>
      </c>
      <c r="S252" s="22" t="str">
        <f>_xlfn.XLOOKUP($R252,'[1]Career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52" s="22" t="str">
        <f>J252</f>
        <v>P2</v>
      </c>
      <c r="U252" s="40" t="str">
        <f t="shared" si="7"/>
        <v>P2</v>
      </c>
      <c r="V252" s="22" t="str">
        <f>_xlfn.XLOOKUP(T252,'[1]Career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252" s="41" t="str">
        <f>J252&amp;"-"&amp;G252</f>
        <v>P2-10</v>
      </c>
      <c r="X252" s="42" t="str">
        <f>G252</f>
        <v>10</v>
      </c>
      <c r="Y252" s="22" t="str">
        <f>_xlfn.XLOOKUP(W252,'[1]Career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252" s="43" t="str">
        <f>IFERROR(O252&amp;" - "&amp;G252,"--")</f>
        <v>Senior Project Coordinator IT/ Digital Projects - 10</v>
      </c>
      <c r="AA252" s="44" t="str">
        <f>_xlfn.XLOOKUP($H252,'[1]SIG Qualifications Input'!$D:$D,'[1]SIG Qualifications Input'!$H:$H)</f>
        <v>University degree or equivalent and 2-4 years of work experience or equivalent</v>
      </c>
    </row>
    <row r="253" spans="1:27" ht="169" thickBot="1" x14ac:dyDescent="0.2">
      <c r="A253" s="34" t="str">
        <f>_xlfn.XLOOKUP(C253,'[1]SIG Job Families &amp; Descriptions'!F:F,'[1]SIG Job Families &amp; Descriptions'!B:B)</f>
        <v>IT</v>
      </c>
      <c r="B253" s="34" t="str">
        <f>_xlfn.XLOOKUP(C253,'[1]SIG Job Families &amp; Descriptions'!F:F,'[1]SIG Job Families &amp; Descriptions'!D:D)</f>
        <v>IT/ Digital Projects</v>
      </c>
      <c r="C253" s="34" t="s">
        <v>83</v>
      </c>
      <c r="D253" s="30" t="str">
        <f t="shared" si="6"/>
        <v>APM</v>
      </c>
      <c r="E253" s="31" t="str">
        <f>_xlfn.XLOOKUP(C253,'[1]SIG Job Families &amp; Descriptions'!F:F,'[1]SIG Job Families &amp; Descriptions'!A:A)</f>
        <v>APM010</v>
      </c>
      <c r="F253" s="32" t="s">
        <v>60</v>
      </c>
      <c r="G253" s="33" t="s">
        <v>37</v>
      </c>
      <c r="H253" s="34" t="str">
        <f>F253&amp;"-"&amp;G253</f>
        <v>Projects-09</v>
      </c>
      <c r="I253" s="35" t="str">
        <f>IF(ISERROR(_xlfn.XLOOKUP(H253,'[1]SIG Level Structure'!D:D,'[1]SIG Level Structure'!D:D)),"0","1")</f>
        <v>1</v>
      </c>
      <c r="J253" s="36" t="str">
        <f>_xlfn.XLOOKUP($H253,'[1]SIG Level Structure'!$D:$D,'[1]SIG Level Structure'!F:F)</f>
        <v>P2</v>
      </c>
      <c r="K253" s="37" t="str">
        <f>E253&amp;"-"&amp;J253&amp;"-"&amp;G253</f>
        <v>APM010-P2-09</v>
      </c>
      <c r="L253" s="37" t="str">
        <f>IFERROR(D253&amp;"-"&amp;LEFT(J253,1),"--")</f>
        <v>APM-P</v>
      </c>
      <c r="M253" s="37" t="str">
        <f>VLOOKUP(L253,'[1]Compatible JC'!$A:$A,1,FALSE)</f>
        <v>APM-P</v>
      </c>
      <c r="N253" s="37" t="str">
        <f>IFERROR(_xlfn.XLOOKUP(H253,'[1]SIG Level Structure'!D:D,'[1]SIG Level Structure'!C:C),"--")</f>
        <v>Senior Project Coordinator</v>
      </c>
      <c r="O253" s="38" t="str">
        <f>IFERROR(TRIM(N253&amp;" "&amp;C253),"--")</f>
        <v>Senior Project Coordinator IT/ Digital Projects</v>
      </c>
      <c r="P253" s="22" t="str">
        <f>_xlfn.XLOOKUP(E253,'[1]SIG Job Families &amp; Descriptions'!A:A,'[1]SIG Job Families &amp; Descriptions'!G:G)</f>
        <v>Manages all aspects of a diverse IT project or multiple IT projects, typically involving multiple Disciplines in the IT Function. Utilizes expertise and leadership skills to direct staff and to resolve issues to ensure project goals and requirements are met. Typically uses Scrum/Agile development techniques and tools for team collaboration, issue tracking and backlog management</v>
      </c>
      <c r="Q253" s="39" t="str">
        <f>_xlfn.XLOOKUP(E253,'[1]2022 GI Position Descriptions'!E:E,'[1]2022 GI Position Descriptions'!G:G)</f>
        <v>Manages all aspects of a diverse IT project or multiple IT projects, typically involving multiple Disciplines in the IT Function | Utilizes expertise and leadership skills to direct staff and to resolve issues to ensure project goals and requirements are met | Typically uses Scrum/Agile development techniques and tools for team collaboration, issue tracking and backlog management</v>
      </c>
      <c r="R253" s="22" t="str">
        <f>IF(LEFT(J253,1)="E","EX",LEFT(J253,1))</f>
        <v>P</v>
      </c>
      <c r="S253" s="22" t="str">
        <f>_xlfn.XLOOKUP($R253,'[1]Career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53" s="22" t="str">
        <f>J253</f>
        <v>P2</v>
      </c>
      <c r="U253" s="40" t="str">
        <f t="shared" si="7"/>
        <v>P2</v>
      </c>
      <c r="V253" s="22" t="str">
        <f>_xlfn.XLOOKUP(T253,'[1]Career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253" s="41" t="str">
        <f>J253&amp;"-"&amp;G253</f>
        <v>P2-09</v>
      </c>
      <c r="X253" s="42" t="str">
        <f>G253</f>
        <v>09</v>
      </c>
      <c r="Y253" s="22" t="str">
        <f>_xlfn.XLOOKUP(W253,'[1]Career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253" s="43" t="str">
        <f>IFERROR(O253&amp;" - "&amp;G253,"--")</f>
        <v>Senior Project Coordinator IT/ Digital Projects - 09</v>
      </c>
      <c r="AA253" s="44" t="str">
        <f>_xlfn.XLOOKUP($H253,'[1]SIG Qualifications Input'!$D:$D,'[1]SIG Qualifications Input'!$H:$H)</f>
        <v>University degree or equivalent and 2-4 years of work experience or equivalent</v>
      </c>
    </row>
    <row r="254" spans="1:27" ht="169" thickBot="1" x14ac:dyDescent="0.2">
      <c r="A254" s="34" t="str">
        <f>_xlfn.XLOOKUP(C254,'[1]SIG Job Families &amp; Descriptions'!F:F,'[1]SIG Job Families &amp; Descriptions'!B:B)</f>
        <v>IT</v>
      </c>
      <c r="B254" s="34" t="str">
        <f>_xlfn.XLOOKUP(C254,'[1]SIG Job Families &amp; Descriptions'!F:F,'[1]SIG Job Families &amp; Descriptions'!D:D)</f>
        <v>IT/ Digital Projects</v>
      </c>
      <c r="C254" s="34" t="s">
        <v>83</v>
      </c>
      <c r="D254" s="30" t="str">
        <f t="shared" si="6"/>
        <v>APM</v>
      </c>
      <c r="E254" s="31" t="str">
        <f>_xlfn.XLOOKUP(C254,'[1]SIG Job Families &amp; Descriptions'!F:F,'[1]SIG Job Families &amp; Descriptions'!A:A)</f>
        <v>APM010</v>
      </c>
      <c r="F254" s="32" t="s">
        <v>60</v>
      </c>
      <c r="G254" s="33" t="s">
        <v>43</v>
      </c>
      <c r="H254" s="34" t="str">
        <f>F254&amp;"-"&amp;G254</f>
        <v>Projects-08</v>
      </c>
      <c r="I254" s="35" t="str">
        <f>IF(ISERROR(_xlfn.XLOOKUP(H254,'[1]SIG Level Structure'!D:D,'[1]SIG Level Structure'!D:D)),"0","1")</f>
        <v>1</v>
      </c>
      <c r="J254" s="36" t="str">
        <f>_xlfn.XLOOKUP($H254,'[1]SIG Level Structure'!$D:$D,'[1]SIG Level Structure'!F:F)</f>
        <v>P1</v>
      </c>
      <c r="K254" s="37" t="str">
        <f>E254&amp;"-"&amp;J254&amp;"-"&amp;G254</f>
        <v>APM010-P1-08</v>
      </c>
      <c r="L254" s="37" t="str">
        <f>IFERROR(D254&amp;"-"&amp;LEFT(J254,1),"--")</f>
        <v>APM-P</v>
      </c>
      <c r="M254" s="37" t="str">
        <f>VLOOKUP(L254,'[1]Compatible JC'!$A:$A,1,FALSE)</f>
        <v>APM-P</v>
      </c>
      <c r="N254" s="37" t="str">
        <f>IFERROR(_xlfn.XLOOKUP(H254,'[1]SIG Level Structure'!D:D,'[1]SIG Level Structure'!C:C),"--")</f>
        <v>Project Coordinator</v>
      </c>
      <c r="O254" s="38" t="str">
        <f>IFERROR(TRIM(N254&amp;" "&amp;C254),"--")</f>
        <v>Project Coordinator IT/ Digital Projects</v>
      </c>
      <c r="P254" s="22" t="str">
        <f>_xlfn.XLOOKUP(E254,'[1]SIG Job Families &amp; Descriptions'!A:A,'[1]SIG Job Families &amp; Descriptions'!G:G)</f>
        <v>Manages all aspects of a diverse IT project or multiple IT projects, typically involving multiple Disciplines in the IT Function. Utilizes expertise and leadership skills to direct staff and to resolve issues to ensure project goals and requirements are met. Typically uses Scrum/Agile development techniques and tools for team collaboration, issue tracking and backlog management</v>
      </c>
      <c r="Q254" s="39" t="str">
        <f>_xlfn.XLOOKUP(E254,'[1]2022 GI Position Descriptions'!E:E,'[1]2022 GI Position Descriptions'!G:G)</f>
        <v>Manages all aspects of a diverse IT project or multiple IT projects, typically involving multiple Disciplines in the IT Function | Utilizes expertise and leadership skills to direct staff and to resolve issues to ensure project goals and requirements are met | Typically uses Scrum/Agile development techniques and tools for team collaboration, issue tracking and backlog management</v>
      </c>
      <c r="R254" s="22" t="str">
        <f>IF(LEFT(J254,1)="E","EX",LEFT(J254,1))</f>
        <v>P</v>
      </c>
      <c r="S254" s="22" t="str">
        <f>_xlfn.XLOOKUP($R254,'[1]Career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54" s="22" t="str">
        <f>J254</f>
        <v>P1</v>
      </c>
      <c r="U254" s="40" t="str">
        <f t="shared" si="7"/>
        <v>P1</v>
      </c>
      <c r="V254" s="22" t="str">
        <f>_xlfn.XLOOKUP(T254,'[1]Career Bands &amp; Levels'!A:A,'[1]Career Bands &amp; Levels'!C:C)</f>
        <v xml:space="preserve">●	Performs routine assignments in the entry level of the Professional Career Band		
●	Typically requires a college or university degree or the equivalent work experience and has conceptual knowledge of fundamental theories, principles and practices 		
●	Has no discretion to vary from established procedures by performing structured work assignments		
●	Uses existing procedures to solve routine or standard problems		
●	Receives instruction, guidance and direction from more senior level roles		</v>
      </c>
      <c r="W254" s="41" t="str">
        <f>J254&amp;"-"&amp;G254</f>
        <v>P1-08</v>
      </c>
      <c r="X254" s="42" t="str">
        <f>G254</f>
        <v>08</v>
      </c>
      <c r="Y254" s="22" t="str">
        <f>_xlfn.XLOOKUP(W254,'[1]Career Bands &amp; Levels'!A:A,'[1]Career Bands &amp; Levels'!C:C,"No Grade Differentiator")</f>
        <v>No Grade Differentiator</v>
      </c>
      <c r="Z254" s="43" t="str">
        <f>IFERROR(O254&amp;" - "&amp;G254,"--")</f>
        <v>Project Coordinator IT/ Digital Projects - 08</v>
      </c>
      <c r="AA254" s="44" t="str">
        <f>_xlfn.XLOOKUP($H254,'[1]SIG Qualifications Input'!$D:$D,'[1]SIG Qualifications Input'!$H:$H)</f>
        <v>University degree or equivalent and 0-1 year of work experience or equivalent</v>
      </c>
    </row>
    <row r="255" spans="1:27" ht="183" thickBot="1" x14ac:dyDescent="0.2">
      <c r="A255" s="34" t="str">
        <f>_xlfn.XLOOKUP(C255,'[1]SIG Job Families &amp; Descriptions'!F:F,'[1]SIG Job Families &amp; Descriptions'!B:B)</f>
        <v>IT</v>
      </c>
      <c r="B255" s="34" t="str">
        <f>_xlfn.XLOOKUP(C255,'[1]SIG Job Families &amp; Descriptions'!F:F,'[1]SIG Job Families &amp; Descriptions'!D:D)</f>
        <v>General IT</v>
      </c>
      <c r="C255" s="34" t="s">
        <v>75</v>
      </c>
      <c r="D255" s="30" t="str">
        <f t="shared" si="6"/>
        <v>AIC</v>
      </c>
      <c r="E255" s="31" t="str">
        <f>_xlfn.XLOOKUP(C255,'[1]SIG Job Families &amp; Descriptions'!F:F,'[1]SIG Job Families &amp; Descriptions'!A:A)</f>
        <v>AIC000</v>
      </c>
      <c r="F255" s="32" t="s">
        <v>29</v>
      </c>
      <c r="G255" s="33" t="s">
        <v>40</v>
      </c>
      <c r="H255" s="34" t="str">
        <f>F255&amp;"-"&amp;G255</f>
        <v>Management-16</v>
      </c>
      <c r="I255" s="35" t="str">
        <f>IF(ISERROR(_xlfn.XLOOKUP(H255,'[1]SIG Level Structure'!D:D,'[1]SIG Level Structure'!D:D)),"0","1")</f>
        <v>1</v>
      </c>
      <c r="J255" s="36" t="str">
        <f>_xlfn.XLOOKUP($H255,'[1]SIG Level Structure'!$D:$D,'[1]SIG Level Structure'!F:F)</f>
        <v>M4</v>
      </c>
      <c r="K255" s="37" t="str">
        <f>E255&amp;"-"&amp;J255&amp;"-"&amp;G255</f>
        <v>AIC000-M4-16</v>
      </c>
      <c r="L255" s="37" t="str">
        <f>IFERROR(D255&amp;"-"&amp;LEFT(J255,1),"--")</f>
        <v>AIC-M</v>
      </c>
      <c r="M255" s="37" t="str">
        <f>VLOOKUP(L255,'[1]Compatible JC'!$A:$A,1,FALSE)</f>
        <v>AIC-M</v>
      </c>
      <c r="N255" s="37" t="str">
        <f>IFERROR(_xlfn.XLOOKUP(H255,'[1]SIG Level Structure'!D:D,'[1]SIG Level Structure'!C:C),"--")</f>
        <v>Group Manager</v>
      </c>
      <c r="O255" s="38" t="str">
        <f>IFERROR(TRIM(N255&amp;" "&amp;C255),"--")</f>
        <v>Group Manager General IT</v>
      </c>
      <c r="P255" s="22" t="str">
        <f>_xlfn.XLOOKUP(E255,'[1]SIG Job Families &amp; Descriptions'!A:A,'[1]SIG Job Families &amp; Descriptions'!G:G)</f>
        <v>Responsible for both the design, development and implementation of short- and long-term solutions to information technology (IT) and digital needs through new and existing applications, systems architecture, network systems and applications infrastructure and the management of the IT infrastructure within an organization.</v>
      </c>
      <c r="Q255" s="39" t="str">
        <f>_xlfn.XLOOKUP(E255,'[1]2022 GI Position Descriptions'!E:E,'[1]2022 GI Position Descriptions'!G:G)</f>
        <v>Designs, develops, implements and oversees information technology (IT), including hardware, software and networks | Implements short- and long-term IT solutions that meet the needs of the organization | Installs, configures, administers, upgrades and maintains security for IT hardware, software and network infrastructure</v>
      </c>
      <c r="R255" s="22" t="str">
        <f>IF(LEFT(J255,1)="E","EX",LEFT(J255,1))</f>
        <v>M</v>
      </c>
      <c r="S255" s="22" t="str">
        <f>_xlfn.XLOOKUP($R255,'[1]Career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255" s="22" t="str">
        <f>J255</f>
        <v>M4</v>
      </c>
      <c r="U255" s="40" t="str">
        <f t="shared" si="7"/>
        <v>M4</v>
      </c>
      <c r="V255" s="22" t="str">
        <f>_xlfn.XLOOKUP(T255,'[1]Career Bands &amp; Levels'!A:A,'[1]Career Bands &amp; Levels'!C:C)</f>
        <v xml:space="preserve">●	Provides leadership and direction through Senior Managers and Managers		
●	Has accountability for the performance and results of:		
	●	A large, strategically important discipline in an extremely large market; and/or	
	●	Related disciplines or a medium-sized function in a large market or medium-sized division; and/or	
	●	A medium-sized discipline or department in a major region	
●	Adapts and executes functional or departmental business plans and contributes to the development of functional or departmental strategies		
●	Decisions are guided by functional or major operational segment strategies and priorities		</v>
      </c>
      <c r="W255" s="41" t="str">
        <f>J255&amp;"-"&amp;G255</f>
        <v>M4-16</v>
      </c>
      <c r="X255" s="42" t="str">
        <f>G255</f>
        <v>16</v>
      </c>
      <c r="Y255" s="22" t="str">
        <f>_xlfn.XLOOKUP(W255,'[1]Career Bands &amp; Levels'!A:A,'[1]Career Bands &amp; Levels'!C:C,"No Grade Differentiator")</f>
        <v>No Grade Differentiator</v>
      </c>
      <c r="Z255" s="43" t="str">
        <f>IFERROR(O255&amp;" - "&amp;G255,"--")</f>
        <v>Group Manager General IT - 16</v>
      </c>
      <c r="AA255" s="44" t="str">
        <f>_xlfn.XLOOKUP($H255,'[1]SIG Qualifications Input'!$D:$D,'[1]SIG Qualifications Input'!$H:$H)</f>
        <v>University degree or equivalent and 10-15 years of work experience or equivalent
Profound experience in management of a global function or major region including setting the respective strategy</v>
      </c>
    </row>
    <row r="256" spans="1:27" ht="99" thickBot="1" x14ac:dyDescent="0.2">
      <c r="A256" s="34" t="str">
        <f>_xlfn.XLOOKUP(C256,'[1]SIG Job Families &amp; Descriptions'!F:F,'[1]SIG Job Families &amp; Descriptions'!B:B)</f>
        <v>IT</v>
      </c>
      <c r="B256" s="34" t="str">
        <f>_xlfn.XLOOKUP(C256,'[1]SIG Job Families &amp; Descriptions'!F:F,'[1]SIG Job Families &amp; Descriptions'!D:D)</f>
        <v>General IT</v>
      </c>
      <c r="C256" s="34" t="s">
        <v>75</v>
      </c>
      <c r="D256" s="30" t="str">
        <f t="shared" si="6"/>
        <v>AIC</v>
      </c>
      <c r="E256" s="31" t="str">
        <f>_xlfn.XLOOKUP(C256,'[1]SIG Job Families &amp; Descriptions'!F:F,'[1]SIG Job Families &amp; Descriptions'!A:A)</f>
        <v>AIC000</v>
      </c>
      <c r="F256" s="32" t="s">
        <v>29</v>
      </c>
      <c r="G256" s="33" t="s">
        <v>45</v>
      </c>
      <c r="H256" s="34" t="str">
        <f>F256&amp;"-"&amp;G256</f>
        <v>Management-17</v>
      </c>
      <c r="I256" s="35" t="str">
        <f>IF(ISERROR(_xlfn.XLOOKUP(H256,'[1]SIG Level Structure'!D:D,'[1]SIG Level Structure'!D:D)),"0","1")</f>
        <v>1</v>
      </c>
      <c r="J256" s="36" t="str">
        <f>_xlfn.XLOOKUP($H256,'[1]SIG Level Structure'!$D:$D,'[1]SIG Level Structure'!F:F)</f>
        <v>EX</v>
      </c>
      <c r="K256" s="37" t="str">
        <f>E256&amp;"-"&amp;J256&amp;"-"&amp;G256</f>
        <v>AIC000-EX-17</v>
      </c>
      <c r="L256" s="37" t="str">
        <f>IFERROR(D256&amp;"-"&amp;LEFT(J256,1),"--")</f>
        <v>AIC-E</v>
      </c>
      <c r="M256" s="37" t="str">
        <f>VLOOKUP(L256,'[1]Compatible JC'!$A:$A,1,FALSE)</f>
        <v>AIC-E</v>
      </c>
      <c r="N256" s="37" t="str">
        <f>IFERROR(_xlfn.XLOOKUP(H256,'[1]SIG Level Structure'!D:D,'[1]SIG Level Structure'!C:C),"--")</f>
        <v>Group Manager</v>
      </c>
      <c r="O256" s="38" t="str">
        <f>IFERROR(TRIM(N256&amp;" "&amp;C256),"--")</f>
        <v>Group Manager General IT</v>
      </c>
      <c r="P256" s="22" t="str">
        <f>_xlfn.XLOOKUP(E256,'[1]SIG Job Families &amp; Descriptions'!A:A,'[1]SIG Job Families &amp; Descriptions'!G:G)</f>
        <v>Responsible for both the design, development and implementation of short- and long-term solutions to information technology (IT) and digital needs through new and existing applications, systems architecture, network systems and applications infrastructure and the management of the IT infrastructure within an organization.</v>
      </c>
      <c r="Q256" s="39" t="str">
        <f>_xlfn.XLOOKUP(E256,'[1]2022 GI Position Descriptions'!E:E,'[1]2022 GI Position Descriptions'!G:G)</f>
        <v>Designs, develops, implements and oversees information technology (IT), including hardware, software and networks | Implements short- and long-term IT solutions that meet the needs of the organization | Installs, configures, administers, upgrades and maintains security for IT hardware, software and network infrastructure</v>
      </c>
      <c r="R256" s="22" t="str">
        <f>IF(LEFT(J256,1)="E","EX",LEFT(J256,1))</f>
        <v>EX</v>
      </c>
      <c r="S256" s="22" t="str">
        <f>_xlfn.XLOOKUP($R256,'[1]Career Bands &amp; Levels'!A:A,'[1]Career Bands &amp; Levels'!C:C)</f>
        <v>● Holds management accountability for a business, division, major geography, corporate function or major corporate sub-function
● Develops, establishes and approves long-term vision and strategy for the area managed
● May be a board or executive committee member or have a comparable level of influence</v>
      </c>
      <c r="T256" s="22" t="str">
        <f>J256</f>
        <v>EX</v>
      </c>
      <c r="U256" s="40" t="str">
        <f t="shared" si="7"/>
        <v>EX</v>
      </c>
      <c r="V256" s="22" t="str">
        <f>_xlfn.XLOOKUP(T256,'[1]Career Bands &amp; Levels'!A:A,'[1]Career Bands &amp; Levels'!C:C)</f>
        <v>● Holds management accountability for a business, division, major geography, corporate function or major corporate sub-function
● Develops, establishes and approves long-term vision and strategy for the area managed
● May be a board or executive committee member or have a comparable level of influence</v>
      </c>
      <c r="W256" s="41" t="str">
        <f>J256&amp;"-"&amp;G256</f>
        <v>EX-17</v>
      </c>
      <c r="X256" s="42" t="str">
        <f>G256</f>
        <v>17</v>
      </c>
      <c r="Y256" s="22" t="str">
        <f>_xlfn.XLOOKUP(W256,'[1]Career Bands &amp; Levels'!A:A,'[1]Career Bands &amp; Levels'!C:C,"No Grade Differentiator")</f>
        <v>● Typically reports to the head of a subregion, country, division or function
● In large organizations (Global Grade 20 to 22), heads an infrastructure function with indirect impact on business performance</v>
      </c>
      <c r="Z256" s="43" t="str">
        <f>IFERROR(O256&amp;" - "&amp;G256,"--")</f>
        <v>Group Manager General IT - 17</v>
      </c>
      <c r="AA256" s="44" t="str">
        <f>_xlfn.XLOOKUP($H256,'[1]SIG Qualifications Input'!$D:$D,'[1]SIG Qualifications Input'!$H:$H)</f>
        <v>University degree or equivalent and 10-15 years of work experience or equivalent
Profound experience in management of a global function or major region including setting the respective strategy</v>
      </c>
    </row>
    <row r="257" spans="1:27" ht="267" thickBot="1" x14ac:dyDescent="0.2">
      <c r="A257" s="34" t="str">
        <f>_xlfn.XLOOKUP(C257,'[1]SIG Job Families &amp; Descriptions'!F:F,'[1]SIG Job Families &amp; Descriptions'!B:B)</f>
        <v>IT</v>
      </c>
      <c r="B257" s="34" t="str">
        <f>_xlfn.XLOOKUP(C257,'[1]SIG Job Families &amp; Descriptions'!F:F,'[1]SIG Job Families &amp; Descriptions'!D:D)</f>
        <v xml:space="preserve">IT Adminstration &amp; Support  </v>
      </c>
      <c r="C257" s="34" t="s">
        <v>79</v>
      </c>
      <c r="D257" s="30" t="str">
        <f t="shared" si="6"/>
        <v>AIT</v>
      </c>
      <c r="E257" s="31" t="str">
        <f>_xlfn.XLOOKUP(C257,'[1]SIG Job Families &amp; Descriptions'!F:F,'[1]SIG Job Families &amp; Descriptions'!A:A)</f>
        <v>AIT010</v>
      </c>
      <c r="F257" s="32" t="s">
        <v>32</v>
      </c>
      <c r="G257" s="33" t="s">
        <v>43</v>
      </c>
      <c r="H257" s="34" t="str">
        <f>F257&amp;"-"&amp;G257</f>
        <v>Professional-08</v>
      </c>
      <c r="I257" s="35" t="str">
        <f>IF(ISERROR(_xlfn.XLOOKUP(H257,'[1]SIG Level Structure'!D:D,'[1]SIG Level Structure'!D:D)),"0","1")</f>
        <v>1</v>
      </c>
      <c r="J257" s="36" t="str">
        <f>_xlfn.XLOOKUP($H257,'[1]SIG Level Structure'!$D:$D,'[1]SIG Level Structure'!F:F)</f>
        <v>P1</v>
      </c>
      <c r="K257" s="37" t="str">
        <f>E257&amp;"-"&amp;J257&amp;"-"&amp;G257</f>
        <v>AIT010-P1-08</v>
      </c>
      <c r="L257" s="37" t="str">
        <f>IFERROR(D257&amp;"-"&amp;LEFT(J257,1),"--")</f>
        <v>AIT-P</v>
      </c>
      <c r="M257" s="37" t="str">
        <f>VLOOKUP(L257,'[1]Compatible JC'!$A:$A,1,FALSE)</f>
        <v>AIT-P</v>
      </c>
      <c r="N257" s="37" t="str">
        <f>IFERROR(_xlfn.XLOOKUP(H257,'[1]SIG Level Structure'!D:D,'[1]SIG Level Structure'!C:C),"--")</f>
        <v>Specialist</v>
      </c>
      <c r="O257" s="38" t="str">
        <f>IFERROR(TRIM(N257&amp;" "&amp;C257),"--")</f>
        <v>Specialist IT Infrastructure</v>
      </c>
      <c r="P257" s="22" t="str">
        <f>_xlfn.XLOOKUP(E257,'[1]SIG Job Families &amp; Descriptions'!A:A,'[1]SIG Job Families &amp; Descriptions'!G:G)</f>
        <v xml:space="preserve">Manages the Information Technology (IT) infrastructure within an organization, including the physical network (e.g., LANs/WANs, servers, terminals) as well as server applications and software (e.g., PeopleSoft, Oracle). Configures, installs, maintains and upgrades server applications and hardware.
Provides (on-site) technical support to the organization's internal users of computer applications and hardware (e.g., PCs, servers, mainframes). Answers questions regarding system procedures, online transactions, systems status and downtime procedures and is typically located within a call center. Collaborates with network services, software systems engineering and/or application development in order to restore service and/or identify problems. Maintains a troubleshooting tracking log ensuring timely resolution of problems.
</v>
      </c>
      <c r="Q257" s="39" t="str">
        <f>_xlfn.XLOOKUP(E257,'[1]2022 GI Position Descriptions'!E:E,'[1]2022 GI Position Descriptions'!G:G)</f>
        <v>Configures, installs, maintains and upgrades computer systems hardware and software | Administers and maintains security of operating systems | Restores files or systems by designing, writing and implementing back-up procedures | Provides operational support for the organization's information systems and peripheral equipment such as application servers, database servers, web servers, desktops, printers and storage devices | Performs recovery procedures, scheduling and back-ups and monitors batch processes</v>
      </c>
      <c r="R257" s="22" t="str">
        <f>IF(LEFT(J257,1)="E","EX",LEFT(J257,1))</f>
        <v>P</v>
      </c>
      <c r="S257" s="22" t="str">
        <f>_xlfn.XLOOKUP($R257,'[1]Career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57" s="22" t="str">
        <f>J257</f>
        <v>P1</v>
      </c>
      <c r="U257" s="40" t="str">
        <f t="shared" si="7"/>
        <v>P1</v>
      </c>
      <c r="V257" s="22" t="str">
        <f>_xlfn.XLOOKUP(T257,'[1]Career Bands &amp; Levels'!A:A,'[1]Career Bands &amp; Levels'!C:C)</f>
        <v xml:space="preserve">●	Performs routine assignments in the entry level of the Professional Career Band		
●	Typically requires a college or university degree or the equivalent work experience and has conceptual knowledge of fundamental theories, principles and practices 		
●	Has no discretion to vary from established procedures by performing structured work assignments		
●	Uses existing procedures to solve routine or standard problems		
●	Receives instruction, guidance and direction from more senior level roles		</v>
      </c>
      <c r="W257" s="41" t="str">
        <f>J257&amp;"-"&amp;G257</f>
        <v>P1-08</v>
      </c>
      <c r="X257" s="42" t="str">
        <f>G257</f>
        <v>08</v>
      </c>
      <c r="Y257" s="22" t="str">
        <f>_xlfn.XLOOKUP(W257,'[1]Career Bands &amp; Levels'!A:A,'[1]Career Bands &amp; Levels'!C:C,"No Grade Differentiator")</f>
        <v>No Grade Differentiator</v>
      </c>
      <c r="Z257" s="43" t="str">
        <f>IFERROR(O257&amp;" - "&amp;G257,"--")</f>
        <v>Specialist IT Infrastructure - 08</v>
      </c>
      <c r="AA257" s="44" t="str">
        <f>_xlfn.XLOOKUP($H257,'[1]SIG Qualifications Input'!$D:$D,'[1]SIG Qualifications Input'!$H:$H)</f>
        <v>University degree or equivalent and 0-1 year of work experience or equivalent</v>
      </c>
    </row>
    <row r="258" spans="1:27" ht="267" thickBot="1" x14ac:dyDescent="0.2">
      <c r="A258" s="34" t="str">
        <f>_xlfn.XLOOKUP(C258,'[1]SIG Job Families &amp; Descriptions'!F:F,'[1]SIG Job Families &amp; Descriptions'!B:B)</f>
        <v>IT</v>
      </c>
      <c r="B258" s="34" t="str">
        <f>_xlfn.XLOOKUP(C258,'[1]SIG Job Families &amp; Descriptions'!F:F,'[1]SIG Job Families &amp; Descriptions'!D:D)</f>
        <v xml:space="preserve">IT Adminstration &amp; Support  </v>
      </c>
      <c r="C258" s="34" t="s">
        <v>78</v>
      </c>
      <c r="D258" s="30" t="str">
        <f t="shared" si="6"/>
        <v>AIT</v>
      </c>
      <c r="E258" s="31" t="str">
        <f>_xlfn.XLOOKUP(C258,'[1]SIG Job Families &amp; Descriptions'!F:F,'[1]SIG Job Families &amp; Descriptions'!A:A)</f>
        <v>AIT000</v>
      </c>
      <c r="F258" s="32" t="s">
        <v>32</v>
      </c>
      <c r="G258" s="33" t="s">
        <v>54</v>
      </c>
      <c r="H258" s="34" t="str">
        <f>F258&amp;"-"&amp;G258</f>
        <v>Professional-05</v>
      </c>
      <c r="I258" s="35" t="str">
        <f>IF(ISERROR(_xlfn.XLOOKUP(H258,'[1]SIG Level Structure'!D:D,'[1]SIG Level Structure'!D:D)),"0","1")</f>
        <v>1</v>
      </c>
      <c r="J258" s="36" t="str">
        <f>_xlfn.XLOOKUP($H258,'[1]SIG Level Structure'!$D:$D,'[1]SIG Level Structure'!F:F)</f>
        <v>U2</v>
      </c>
      <c r="K258" s="37" t="str">
        <f>E258&amp;"-"&amp;J258&amp;"-"&amp;G258</f>
        <v>AIT000-U2-05</v>
      </c>
      <c r="L258" s="37" t="str">
        <f>IFERROR(D258&amp;"-"&amp;LEFT(J258,1),"--")</f>
        <v>AIT-U</v>
      </c>
      <c r="M258" s="37" t="e">
        <f>VLOOKUP(L258,'[1]Compatible JC'!$A:$A,1,FALSE)</f>
        <v>#N/A</v>
      </c>
      <c r="N258" s="37" t="str">
        <f>IFERROR(_xlfn.XLOOKUP(H258,'[1]SIG Level Structure'!D:D,'[1]SIG Level Structure'!C:C),"--")</f>
        <v>Assistant / Analyst</v>
      </c>
      <c r="O258" s="38" t="str">
        <f>IFERROR(TRIM(N258&amp;" "&amp;C258),"--")</f>
        <v>Assistant / Analyst IT Adminstration &amp; Support</v>
      </c>
      <c r="P258" s="22" t="str">
        <f>_xlfn.XLOOKUP(E258,'[1]SIG Job Families &amp; Descriptions'!A:A,'[1]SIG Job Families &amp; Descriptions'!G:G)</f>
        <v xml:space="preserve">Manages the Information Technology (IT) infrastructure within an organization, including the physical network (e.g., LANs/WANs, servers, terminals) as well as server applications and software (e.g., PeopleSoft, Oracle). Configures, installs, maintains and upgrades server applications and hardware.
Provides (on-site) technical support to the organization's internal users of computer applications and hardware (e.g., PCs, servers, mainframes). Answers questions regarding system procedures, online transactions, systems status and downtime procedures and is typically located within a call center. Collaborates with network services, software systems engineering and/or application development in order to restore service and/or identify problems. Maintains a troubleshooting tracking log ensuring timely resolution of problems.
</v>
      </c>
      <c r="Q258" s="39" t="str">
        <f>_xlfn.XLOOKUP(E258,'[1]2022 GI Position Descriptions'!E:E,'[1]2022 GI Position Descriptions'!G:G)</f>
        <v>Administers the IT infrastructure within an organization, including the physical network (e.g., LANs/WANs, servers, terminals) as well as server applications and software (e.g., PeopleSoft, Oracle) | Responsibilities are within the IT Administration Function as a generalist or in a combination of Disciplines</v>
      </c>
      <c r="R258" s="22" t="str">
        <f>IF(LEFT(J258,1)="E","EX",LEFT(J258,1))</f>
        <v>U</v>
      </c>
      <c r="S258" s="22" t="str">
        <f>_xlfn.XLOOKUP($R258,'[1]Career Bands &amp; Levels'!A:A,'[1]Career Bands &amp; Levels'!C:C)</f>
        <v>● Performs clerical/administrative or specialized support tasks in an office, field or retail store/site setting
● May require vocational training or the equivalent experience, but does not require a university degree</v>
      </c>
      <c r="T258" s="22" t="str">
        <f>J258</f>
        <v>U2</v>
      </c>
      <c r="U258" s="40" t="str">
        <f t="shared" si="7"/>
        <v>U2</v>
      </c>
      <c r="V258" s="22" t="str">
        <f>_xlfn.XLOOKUP(T258,'[1]Career Bands &amp; Levels'!A:A,'[1]Career Bands &amp; Levels'!C:C)</f>
        <v xml:space="preserve">●	Has working knowledge and skills developed through formal training or work experience		
●	Works within established procedures with a moderate degree of supervision		
●	Identifies the problem and all relevant issues in straightforward situations, assesses each using standard procedures and makes sound decisions		</v>
      </c>
      <c r="W258" s="41" t="str">
        <f>J258&amp;"-"&amp;G258</f>
        <v>U2-05</v>
      </c>
      <c r="X258" s="42" t="str">
        <f>G258</f>
        <v>05</v>
      </c>
      <c r="Y258" s="22" t="str">
        <f>_xlfn.XLOOKUP(W258,'[1]Career Bands &amp; Levels'!A:A,'[1]Career Bands &amp; Levels'!C:C,"No Grade Differentiator")</f>
        <v xml:space="preserve">●	Has limited prior relevant training or work experience		
●	Has limited discretion to vary from established procedures		</v>
      </c>
      <c r="Z258" s="43" t="str">
        <f>IFERROR(O258&amp;" - "&amp;G258,"--")</f>
        <v>Assistant / Analyst IT Adminstration &amp; Support - 05</v>
      </c>
      <c r="AA258" s="44" t="str">
        <f>_xlfn.XLOOKUP($H258,'[1]SIG Qualifications Input'!$D:$D,'[1]SIG Qualifications Input'!$H:$H)</f>
        <v>Vocational training in e.g. commercial field or equivalent work experience. Up to 5 years of experience, possibly further internal trainings.</v>
      </c>
    </row>
    <row r="259" spans="1:27" ht="267" thickBot="1" x14ac:dyDescent="0.2">
      <c r="A259" s="34" t="str">
        <f>_xlfn.XLOOKUP(C259,'[1]SIG Job Families &amp; Descriptions'!F:F,'[1]SIG Job Families &amp; Descriptions'!B:B)</f>
        <v>IT</v>
      </c>
      <c r="B259" s="34" t="str">
        <f>_xlfn.XLOOKUP(C259,'[1]SIG Job Families &amp; Descriptions'!F:F,'[1]SIG Job Families &amp; Descriptions'!D:D)</f>
        <v xml:space="preserve">IT Adminstration &amp; Support  </v>
      </c>
      <c r="C259" s="34" t="s">
        <v>78</v>
      </c>
      <c r="D259" s="30" t="str">
        <f t="shared" ref="D259:D322" si="8">LEFT(E259,3)</f>
        <v>AIT</v>
      </c>
      <c r="E259" s="31" t="str">
        <f>_xlfn.XLOOKUP(C259,'[1]SIG Job Families &amp; Descriptions'!F:F,'[1]SIG Job Families &amp; Descriptions'!A:A)</f>
        <v>AIT000</v>
      </c>
      <c r="F259" s="32" t="s">
        <v>32</v>
      </c>
      <c r="G259" s="33" t="s">
        <v>53</v>
      </c>
      <c r="H259" s="34" t="str">
        <f>F259&amp;"-"&amp;G259</f>
        <v>Professional-06</v>
      </c>
      <c r="I259" s="35" t="str">
        <f>IF(ISERROR(_xlfn.XLOOKUP(H259,'[1]SIG Level Structure'!D:D,'[1]SIG Level Structure'!D:D)),"0","1")</f>
        <v>1</v>
      </c>
      <c r="J259" s="36" t="str">
        <f>_xlfn.XLOOKUP($H259,'[1]SIG Level Structure'!$D:$D,'[1]SIG Level Structure'!F:F)</f>
        <v>U2</v>
      </c>
      <c r="K259" s="37" t="str">
        <f>E259&amp;"-"&amp;J259&amp;"-"&amp;G259</f>
        <v>AIT000-U2-06</v>
      </c>
      <c r="L259" s="37" t="str">
        <f>IFERROR(D259&amp;"-"&amp;LEFT(J259,1),"--")</f>
        <v>AIT-U</v>
      </c>
      <c r="M259" s="37" t="e">
        <f>VLOOKUP(L259,'[1]Compatible JC'!$A:$A,1,FALSE)</f>
        <v>#N/A</v>
      </c>
      <c r="N259" s="37" t="str">
        <f>IFERROR(_xlfn.XLOOKUP(H259,'[1]SIG Level Structure'!D:D,'[1]SIG Level Structure'!C:C),"--")</f>
        <v>Assistant / Analyst</v>
      </c>
      <c r="O259" s="38" t="str">
        <f>IFERROR(TRIM(N259&amp;" "&amp;C259),"--")</f>
        <v>Assistant / Analyst IT Adminstration &amp; Support</v>
      </c>
      <c r="P259" s="22" t="str">
        <f>_xlfn.XLOOKUP(E259,'[1]SIG Job Families &amp; Descriptions'!A:A,'[1]SIG Job Families &amp; Descriptions'!G:G)</f>
        <v xml:space="preserve">Manages the Information Technology (IT) infrastructure within an organization, including the physical network (e.g., LANs/WANs, servers, terminals) as well as server applications and software (e.g., PeopleSoft, Oracle). Configures, installs, maintains and upgrades server applications and hardware.
Provides (on-site) technical support to the organization's internal users of computer applications and hardware (e.g., PCs, servers, mainframes). Answers questions regarding system procedures, online transactions, systems status and downtime procedures and is typically located within a call center. Collaborates with network services, software systems engineering and/or application development in order to restore service and/or identify problems. Maintains a troubleshooting tracking log ensuring timely resolution of problems.
</v>
      </c>
      <c r="Q259" s="39" t="str">
        <f>_xlfn.XLOOKUP(E259,'[1]2022 GI Position Descriptions'!E:E,'[1]2022 GI Position Descriptions'!G:G)</f>
        <v>Administers the IT infrastructure within an organization, including the physical network (e.g., LANs/WANs, servers, terminals) as well as server applications and software (e.g., PeopleSoft, Oracle) | Responsibilities are within the IT Administration Function as a generalist or in a combination of Disciplines</v>
      </c>
      <c r="R259" s="22" t="str">
        <f>IF(LEFT(J259,1)="E","EX",LEFT(J259,1))</f>
        <v>U</v>
      </c>
      <c r="S259" s="22" t="str">
        <f>_xlfn.XLOOKUP($R259,'[1]Career Bands &amp; Levels'!A:A,'[1]Career Bands &amp; Levels'!C:C)</f>
        <v>● Performs clerical/administrative or specialized support tasks in an office, field or retail store/site setting
● May require vocational training or the equivalent experience, but does not require a university degree</v>
      </c>
      <c r="T259" s="22" t="str">
        <f>J259</f>
        <v>U2</v>
      </c>
      <c r="U259" s="40" t="str">
        <f t="shared" ref="U259:U322" si="9">T259</f>
        <v>U2</v>
      </c>
      <c r="V259" s="22" t="str">
        <f>_xlfn.XLOOKUP(T259,'[1]Career Bands &amp; Levels'!A:A,'[1]Career Bands &amp; Levels'!C:C)</f>
        <v xml:space="preserve">●	Has working knowledge and skills developed through formal training or work experience		
●	Works within established procedures with a moderate degree of supervision		
●	Identifies the problem and all relevant issues in straightforward situations, assesses each using standard procedures and makes sound decisions		</v>
      </c>
      <c r="W259" s="41" t="str">
        <f>J259&amp;"-"&amp;G259</f>
        <v>U2-06</v>
      </c>
      <c r="X259" s="42" t="str">
        <f>G259</f>
        <v>06</v>
      </c>
      <c r="Y259" s="22" t="str">
        <f>_xlfn.XLOOKUP(W259,'[1]Career Bands &amp; Levels'!A:A,'[1]Career Bands &amp; Levels'!C:C,"No Grade Differentiator")</f>
        <v xml:space="preserve">●	Has prior relevant training or related work experience		
●	Performs routine tasks following specific instructions or under close supervision		
●	Work is clearly defined and completed according to instruction		</v>
      </c>
      <c r="Z259" s="43" t="str">
        <f>IFERROR(O259&amp;" - "&amp;G259,"--")</f>
        <v>Assistant / Analyst IT Adminstration &amp; Support - 06</v>
      </c>
      <c r="AA259" s="44" t="str">
        <f>_xlfn.XLOOKUP($H259,'[1]SIG Qualifications Input'!$D:$D,'[1]SIG Qualifications Input'!$H:$H)</f>
        <v>Vocational training in e.g. commercial field or equivalent work experience. Up to 5 years of experience, possibly further internal trainings.</v>
      </c>
    </row>
    <row r="260" spans="1:27" ht="267" thickBot="1" x14ac:dyDescent="0.2">
      <c r="A260" s="34" t="str">
        <f>_xlfn.XLOOKUP(C260,'[1]SIG Job Families &amp; Descriptions'!F:F,'[1]SIG Job Families &amp; Descriptions'!B:B)</f>
        <v>IT</v>
      </c>
      <c r="B260" s="34" t="str">
        <f>_xlfn.XLOOKUP(C260,'[1]SIG Job Families &amp; Descriptions'!F:F,'[1]SIG Job Families &amp; Descriptions'!D:D)</f>
        <v xml:space="preserve">IT Adminstration &amp; Support  </v>
      </c>
      <c r="C260" s="34" t="s">
        <v>78</v>
      </c>
      <c r="D260" s="30" t="str">
        <f t="shared" si="8"/>
        <v>AIT</v>
      </c>
      <c r="E260" s="31" t="str">
        <f>_xlfn.XLOOKUP(C260,'[1]SIG Job Families &amp; Descriptions'!F:F,'[1]SIG Job Families &amp; Descriptions'!A:A)</f>
        <v>AIT000</v>
      </c>
      <c r="F260" s="32" t="s">
        <v>32</v>
      </c>
      <c r="G260" s="33" t="s">
        <v>52</v>
      </c>
      <c r="H260" s="34" t="str">
        <f>F260&amp;"-"&amp;G260</f>
        <v>Professional-07</v>
      </c>
      <c r="I260" s="35" t="str">
        <f>IF(ISERROR(_xlfn.XLOOKUP(H260,'[1]SIG Level Structure'!D:D,'[1]SIG Level Structure'!D:D)),"0","1")</f>
        <v>1</v>
      </c>
      <c r="J260" s="36" t="str">
        <f>_xlfn.XLOOKUP($H260,'[1]SIG Level Structure'!$D:$D,'[1]SIG Level Structure'!F:F)</f>
        <v>U3</v>
      </c>
      <c r="K260" s="37" t="str">
        <f>E260&amp;"-"&amp;J260&amp;"-"&amp;G260</f>
        <v>AIT000-U3-07</v>
      </c>
      <c r="L260" s="37" t="str">
        <f>IFERROR(D260&amp;"-"&amp;LEFT(J260,1),"--")</f>
        <v>AIT-U</v>
      </c>
      <c r="M260" s="37" t="e">
        <f>VLOOKUP(L260,'[1]Compatible JC'!$A:$A,1,FALSE)</f>
        <v>#N/A</v>
      </c>
      <c r="N260" s="37" t="str">
        <f>IFERROR(_xlfn.XLOOKUP(H260,'[1]SIG Level Structure'!D:D,'[1]SIG Level Structure'!C:C),"--")</f>
        <v>Assistant / Analyst</v>
      </c>
      <c r="O260" s="38" t="str">
        <f>IFERROR(TRIM(N260&amp;" "&amp;C260),"--")</f>
        <v>Assistant / Analyst IT Adminstration &amp; Support</v>
      </c>
      <c r="P260" s="22" t="str">
        <f>_xlfn.XLOOKUP(E260,'[1]SIG Job Families &amp; Descriptions'!A:A,'[1]SIG Job Families &amp; Descriptions'!G:G)</f>
        <v xml:space="preserve">Manages the Information Technology (IT) infrastructure within an organization, including the physical network (e.g., LANs/WANs, servers, terminals) as well as server applications and software (e.g., PeopleSoft, Oracle). Configures, installs, maintains and upgrades server applications and hardware.
Provides (on-site) technical support to the organization's internal users of computer applications and hardware (e.g., PCs, servers, mainframes). Answers questions regarding system procedures, online transactions, systems status and downtime procedures and is typically located within a call center. Collaborates with network services, software systems engineering and/or application development in order to restore service and/or identify problems. Maintains a troubleshooting tracking log ensuring timely resolution of problems.
</v>
      </c>
      <c r="Q260" s="39" t="str">
        <f>_xlfn.XLOOKUP(E260,'[1]2022 GI Position Descriptions'!E:E,'[1]2022 GI Position Descriptions'!G:G)</f>
        <v>Administers the IT infrastructure within an organization, including the physical network (e.g., LANs/WANs, servers, terminals) as well as server applications and software (e.g., PeopleSoft, Oracle) | Responsibilities are within the IT Administration Function as a generalist or in a combination of Disciplines</v>
      </c>
      <c r="R260" s="22" t="str">
        <f>IF(LEFT(J260,1)="E","EX",LEFT(J260,1))</f>
        <v>U</v>
      </c>
      <c r="S260" s="22" t="str">
        <f>_xlfn.XLOOKUP($R260,'[1]Career Bands &amp; Levels'!A:A,'[1]Career Bands &amp; Levels'!C:C)</f>
        <v>● Performs clerical/administrative or specialized support tasks in an office, field or retail store/site setting
● May require vocational training or the equivalent experience, but does not require a university degree</v>
      </c>
      <c r="T260" s="22" t="str">
        <f>J260</f>
        <v>U3</v>
      </c>
      <c r="U260" s="40" t="str">
        <f t="shared" si="9"/>
        <v>U3</v>
      </c>
      <c r="V260" s="22" t="str">
        <f>_xlfn.XLOOKUP(T260,'[1]Career Bands &amp; Levels'!A:A,'[1]Career Bands &amp; Levels'!C:C)</f>
        <v xml:space="preserve">●	Has full proficiency gained through job-related training and considerable work experience		
●	Completes work with a limited degree of supervision		
●	Likely to act as an informal resource for colleagues with less experience		
●	Identifies key issues and patterns from partial/conflicting data		
●	Takes a broad perspective to problems and spots new, less obvious solutions		</v>
      </c>
      <c r="W260" s="41" t="str">
        <f>J260&amp;"-"&amp;G260</f>
        <v>U3-07</v>
      </c>
      <c r="X260" s="42" t="str">
        <f>G260</f>
        <v>07</v>
      </c>
      <c r="Y260" s="22" t="str">
        <f>_xlfn.XLOOKUP(W260,'[1]Career Bands &amp; Levels'!A:A,'[1]Career Bands &amp; Levels'!C:C,"No Grade Differentiator")</f>
        <v>No Grade Differentiator</v>
      </c>
      <c r="Z260" s="43" t="str">
        <f>IFERROR(O260&amp;" - "&amp;G260,"--")</f>
        <v>Assistant / Analyst IT Adminstration &amp; Support - 07</v>
      </c>
      <c r="AA260" s="44" t="str">
        <f>_xlfn.XLOOKUP($H260,'[1]SIG Qualifications Input'!$D:$D,'[1]SIG Qualifications Input'!$H:$H)</f>
        <v>Vocational training in e.g. commercial field or equivalent work experience. Up to 5 years of experience, possibly further internal trainings.</v>
      </c>
    </row>
    <row r="261" spans="1:27" ht="169" thickBot="1" x14ac:dyDescent="0.2">
      <c r="A261" s="34" t="str">
        <f>_xlfn.XLOOKUP(C261,'[1]SIG Job Families &amp; Descriptions'!F:F,'[1]SIG Job Families &amp; Descriptions'!B:B)</f>
        <v>Legal &amp; Internal Audit</v>
      </c>
      <c r="B261" s="34" t="str">
        <f>_xlfn.XLOOKUP(C261,'[1]SIG Job Families &amp; Descriptions'!F:F,'[1]SIG Job Families &amp; Descriptions'!D:D)</f>
        <v>Legal Affairs</v>
      </c>
      <c r="C261" s="34" t="s">
        <v>84</v>
      </c>
      <c r="D261" s="30" t="str">
        <f t="shared" si="8"/>
        <v>ALG</v>
      </c>
      <c r="E261" s="31" t="str">
        <f>_xlfn.XLOOKUP(C261,'[1]SIG Job Families &amp; Descriptions'!F:F,'[1]SIG Job Families &amp; Descriptions'!A:A)</f>
        <v>ALG000</v>
      </c>
      <c r="F261" s="32" t="s">
        <v>32</v>
      </c>
      <c r="G261" s="33" t="s">
        <v>31</v>
      </c>
      <c r="H261" s="34" t="str">
        <f>F261&amp;"-"&amp;G261</f>
        <v>Professional-14</v>
      </c>
      <c r="I261" s="35" t="str">
        <f>IF(ISERROR(_xlfn.XLOOKUP(H261,'[1]SIG Level Structure'!D:D,'[1]SIG Level Structure'!D:D)),"0","1")</f>
        <v>1</v>
      </c>
      <c r="J261" s="36" t="str">
        <f>_xlfn.XLOOKUP($H261,'[1]SIG Level Structure'!$D:$D,'[1]SIG Level Structure'!F:F)</f>
        <v>P4</v>
      </c>
      <c r="K261" s="37" t="str">
        <f>E261&amp;"-"&amp;J261&amp;"-"&amp;G261</f>
        <v>ALG000-P4-14</v>
      </c>
      <c r="L261" s="37" t="str">
        <f>IFERROR(D261&amp;"-"&amp;LEFT(J261,1),"--")</f>
        <v>ALG-P</v>
      </c>
      <c r="M261" s="37" t="str">
        <f>VLOOKUP(L261,'[1]Compatible JC'!$A:$A,1,FALSE)</f>
        <v>ALG-P</v>
      </c>
      <c r="N261" s="37" t="str">
        <f>IFERROR(_xlfn.XLOOKUP(H261,'[1]SIG Level Structure'!D:D,'[1]SIG Level Structure'!C:C),"--")</f>
        <v>Senior Expert</v>
      </c>
      <c r="O261" s="38" t="str">
        <f>IFERROR(TRIM(N261&amp;" "&amp;C261),"--")</f>
        <v>Senior Expert Legal Affairs</v>
      </c>
      <c r="P261" s="22" t="str">
        <f>_xlfn.XLOOKUP(E261,'[1]SIG Job Families &amp; Descriptions'!A:A,'[1]SIG Job Families &amp; Descriptions'!G:G)</f>
        <v xml:space="preserve">Provides a full range of legal advice and services. Creates efficient monitoring systems and incentives to ensure that executive behavior aligns with the interests of stakeholders. Plans and monitors relationships among stakeholders, Board of Directors, executive officers and independent auditors to ensure compliance with rules and policies of the organization. Identifies and resolves issues and recommends preventive and corrective measures. Ensures the organization complies with legal and regulatory requirements of the countries in which operates. </v>
      </c>
      <c r="Q261" s="39" t="str">
        <f>_xlfn.XLOOKUP(E261,'[1]2022 GI Position Descriptions'!E:E,'[1]2022 GI Position Descriptions'!G:G)</f>
        <v>Provides a full range of legal advice and services | Responsibilities are within the Legal Function as a generalist or in a combination of Disciplines</v>
      </c>
      <c r="R261" s="22" t="str">
        <f>IF(LEFT(J261,1)="E","EX",LEFT(J261,1))</f>
        <v>P</v>
      </c>
      <c r="S261" s="22" t="str">
        <f>_xlfn.XLOOKUP($R261,'[1]Career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61" s="22" t="str">
        <f>J261</f>
        <v>P4</v>
      </c>
      <c r="U261" s="40" t="str">
        <f t="shared" si="9"/>
        <v>P4</v>
      </c>
      <c r="V261" s="22" t="str">
        <f>_xlfn.XLOOKUP(T261,'[1]Career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261" s="41" t="str">
        <f>J261&amp;"-"&amp;G261</f>
        <v>P4-14</v>
      </c>
      <c r="X261" s="42" t="str">
        <f>G261</f>
        <v>14</v>
      </c>
      <c r="Y261" s="22" t="str">
        <f>_xlfn.XLOOKUP(W261,'[1]Career Bands &amp; Levels'!A:A,'[1]Career Bands &amp; Levels'!C:C,"No Grade Differentiator")</f>
        <v xml:space="preserve">●	Guides others in resolving complex issues in own specialized area and solves complex problems with implications on cross-functional business processes and outcomes		
●	Serves as an advisor and applies knowledge of strategies that can be deployed within own function and discipline		
●	Applies working knowledge of the theories and concepts in other disciplines		
●	May lead teams or projects with broad visibility		</v>
      </c>
      <c r="Z261" s="43" t="str">
        <f>IFERROR(O261&amp;" - "&amp;G261,"--")</f>
        <v>Senior Expert Legal Affairs - 14</v>
      </c>
      <c r="AA261" s="44" t="str">
        <f>_xlfn.XLOOKUP($H261,'[1]SIG Qualifications Input'!$D:$D,'[1]SIG Qualifications Input'!$H:$H)</f>
        <v>University degree or equivalent and 8-10 years of work experience or equivalent, 
Experience in functionally leading (sub-)projects / teams</v>
      </c>
    </row>
    <row r="262" spans="1:27" ht="156" customHeight="1" thickBot="1" x14ac:dyDescent="0.2">
      <c r="A262" s="34" t="str">
        <f>_xlfn.XLOOKUP(C262,'[1]SIG Job Families &amp; Descriptions'!F:F,'[1]SIG Job Families &amp; Descriptions'!B:B)</f>
        <v>Legal &amp; Internal Audit</v>
      </c>
      <c r="B262" s="34" t="str">
        <f>_xlfn.XLOOKUP(C262,'[1]SIG Job Families &amp; Descriptions'!F:F,'[1]SIG Job Families &amp; Descriptions'!D:D)</f>
        <v>Legal Affairs</v>
      </c>
      <c r="C262" s="34" t="s">
        <v>84</v>
      </c>
      <c r="D262" s="30" t="str">
        <f t="shared" si="8"/>
        <v>ALG</v>
      </c>
      <c r="E262" s="31" t="str">
        <f>_xlfn.XLOOKUP(C262,'[1]SIG Job Families &amp; Descriptions'!F:F,'[1]SIG Job Families &amp; Descriptions'!A:A)</f>
        <v>ALG000</v>
      </c>
      <c r="F262" s="32" t="s">
        <v>32</v>
      </c>
      <c r="G262" s="33" t="s">
        <v>33</v>
      </c>
      <c r="H262" s="34" t="str">
        <f>F262&amp;"-"&amp;G262</f>
        <v>Professional-13</v>
      </c>
      <c r="I262" s="35" t="str">
        <f>IF(ISERROR(_xlfn.XLOOKUP(H262,'[1]SIG Level Structure'!D:D,'[1]SIG Level Structure'!D:D)),"0","1")</f>
        <v>1</v>
      </c>
      <c r="J262" s="36" t="str">
        <f>_xlfn.XLOOKUP($H262,'[1]SIG Level Structure'!$D:$D,'[1]SIG Level Structure'!F:F)</f>
        <v>P4</v>
      </c>
      <c r="K262" s="37" t="str">
        <f>E262&amp;"-"&amp;J262&amp;"-"&amp;G262</f>
        <v>ALG000-P4-13</v>
      </c>
      <c r="L262" s="37" t="str">
        <f>IFERROR(D262&amp;"-"&amp;LEFT(J262,1),"--")</f>
        <v>ALG-P</v>
      </c>
      <c r="M262" s="37" t="str">
        <f>VLOOKUP(L262,'[1]Compatible JC'!$A:$A,1,FALSE)</f>
        <v>ALG-P</v>
      </c>
      <c r="N262" s="37" t="str">
        <f>IFERROR(_xlfn.XLOOKUP(H262,'[1]SIG Level Structure'!D:D,'[1]SIG Level Structure'!C:C),"--")</f>
        <v>Senior Expert</v>
      </c>
      <c r="O262" s="38" t="str">
        <f>IFERROR(TRIM(N262&amp;" "&amp;C262),"--")</f>
        <v>Senior Expert Legal Affairs</v>
      </c>
      <c r="P262" s="22" t="str">
        <f>_xlfn.XLOOKUP(E262,'[1]SIG Job Families &amp; Descriptions'!A:A,'[1]SIG Job Families &amp; Descriptions'!G:G)</f>
        <v xml:space="preserve">Provides a full range of legal advice and services. Creates efficient monitoring systems and incentives to ensure that executive behavior aligns with the interests of stakeholders. Plans and monitors relationships among stakeholders, Board of Directors, executive officers and independent auditors to ensure compliance with rules and policies of the organization. Identifies and resolves issues and recommends preventive and corrective measures. Ensures the organization complies with legal and regulatory requirements of the countries in which operates. </v>
      </c>
      <c r="Q262" s="39" t="str">
        <f>_xlfn.XLOOKUP(E262,'[1]2022 GI Position Descriptions'!E:E,'[1]2022 GI Position Descriptions'!G:G)</f>
        <v>Provides a full range of legal advice and services | Responsibilities are within the Legal Function as a generalist or in a combination of Disciplines</v>
      </c>
      <c r="R262" s="22" t="str">
        <f>IF(LEFT(J262,1)="E","EX",LEFT(J262,1))</f>
        <v>P</v>
      </c>
      <c r="S262" s="22" t="str">
        <f>_xlfn.XLOOKUP($R262,'[1]Career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62" s="22" t="str">
        <f>J262</f>
        <v>P4</v>
      </c>
      <c r="U262" s="40" t="str">
        <f t="shared" si="9"/>
        <v>P4</v>
      </c>
      <c r="V262" s="22" t="str">
        <f>_xlfn.XLOOKUP(T262,'[1]Career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262" s="41" t="str">
        <f>J262&amp;"-"&amp;G262</f>
        <v>P4-13</v>
      </c>
      <c r="X262" s="42" t="str">
        <f>G262</f>
        <v>13</v>
      </c>
      <c r="Y262" s="22" t="str">
        <f>_xlfn.XLOOKUP(W262,'[1]Career Bands &amp; Levels'!A:A,'[1]Career Bands &amp; Levels'!C:C,"No Grade Differentiator")</f>
        <v xml:space="preserve">●	Guides others in resolving complex issues in specialized area based on existing solutions and procedures		
●	Serves as an expert within own discipline		
●	May lead function teams or projects and serves as a best practices/quality resource		
●	Trains/mentors junior staff		</v>
      </c>
      <c r="Z262" s="43" t="str">
        <f>IFERROR(O262&amp;" - "&amp;G262,"--")</f>
        <v>Senior Expert Legal Affairs - 13</v>
      </c>
      <c r="AA262" s="44" t="str">
        <f>_xlfn.XLOOKUP($H262,'[1]SIG Qualifications Input'!$D:$D,'[1]SIG Qualifications Input'!$H:$H)</f>
        <v>University degree or equivalent and 8-10 years of work experience or equivalent, 
Experience in functionally leading (sub-)projects / teams</v>
      </c>
    </row>
    <row r="263" spans="1:27" ht="169" thickBot="1" x14ac:dyDescent="0.2">
      <c r="A263" s="34" t="str">
        <f>_xlfn.XLOOKUP(C263,'[1]SIG Job Families &amp; Descriptions'!F:F,'[1]SIG Job Families &amp; Descriptions'!B:B)</f>
        <v>Legal &amp; Internal Audit</v>
      </c>
      <c r="B263" s="34" t="str">
        <f>_xlfn.XLOOKUP(C263,'[1]SIG Job Families &amp; Descriptions'!F:F,'[1]SIG Job Families &amp; Descriptions'!D:D)</f>
        <v>Legal Affairs</v>
      </c>
      <c r="C263" s="34" t="s">
        <v>84</v>
      </c>
      <c r="D263" s="30" t="str">
        <f t="shared" si="8"/>
        <v>ALG</v>
      </c>
      <c r="E263" s="31" t="str">
        <f>_xlfn.XLOOKUP(C263,'[1]SIG Job Families &amp; Descriptions'!F:F,'[1]SIG Job Families &amp; Descriptions'!A:A)</f>
        <v>ALG000</v>
      </c>
      <c r="F263" s="32" t="s">
        <v>32</v>
      </c>
      <c r="G263" s="33" t="s">
        <v>34</v>
      </c>
      <c r="H263" s="34" t="str">
        <f>F263&amp;"-"&amp;G263</f>
        <v>Professional-12</v>
      </c>
      <c r="I263" s="35" t="str">
        <f>IF(ISERROR(_xlfn.XLOOKUP(H263,'[1]SIG Level Structure'!D:D,'[1]SIG Level Structure'!D:D)),"0","1")</f>
        <v>1</v>
      </c>
      <c r="J263" s="36" t="str">
        <f>_xlfn.XLOOKUP($H263,'[1]SIG Level Structure'!$D:$D,'[1]SIG Level Structure'!F:F)</f>
        <v>P3</v>
      </c>
      <c r="K263" s="37" t="str">
        <f>E263&amp;"-"&amp;J263&amp;"-"&amp;G263</f>
        <v>ALG000-P3-12</v>
      </c>
      <c r="L263" s="37" t="str">
        <f>IFERROR(D263&amp;"-"&amp;LEFT(J263,1),"--")</f>
        <v>ALG-P</v>
      </c>
      <c r="M263" s="37" t="str">
        <f>VLOOKUP(L263,'[1]Compatible JC'!$A:$A,1,FALSE)</f>
        <v>ALG-P</v>
      </c>
      <c r="N263" s="37" t="str">
        <f>IFERROR(_xlfn.XLOOKUP(H263,'[1]SIG Level Structure'!D:D,'[1]SIG Level Structure'!C:C),"--")</f>
        <v>Expert</v>
      </c>
      <c r="O263" s="38" t="str">
        <f>IFERROR(TRIM(N263&amp;" "&amp;C263),"--")</f>
        <v>Expert Legal Affairs</v>
      </c>
      <c r="P263" s="22" t="str">
        <f>_xlfn.XLOOKUP(E263,'[1]SIG Job Families &amp; Descriptions'!A:A,'[1]SIG Job Families &amp; Descriptions'!G:G)</f>
        <v xml:space="preserve">Provides a full range of legal advice and services. Creates efficient monitoring systems and incentives to ensure that executive behavior aligns with the interests of stakeholders. Plans and monitors relationships among stakeholders, Board of Directors, executive officers and independent auditors to ensure compliance with rules and policies of the organization. Identifies and resolves issues and recommends preventive and corrective measures. Ensures the organization complies with legal and regulatory requirements of the countries in which operates. </v>
      </c>
      <c r="Q263" s="39" t="str">
        <f>_xlfn.XLOOKUP(E263,'[1]2022 GI Position Descriptions'!E:E,'[1]2022 GI Position Descriptions'!G:G)</f>
        <v>Provides a full range of legal advice and services | Responsibilities are within the Legal Function as a generalist or in a combination of Disciplines</v>
      </c>
      <c r="R263" s="22" t="str">
        <f>IF(LEFT(J263,1)="E","EX",LEFT(J263,1))</f>
        <v>P</v>
      </c>
      <c r="S263" s="22" t="str">
        <f>_xlfn.XLOOKUP($R263,'[1]Career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63" s="22" t="str">
        <f>J263</f>
        <v>P3</v>
      </c>
      <c r="U263" s="40" t="str">
        <f t="shared" si="9"/>
        <v>P3</v>
      </c>
      <c r="V263" s="22" t="str">
        <f>_xlfn.XLOOKUP(T263,'[1]Career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263" s="41" t="str">
        <f>J263&amp;"-"&amp;G263</f>
        <v>P3-12</v>
      </c>
      <c r="X263" s="42" t="str">
        <f>G263</f>
        <v>12</v>
      </c>
      <c r="Y263" s="22" t="str">
        <f>_xlfn.XLOOKUP(W263,'[1]Career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263" s="43" t="str">
        <f>IFERROR(O263&amp;" - "&amp;G263,"--")</f>
        <v>Expert Legal Affairs - 12</v>
      </c>
      <c r="AA263" s="44" t="str">
        <f>_xlfn.XLOOKUP($H263,'[1]SIG Qualifications Input'!$D:$D,'[1]SIG Qualifications Input'!$H:$H)</f>
        <v>University degree or equivalent and 4-8 years of work experience or equivalent, 
Initial experience in functionally leading (sub-) projects</v>
      </c>
    </row>
    <row r="264" spans="1:27" ht="169" thickBot="1" x14ac:dyDescent="0.2">
      <c r="A264" s="34" t="str">
        <f>_xlfn.XLOOKUP(C264,'[1]SIG Job Families &amp; Descriptions'!F:F,'[1]SIG Job Families &amp; Descriptions'!B:B)</f>
        <v>Legal &amp; Internal Audit</v>
      </c>
      <c r="B264" s="34" t="str">
        <f>_xlfn.XLOOKUP(C264,'[1]SIG Job Families &amp; Descriptions'!F:F,'[1]SIG Job Families &amp; Descriptions'!D:D)</f>
        <v>Legal Affairs</v>
      </c>
      <c r="C264" s="34" t="s">
        <v>84</v>
      </c>
      <c r="D264" s="30" t="str">
        <f t="shared" si="8"/>
        <v>ALG</v>
      </c>
      <c r="E264" s="31" t="str">
        <f>_xlfn.XLOOKUP(C264,'[1]SIG Job Families &amp; Descriptions'!F:F,'[1]SIG Job Families &amp; Descriptions'!A:A)</f>
        <v>ALG000</v>
      </c>
      <c r="F264" s="32" t="s">
        <v>32</v>
      </c>
      <c r="G264" s="33" t="s">
        <v>35</v>
      </c>
      <c r="H264" s="34" t="str">
        <f>F264&amp;"-"&amp;G264</f>
        <v>Professional-11</v>
      </c>
      <c r="I264" s="35" t="str">
        <f>IF(ISERROR(_xlfn.XLOOKUP(H264,'[1]SIG Level Structure'!D:D,'[1]SIG Level Structure'!D:D)),"0","1")</f>
        <v>1</v>
      </c>
      <c r="J264" s="36" t="str">
        <f>_xlfn.XLOOKUP($H264,'[1]SIG Level Structure'!$D:$D,'[1]SIG Level Structure'!F:F)</f>
        <v>P3</v>
      </c>
      <c r="K264" s="37" t="str">
        <f>E264&amp;"-"&amp;J264&amp;"-"&amp;G264</f>
        <v>ALG000-P3-11</v>
      </c>
      <c r="L264" s="37" t="str">
        <f>IFERROR(D264&amp;"-"&amp;LEFT(J264,1),"--")</f>
        <v>ALG-P</v>
      </c>
      <c r="M264" s="37" t="str">
        <f>VLOOKUP(L264,'[1]Compatible JC'!$A:$A,1,FALSE)</f>
        <v>ALG-P</v>
      </c>
      <c r="N264" s="37" t="str">
        <f>IFERROR(_xlfn.XLOOKUP(H264,'[1]SIG Level Structure'!D:D,'[1]SIG Level Structure'!C:C),"--")</f>
        <v>Expert</v>
      </c>
      <c r="O264" s="38" t="str">
        <f>IFERROR(TRIM(N264&amp;" "&amp;C264),"--")</f>
        <v>Expert Legal Affairs</v>
      </c>
      <c r="P264" s="22" t="str">
        <f>_xlfn.XLOOKUP(E264,'[1]SIG Job Families &amp; Descriptions'!A:A,'[1]SIG Job Families &amp; Descriptions'!G:G)</f>
        <v xml:space="preserve">Provides a full range of legal advice and services. Creates efficient monitoring systems and incentives to ensure that executive behavior aligns with the interests of stakeholders. Plans and monitors relationships among stakeholders, Board of Directors, executive officers and independent auditors to ensure compliance with rules and policies of the organization. Identifies and resolves issues and recommends preventive and corrective measures. Ensures the organization complies with legal and regulatory requirements of the countries in which operates. </v>
      </c>
      <c r="Q264" s="39" t="str">
        <f>_xlfn.XLOOKUP(E264,'[1]2022 GI Position Descriptions'!E:E,'[1]2022 GI Position Descriptions'!G:G)</f>
        <v>Provides a full range of legal advice and services | Responsibilities are within the Legal Function as a generalist or in a combination of Disciplines</v>
      </c>
      <c r="R264" s="22" t="str">
        <f>IF(LEFT(J264,1)="E","EX",LEFT(J264,1))</f>
        <v>P</v>
      </c>
      <c r="S264" s="22" t="str">
        <f>_xlfn.XLOOKUP($R264,'[1]Career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64" s="22" t="str">
        <f>J264</f>
        <v>P3</v>
      </c>
      <c r="U264" s="40" t="str">
        <f t="shared" si="9"/>
        <v>P3</v>
      </c>
      <c r="V264" s="22" t="str">
        <f>_xlfn.XLOOKUP(T264,'[1]Career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264" s="41" t="str">
        <f>J264&amp;"-"&amp;G264</f>
        <v>P3-11</v>
      </c>
      <c r="X264" s="42" t="str">
        <f>G264</f>
        <v>11</v>
      </c>
      <c r="Y264" s="22" t="str">
        <f>_xlfn.XLOOKUP(W264,'[1]Career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264" s="43" t="str">
        <f>IFERROR(O264&amp;" - "&amp;G264,"--")</f>
        <v>Expert Legal Affairs - 11</v>
      </c>
      <c r="AA264" s="44" t="str">
        <f>_xlfn.XLOOKUP($H264,'[1]SIG Qualifications Input'!$D:$D,'[1]SIG Qualifications Input'!$H:$H)</f>
        <v>University degree or equivalent and 4-8 years of work experience or equivalent, 
Initial experience in functionally leading (sub-) projects</v>
      </c>
    </row>
    <row r="265" spans="1:27" ht="169" thickBot="1" x14ac:dyDescent="0.2">
      <c r="A265" s="34" t="str">
        <f>_xlfn.XLOOKUP(C265,'[1]SIG Job Families &amp; Descriptions'!F:F,'[1]SIG Job Families &amp; Descriptions'!B:B)</f>
        <v>Legal &amp; Internal Audit</v>
      </c>
      <c r="B265" s="34" t="str">
        <f>_xlfn.XLOOKUP(C265,'[1]SIG Job Families &amp; Descriptions'!F:F,'[1]SIG Job Families &amp; Descriptions'!D:D)</f>
        <v>Legal Affairs</v>
      </c>
      <c r="C265" s="34" t="s">
        <v>84</v>
      </c>
      <c r="D265" s="30" t="str">
        <f t="shared" si="8"/>
        <v>ALG</v>
      </c>
      <c r="E265" s="31" t="str">
        <f>_xlfn.XLOOKUP(C265,'[1]SIG Job Families &amp; Descriptions'!F:F,'[1]SIG Job Families &amp; Descriptions'!A:A)</f>
        <v>ALG000</v>
      </c>
      <c r="F265" s="32" t="s">
        <v>32</v>
      </c>
      <c r="G265" s="33" t="s">
        <v>36</v>
      </c>
      <c r="H265" s="34" t="str">
        <f>F265&amp;"-"&amp;G265</f>
        <v>Professional-10</v>
      </c>
      <c r="I265" s="35" t="str">
        <f>IF(ISERROR(_xlfn.XLOOKUP(H265,'[1]SIG Level Structure'!D:D,'[1]SIG Level Structure'!D:D)),"0","1")</f>
        <v>1</v>
      </c>
      <c r="J265" s="36" t="str">
        <f>_xlfn.XLOOKUP($H265,'[1]SIG Level Structure'!$D:$D,'[1]SIG Level Structure'!F:F)</f>
        <v>P2</v>
      </c>
      <c r="K265" s="37" t="str">
        <f>E265&amp;"-"&amp;J265&amp;"-"&amp;G265</f>
        <v>ALG000-P2-10</v>
      </c>
      <c r="L265" s="37" t="str">
        <f>IFERROR(D265&amp;"-"&amp;LEFT(J265,1),"--")</f>
        <v>ALG-P</v>
      </c>
      <c r="M265" s="37" t="str">
        <f>VLOOKUP(L265,'[1]Compatible JC'!$A:$A,1,FALSE)</f>
        <v>ALG-P</v>
      </c>
      <c r="N265" s="37" t="str">
        <f>IFERROR(_xlfn.XLOOKUP(H265,'[1]SIG Level Structure'!D:D,'[1]SIG Level Structure'!C:C),"--")</f>
        <v>Senior Specialist</v>
      </c>
      <c r="O265" s="38" t="str">
        <f>IFERROR(TRIM(N265&amp;" "&amp;C265),"--")</f>
        <v>Senior Specialist Legal Affairs</v>
      </c>
      <c r="P265" s="22" t="str">
        <f>_xlfn.XLOOKUP(E265,'[1]SIG Job Families &amp; Descriptions'!A:A,'[1]SIG Job Families &amp; Descriptions'!G:G)</f>
        <v xml:space="preserve">Provides a full range of legal advice and services. Creates efficient monitoring systems and incentives to ensure that executive behavior aligns with the interests of stakeholders. Plans and monitors relationships among stakeholders, Board of Directors, executive officers and independent auditors to ensure compliance with rules and policies of the organization. Identifies and resolves issues and recommends preventive and corrective measures. Ensures the organization complies with legal and regulatory requirements of the countries in which operates. </v>
      </c>
      <c r="Q265" s="39" t="str">
        <f>_xlfn.XLOOKUP(E265,'[1]2022 GI Position Descriptions'!E:E,'[1]2022 GI Position Descriptions'!G:G)</f>
        <v>Provides a full range of legal advice and services | Responsibilities are within the Legal Function as a generalist or in a combination of Disciplines</v>
      </c>
      <c r="R265" s="22" t="str">
        <f>IF(LEFT(J265,1)="E","EX",LEFT(J265,1))</f>
        <v>P</v>
      </c>
      <c r="S265" s="22" t="str">
        <f>_xlfn.XLOOKUP($R265,'[1]Career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65" s="22" t="str">
        <f>J265</f>
        <v>P2</v>
      </c>
      <c r="U265" s="40" t="str">
        <f t="shared" si="9"/>
        <v>P2</v>
      </c>
      <c r="V265" s="22" t="str">
        <f>_xlfn.XLOOKUP(T265,'[1]Career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265" s="41" t="str">
        <f>J265&amp;"-"&amp;G265</f>
        <v>P2-10</v>
      </c>
      <c r="X265" s="42" t="str">
        <f>G265</f>
        <v>10</v>
      </c>
      <c r="Y265" s="22" t="str">
        <f>_xlfn.XLOOKUP(W265,'[1]Career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265" s="43" t="str">
        <f>IFERROR(O265&amp;" - "&amp;G265,"--")</f>
        <v>Senior Specialist Legal Affairs - 10</v>
      </c>
      <c r="AA265" s="44" t="str">
        <f>_xlfn.XLOOKUP($H265,'[1]SIG Qualifications Input'!$D:$D,'[1]SIG Qualifications Input'!$H:$H)</f>
        <v>University degree or equivalent and 2-4 years of work experience or equivalent</v>
      </c>
    </row>
    <row r="266" spans="1:27" ht="169" thickBot="1" x14ac:dyDescent="0.2">
      <c r="A266" s="34" t="str">
        <f>_xlfn.XLOOKUP(C266,'[1]SIG Job Families &amp; Descriptions'!F:F,'[1]SIG Job Families &amp; Descriptions'!B:B)</f>
        <v>Legal &amp; Internal Audit</v>
      </c>
      <c r="B266" s="34" t="str">
        <f>_xlfn.XLOOKUP(C266,'[1]SIG Job Families &amp; Descriptions'!F:F,'[1]SIG Job Families &amp; Descriptions'!D:D)</f>
        <v>Legal Affairs</v>
      </c>
      <c r="C266" s="34" t="s">
        <v>84</v>
      </c>
      <c r="D266" s="30" t="str">
        <f t="shared" si="8"/>
        <v>ALG</v>
      </c>
      <c r="E266" s="31" t="str">
        <f>_xlfn.XLOOKUP(C266,'[1]SIG Job Families &amp; Descriptions'!F:F,'[1]SIG Job Families &amp; Descriptions'!A:A)</f>
        <v>ALG000</v>
      </c>
      <c r="F266" s="32" t="s">
        <v>32</v>
      </c>
      <c r="G266" s="33" t="s">
        <v>37</v>
      </c>
      <c r="H266" s="34" t="str">
        <f>F266&amp;"-"&amp;G266</f>
        <v>Professional-09</v>
      </c>
      <c r="I266" s="35" t="str">
        <f>IF(ISERROR(_xlfn.XLOOKUP(H266,'[1]SIG Level Structure'!D:D,'[1]SIG Level Structure'!D:D)),"0","1")</f>
        <v>1</v>
      </c>
      <c r="J266" s="36" t="str">
        <f>_xlfn.XLOOKUP($H266,'[1]SIG Level Structure'!$D:$D,'[1]SIG Level Structure'!F:F)</f>
        <v>P2</v>
      </c>
      <c r="K266" s="37" t="str">
        <f>E266&amp;"-"&amp;J266&amp;"-"&amp;G266</f>
        <v>ALG000-P2-09</v>
      </c>
      <c r="L266" s="37" t="str">
        <f>IFERROR(D266&amp;"-"&amp;LEFT(J266,1),"--")</f>
        <v>ALG-P</v>
      </c>
      <c r="M266" s="37" t="str">
        <f>VLOOKUP(L266,'[1]Compatible JC'!$A:$A,1,FALSE)</f>
        <v>ALG-P</v>
      </c>
      <c r="N266" s="37" t="str">
        <f>IFERROR(_xlfn.XLOOKUP(H266,'[1]SIG Level Structure'!D:D,'[1]SIG Level Structure'!C:C),"--")</f>
        <v>Senior Specialist</v>
      </c>
      <c r="O266" s="38" t="str">
        <f>IFERROR(TRIM(N266&amp;" "&amp;C266),"--")</f>
        <v>Senior Specialist Legal Affairs</v>
      </c>
      <c r="P266" s="22" t="str">
        <f>_xlfn.XLOOKUP(E266,'[1]SIG Job Families &amp; Descriptions'!A:A,'[1]SIG Job Families &amp; Descriptions'!G:G)</f>
        <v xml:space="preserve">Provides a full range of legal advice and services. Creates efficient monitoring systems and incentives to ensure that executive behavior aligns with the interests of stakeholders. Plans and monitors relationships among stakeholders, Board of Directors, executive officers and independent auditors to ensure compliance with rules and policies of the organization. Identifies and resolves issues and recommends preventive and corrective measures. Ensures the organization complies with legal and regulatory requirements of the countries in which operates. </v>
      </c>
      <c r="Q266" s="39" t="str">
        <f>_xlfn.XLOOKUP(E266,'[1]2022 GI Position Descriptions'!E:E,'[1]2022 GI Position Descriptions'!G:G)</f>
        <v>Provides a full range of legal advice and services | Responsibilities are within the Legal Function as a generalist or in a combination of Disciplines</v>
      </c>
      <c r="R266" s="22" t="str">
        <f>IF(LEFT(J266,1)="E","EX",LEFT(J266,1))</f>
        <v>P</v>
      </c>
      <c r="S266" s="22" t="str">
        <f>_xlfn.XLOOKUP($R266,'[1]Career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66" s="22" t="str">
        <f>J266</f>
        <v>P2</v>
      </c>
      <c r="U266" s="40" t="str">
        <f t="shared" si="9"/>
        <v>P2</v>
      </c>
      <c r="V266" s="22" t="str">
        <f>_xlfn.XLOOKUP(T266,'[1]Career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266" s="41" t="str">
        <f>J266&amp;"-"&amp;G266</f>
        <v>P2-09</v>
      </c>
      <c r="X266" s="42" t="str">
        <f>G266</f>
        <v>09</v>
      </c>
      <c r="Y266" s="22" t="str">
        <f>_xlfn.XLOOKUP(W266,'[1]Career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266" s="43" t="str">
        <f>IFERROR(O266&amp;" - "&amp;G266,"--")</f>
        <v>Senior Specialist Legal Affairs - 09</v>
      </c>
      <c r="AA266" s="44" t="str">
        <f>_xlfn.XLOOKUP($H266,'[1]SIG Qualifications Input'!$D:$D,'[1]SIG Qualifications Input'!$H:$H)</f>
        <v>University degree or equivalent and 2-4 years of work experience or equivalent</v>
      </c>
    </row>
    <row r="267" spans="1:27" ht="211" thickBot="1" x14ac:dyDescent="0.2">
      <c r="A267" s="34" t="str">
        <f>_xlfn.XLOOKUP(C267,'[1]SIG Job Families &amp; Descriptions'!F:F,'[1]SIG Job Families &amp; Descriptions'!B:B)</f>
        <v>Legal &amp; Internal Audit</v>
      </c>
      <c r="B267" s="34" t="str">
        <f>_xlfn.XLOOKUP(C267,'[1]SIG Job Families &amp; Descriptions'!F:F,'[1]SIG Job Families &amp; Descriptions'!D:D)</f>
        <v>Internal Audit</v>
      </c>
      <c r="C267" s="34" t="s">
        <v>85</v>
      </c>
      <c r="D267" s="30" t="str">
        <f t="shared" si="8"/>
        <v>AFU</v>
      </c>
      <c r="E267" s="31" t="str">
        <f>_xlfn.XLOOKUP(C267,'[1]SIG Job Families &amp; Descriptions'!F:F,'[1]SIG Job Families &amp; Descriptions'!A:A)</f>
        <v>AFU010</v>
      </c>
      <c r="F267" s="32" t="s">
        <v>29</v>
      </c>
      <c r="G267" s="33" t="s">
        <v>30</v>
      </c>
      <c r="H267" s="34" t="str">
        <f>F267&amp;"-"&amp;G267</f>
        <v>Management-15</v>
      </c>
      <c r="I267" s="35" t="str">
        <f>IF(ISERROR(_xlfn.XLOOKUP(H267,'[1]SIG Level Structure'!D:D,'[1]SIG Level Structure'!D:D)),"0","1")</f>
        <v>1</v>
      </c>
      <c r="J267" s="36" t="str">
        <f>_xlfn.XLOOKUP($H267,'[1]SIG Level Structure'!$D:$D,'[1]SIG Level Structure'!F:F)</f>
        <v>M3</v>
      </c>
      <c r="K267" s="37" t="str">
        <f>E267&amp;"-"&amp;J267&amp;"-"&amp;G267</f>
        <v>AFU010-M3-15</v>
      </c>
      <c r="L267" s="37" t="str">
        <f>IFERROR(D267&amp;"-"&amp;LEFT(J267,1),"--")</f>
        <v>AFU-M</v>
      </c>
      <c r="M267" s="37" t="str">
        <f>VLOOKUP(L267,'[1]Compatible JC'!$A:$A,1,FALSE)</f>
        <v>AFU-M</v>
      </c>
      <c r="N267" s="37" t="str">
        <f>IFERROR(_xlfn.XLOOKUP(H267,'[1]SIG Level Structure'!D:D,'[1]SIG Level Structure'!C:C),"--")</f>
        <v>Senior Manager</v>
      </c>
      <c r="O267" s="38" t="str">
        <f>IFERROR(TRIM(N267&amp;" "&amp;C267),"--")</f>
        <v>Senior Manager Internal Audit</v>
      </c>
      <c r="P267" s="22" t="str">
        <f>_xlfn.XLOOKUP(E267,'[1]SIG Job Families &amp; Descriptions'!A:A,'[1]SIG Job Families &amp; Descriptions'!G:G)</f>
        <v>Ensures the effectiveness of internal controls in compliance with corporate objectives and government standards. Reviews, evaluates, develops, implements, maintains and verifies internal and business controls for processes, systems, financial statements, journals and reports in accordance with internal auditing and government-mandated standards. Identifies internal control gaps in business procedures, processes or systems and initiates appropriate remedial action. Ensures that documentation for all processes across the organization is reviewed and updated periodically. May coordinate with external auditors to prepare the attestation of management assessment on internal controls.</v>
      </c>
      <c r="Q267" s="39" t="str">
        <f>_xlfn.XLOOKUP(E267,'[1]2022 GI Position Descriptions'!E:E,'[1]2022 GI Position Descriptions'!G:G)</f>
        <v>Develops, plans and evaluates internal audit programs for the organization's accounting and statistical records and the activities of various departments to ensure compliance with the organization's policies, procedures and standards | Determines proper accountability of assets | Audits accounting records of contract agreements in which the organization is involved | Prepares reports for management on the results of audits, providing recommendations on improvements | Interfaces with and assists outside auditors to expedite their work</v>
      </c>
      <c r="R267" s="22" t="str">
        <f>IF(LEFT(J267,1)="E","EX",LEFT(J267,1))</f>
        <v>M</v>
      </c>
      <c r="S267" s="22" t="str">
        <f>_xlfn.XLOOKUP($R267,'[1]Career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267" s="22" t="str">
        <f>J267</f>
        <v>M3</v>
      </c>
      <c r="U267" s="40" t="str">
        <f t="shared" si="9"/>
        <v>M3</v>
      </c>
      <c r="V267" s="22" t="str">
        <f>_xlfn.XLOOKUP(T267,'[1]Career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267" s="41" t="str">
        <f>J267&amp;"-"&amp;G267</f>
        <v>M3-15</v>
      </c>
      <c r="X267" s="42" t="str">
        <f>G267</f>
        <v>15</v>
      </c>
      <c r="Y267" s="22" t="str">
        <f>_xlfn.XLOOKUP(W267,'[1]Career Bands &amp; Levels'!A:A,'[1]Career Bands &amp; Levels'!C:C,"No Grade Differentiator")</f>
        <v xml:space="preserve">●	Looks beyond existing methodologies and own discipline to define and resolve complex problems
●	Develops plans and delivers results in fast-changing businesses and/or regulatory environments
●	Provides input to functional or departmental strategy		
●	Manages large, potentially diverse teams of managers and/or senior professionals		
		</v>
      </c>
      <c r="Z267" s="43" t="str">
        <f>IFERROR(O267&amp;" - "&amp;G267,"--")</f>
        <v>Senior Manager Internal Audit - 15</v>
      </c>
      <c r="AA267" s="44" t="str">
        <f>_xlfn.XLOOKUP($H267,'[1]SIG Qualifications Input'!$D:$D,'[1]SIG Qualifications Input'!$H:$H)</f>
        <v xml:space="preserve">University degree or equivalent and 10+ years of work experience or equivalent
Profound experience in managing performance and results of diverse activities / multiple teams </v>
      </c>
    </row>
    <row r="268" spans="1:27" ht="211" thickBot="1" x14ac:dyDescent="0.2">
      <c r="A268" s="34" t="str">
        <f>_xlfn.XLOOKUP(C268,'[1]SIG Job Families &amp; Descriptions'!F:F,'[1]SIG Job Families &amp; Descriptions'!B:B)</f>
        <v>Legal &amp; Internal Audit</v>
      </c>
      <c r="B268" s="34" t="str">
        <f>_xlfn.XLOOKUP(C268,'[1]SIG Job Families &amp; Descriptions'!F:F,'[1]SIG Job Families &amp; Descriptions'!D:D)</f>
        <v>Internal Audit</v>
      </c>
      <c r="C268" s="34" t="s">
        <v>85</v>
      </c>
      <c r="D268" s="30" t="str">
        <f t="shared" si="8"/>
        <v>AFU</v>
      </c>
      <c r="E268" s="31" t="str">
        <f>_xlfn.XLOOKUP(C268,'[1]SIG Job Families &amp; Descriptions'!F:F,'[1]SIG Job Families &amp; Descriptions'!A:A)</f>
        <v>AFU010</v>
      </c>
      <c r="F268" s="32" t="s">
        <v>29</v>
      </c>
      <c r="G268" s="33" t="s">
        <v>31</v>
      </c>
      <c r="H268" s="34" t="str">
        <f>F268&amp;"-"&amp;G268</f>
        <v>Management-14</v>
      </c>
      <c r="I268" s="35" t="str">
        <f>IF(ISERROR(_xlfn.XLOOKUP(H268,'[1]SIG Level Structure'!D:D,'[1]SIG Level Structure'!D:D)),"0","1")</f>
        <v>1</v>
      </c>
      <c r="J268" s="36" t="str">
        <f>_xlfn.XLOOKUP($H268,'[1]SIG Level Structure'!$D:$D,'[1]SIG Level Structure'!F:F)</f>
        <v>M3</v>
      </c>
      <c r="K268" s="37" t="str">
        <f>E268&amp;"-"&amp;J268&amp;"-"&amp;G268</f>
        <v>AFU010-M3-14</v>
      </c>
      <c r="L268" s="37" t="str">
        <f>IFERROR(D268&amp;"-"&amp;LEFT(J268,1),"--")</f>
        <v>AFU-M</v>
      </c>
      <c r="M268" s="37" t="str">
        <f>VLOOKUP(L268,'[1]Compatible JC'!$A:$A,1,FALSE)</f>
        <v>AFU-M</v>
      </c>
      <c r="N268" s="37" t="str">
        <f>IFERROR(_xlfn.XLOOKUP(H268,'[1]SIG Level Structure'!D:D,'[1]SIG Level Structure'!C:C),"--")</f>
        <v>Senior Manager</v>
      </c>
      <c r="O268" s="38" t="str">
        <f>IFERROR(TRIM(N268&amp;" "&amp;C268),"--")</f>
        <v>Senior Manager Internal Audit</v>
      </c>
      <c r="P268" s="22" t="str">
        <f>_xlfn.XLOOKUP(E268,'[1]SIG Job Families &amp; Descriptions'!A:A,'[1]SIG Job Families &amp; Descriptions'!G:G)</f>
        <v>Ensures the effectiveness of internal controls in compliance with corporate objectives and government standards. Reviews, evaluates, develops, implements, maintains and verifies internal and business controls for processes, systems, financial statements, journals and reports in accordance with internal auditing and government-mandated standards. Identifies internal control gaps in business procedures, processes or systems and initiates appropriate remedial action. Ensures that documentation for all processes across the organization is reviewed and updated periodically. May coordinate with external auditors to prepare the attestation of management assessment on internal controls.</v>
      </c>
      <c r="Q268" s="39" t="str">
        <f>_xlfn.XLOOKUP(E268,'[1]2022 GI Position Descriptions'!E:E,'[1]2022 GI Position Descriptions'!G:G)</f>
        <v>Develops, plans and evaluates internal audit programs for the organization's accounting and statistical records and the activities of various departments to ensure compliance with the organization's policies, procedures and standards | Determines proper accountability of assets | Audits accounting records of contract agreements in which the organization is involved | Prepares reports for management on the results of audits, providing recommendations on improvements | Interfaces with and assists outside auditors to expedite their work</v>
      </c>
      <c r="R268" s="22" t="str">
        <f>IF(LEFT(J268,1)="E","EX",LEFT(J268,1))</f>
        <v>M</v>
      </c>
      <c r="S268" s="22" t="str">
        <f>_xlfn.XLOOKUP($R268,'[1]Career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268" s="22" t="str">
        <f>J268</f>
        <v>M3</v>
      </c>
      <c r="U268" s="40" t="str">
        <f t="shared" si="9"/>
        <v>M3</v>
      </c>
      <c r="V268" s="22" t="str">
        <f>_xlfn.XLOOKUP(T268,'[1]Career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268" s="41" t="str">
        <f>J268&amp;"-"&amp;G268</f>
        <v>M3-14</v>
      </c>
      <c r="X268" s="42" t="str">
        <f>G268</f>
        <v>14</v>
      </c>
      <c r="Y268" s="22" t="str">
        <f>_xlfn.XLOOKUP(W268,'[1]Career Bands &amp; Levels'!A:A,'[1]Career Bands &amp; Levels'!C:C,"No Grade Differentiator")</f>
        <v xml:space="preserve">●	Identifies applications of functional knowledge and existing methodologies to complex problems	
●	Manages large teams of professionals and/or junior managers		
		</v>
      </c>
      <c r="Z268" s="43" t="str">
        <f>IFERROR(O268&amp;" - "&amp;G268,"--")</f>
        <v>Senior Manager Internal Audit - 14</v>
      </c>
      <c r="AA268" s="44" t="str">
        <f>_xlfn.XLOOKUP($H268,'[1]SIG Qualifications Input'!$D:$D,'[1]SIG Qualifications Input'!$H:$H)</f>
        <v xml:space="preserve">University degree or equivalent and 10+ years of work experience or equivalent
Profound experience in managing performance and results of diverse activities / multiple teams </v>
      </c>
    </row>
    <row r="269" spans="1:27" ht="211" thickBot="1" x14ac:dyDescent="0.2">
      <c r="A269" s="34" t="str">
        <f>_xlfn.XLOOKUP(C269,'[1]SIG Job Families &amp; Descriptions'!F:F,'[1]SIG Job Families &amp; Descriptions'!B:B)</f>
        <v>Legal &amp; Internal Audit</v>
      </c>
      <c r="B269" s="34" t="str">
        <f>_xlfn.XLOOKUP(C269,'[1]SIG Job Families &amp; Descriptions'!F:F,'[1]SIG Job Families &amp; Descriptions'!D:D)</f>
        <v>Internal Audit</v>
      </c>
      <c r="C269" s="34" t="s">
        <v>85</v>
      </c>
      <c r="D269" s="30" t="str">
        <f t="shared" si="8"/>
        <v>AFU</v>
      </c>
      <c r="E269" s="31" t="str">
        <f>_xlfn.XLOOKUP(C269,'[1]SIG Job Families &amp; Descriptions'!F:F,'[1]SIG Job Families &amp; Descriptions'!A:A)</f>
        <v>AFU010</v>
      </c>
      <c r="F269" s="32" t="s">
        <v>32</v>
      </c>
      <c r="G269" s="33" t="s">
        <v>34</v>
      </c>
      <c r="H269" s="34" t="str">
        <f>F269&amp;"-"&amp;G269</f>
        <v>Professional-12</v>
      </c>
      <c r="I269" s="35" t="str">
        <f>IF(ISERROR(_xlfn.XLOOKUP(H269,'[1]SIG Level Structure'!D:D,'[1]SIG Level Structure'!D:D)),"0","1")</f>
        <v>1</v>
      </c>
      <c r="J269" s="36" t="str">
        <f>_xlfn.XLOOKUP($H269,'[1]SIG Level Structure'!$D:$D,'[1]SIG Level Structure'!F:F)</f>
        <v>P3</v>
      </c>
      <c r="K269" s="37" t="str">
        <f>E269&amp;"-"&amp;J269&amp;"-"&amp;G269</f>
        <v>AFU010-P3-12</v>
      </c>
      <c r="L269" s="37" t="str">
        <f>IFERROR(D269&amp;"-"&amp;LEFT(J269,1),"--")</f>
        <v>AFU-P</v>
      </c>
      <c r="M269" s="37" t="str">
        <f>VLOOKUP(L269,'[1]Compatible JC'!$A:$A,1,FALSE)</f>
        <v>AFU-P</v>
      </c>
      <c r="N269" s="37" t="str">
        <f>IFERROR(_xlfn.XLOOKUP(H269,'[1]SIG Level Structure'!D:D,'[1]SIG Level Structure'!C:C),"--")</f>
        <v>Expert</v>
      </c>
      <c r="O269" s="38" t="str">
        <f>IFERROR(TRIM(N269&amp;" "&amp;C269),"--")</f>
        <v>Expert Internal Audit</v>
      </c>
      <c r="P269" s="22" t="str">
        <f>_xlfn.XLOOKUP(E269,'[1]SIG Job Families &amp; Descriptions'!A:A,'[1]SIG Job Families &amp; Descriptions'!G:G)</f>
        <v>Ensures the effectiveness of internal controls in compliance with corporate objectives and government standards. Reviews, evaluates, develops, implements, maintains and verifies internal and business controls for processes, systems, financial statements, journals and reports in accordance with internal auditing and government-mandated standards. Identifies internal control gaps in business procedures, processes or systems and initiates appropriate remedial action. Ensures that documentation for all processes across the organization is reviewed and updated periodically. May coordinate with external auditors to prepare the attestation of management assessment on internal controls.</v>
      </c>
      <c r="Q269" s="39" t="str">
        <f>_xlfn.XLOOKUP(E269,'[1]2022 GI Position Descriptions'!E:E,'[1]2022 GI Position Descriptions'!G:G)</f>
        <v>Develops, plans and evaluates internal audit programs for the organization's accounting and statistical records and the activities of various departments to ensure compliance with the organization's policies, procedures and standards | Determines proper accountability of assets | Audits accounting records of contract agreements in which the organization is involved | Prepares reports for management on the results of audits, providing recommendations on improvements | Interfaces with and assists outside auditors to expedite their work</v>
      </c>
      <c r="R269" s="22" t="str">
        <f>IF(LEFT(J269,1)="E","EX",LEFT(J269,1))</f>
        <v>P</v>
      </c>
      <c r="S269" s="22" t="str">
        <f>_xlfn.XLOOKUP($R269,'[1]Career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69" s="22" t="str">
        <f>J269</f>
        <v>P3</v>
      </c>
      <c r="U269" s="40" t="str">
        <f t="shared" si="9"/>
        <v>P3</v>
      </c>
      <c r="V269" s="22" t="str">
        <f>_xlfn.XLOOKUP(T269,'[1]Career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269" s="41" t="str">
        <f>J269&amp;"-"&amp;G269</f>
        <v>P3-12</v>
      </c>
      <c r="X269" s="42" t="str">
        <f>G269</f>
        <v>12</v>
      </c>
      <c r="Y269" s="22" t="str">
        <f>_xlfn.XLOOKUP(W269,'[1]Career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269" s="43" t="str">
        <f>IFERROR(O269&amp;" - "&amp;G269,"--")</f>
        <v>Expert Internal Audit - 12</v>
      </c>
      <c r="AA269" s="44" t="str">
        <f>_xlfn.XLOOKUP($H269,'[1]SIG Qualifications Input'!$D:$D,'[1]SIG Qualifications Input'!$H:$H)</f>
        <v>University degree or equivalent and 4-8 years of work experience or equivalent, 
Initial experience in functionally leading (sub-) projects</v>
      </c>
    </row>
    <row r="270" spans="1:27" ht="211" thickBot="1" x14ac:dyDescent="0.2">
      <c r="A270" s="34" t="str">
        <f>_xlfn.XLOOKUP(C270,'[1]SIG Job Families &amp; Descriptions'!F:F,'[1]SIG Job Families &amp; Descriptions'!B:B)</f>
        <v>Legal &amp; Internal Audit</v>
      </c>
      <c r="B270" s="34" t="str">
        <f>_xlfn.XLOOKUP(C270,'[1]SIG Job Families &amp; Descriptions'!F:F,'[1]SIG Job Families &amp; Descriptions'!D:D)</f>
        <v>Internal Audit</v>
      </c>
      <c r="C270" s="34" t="s">
        <v>85</v>
      </c>
      <c r="D270" s="30" t="str">
        <f t="shared" si="8"/>
        <v>AFU</v>
      </c>
      <c r="E270" s="31" t="str">
        <f>_xlfn.XLOOKUP(C270,'[1]SIG Job Families &amp; Descriptions'!F:F,'[1]SIG Job Families &amp; Descriptions'!A:A)</f>
        <v>AFU010</v>
      </c>
      <c r="F270" s="32" t="s">
        <v>32</v>
      </c>
      <c r="G270" s="33" t="s">
        <v>35</v>
      </c>
      <c r="H270" s="34" t="str">
        <f>F270&amp;"-"&amp;G270</f>
        <v>Professional-11</v>
      </c>
      <c r="I270" s="35" t="str">
        <f>IF(ISERROR(_xlfn.XLOOKUP(H270,'[1]SIG Level Structure'!D:D,'[1]SIG Level Structure'!D:D)),"0","1")</f>
        <v>1</v>
      </c>
      <c r="J270" s="36" t="str">
        <f>_xlfn.XLOOKUP($H270,'[1]SIG Level Structure'!$D:$D,'[1]SIG Level Structure'!F:F)</f>
        <v>P3</v>
      </c>
      <c r="K270" s="37" t="str">
        <f>E270&amp;"-"&amp;J270&amp;"-"&amp;G270</f>
        <v>AFU010-P3-11</v>
      </c>
      <c r="L270" s="37" t="str">
        <f>IFERROR(D270&amp;"-"&amp;LEFT(J270,1),"--")</f>
        <v>AFU-P</v>
      </c>
      <c r="M270" s="37" t="str">
        <f>VLOOKUP(L270,'[1]Compatible JC'!$A:$A,1,FALSE)</f>
        <v>AFU-P</v>
      </c>
      <c r="N270" s="37" t="str">
        <f>IFERROR(_xlfn.XLOOKUP(H270,'[1]SIG Level Structure'!D:D,'[1]SIG Level Structure'!C:C),"--")</f>
        <v>Expert</v>
      </c>
      <c r="O270" s="38" t="str">
        <f>IFERROR(TRIM(N270&amp;" "&amp;C270),"--")</f>
        <v>Expert Internal Audit</v>
      </c>
      <c r="P270" s="22" t="str">
        <f>_xlfn.XLOOKUP(E270,'[1]SIG Job Families &amp; Descriptions'!A:A,'[1]SIG Job Families &amp; Descriptions'!G:G)</f>
        <v>Ensures the effectiveness of internal controls in compliance with corporate objectives and government standards. Reviews, evaluates, develops, implements, maintains and verifies internal and business controls for processes, systems, financial statements, journals and reports in accordance with internal auditing and government-mandated standards. Identifies internal control gaps in business procedures, processes or systems and initiates appropriate remedial action. Ensures that documentation for all processes across the organization is reviewed and updated periodically. May coordinate with external auditors to prepare the attestation of management assessment on internal controls.</v>
      </c>
      <c r="Q270" s="39" t="str">
        <f>_xlfn.XLOOKUP(E270,'[1]2022 GI Position Descriptions'!E:E,'[1]2022 GI Position Descriptions'!G:G)</f>
        <v>Develops, plans and evaluates internal audit programs for the organization's accounting and statistical records and the activities of various departments to ensure compliance with the organization's policies, procedures and standards | Determines proper accountability of assets | Audits accounting records of contract agreements in which the organization is involved | Prepares reports for management on the results of audits, providing recommendations on improvements | Interfaces with and assists outside auditors to expedite their work</v>
      </c>
      <c r="R270" s="22" t="str">
        <f>IF(LEFT(J270,1)="E","EX",LEFT(J270,1))</f>
        <v>P</v>
      </c>
      <c r="S270" s="22" t="str">
        <f>_xlfn.XLOOKUP($R270,'[1]Career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70" s="22" t="str">
        <f>J270</f>
        <v>P3</v>
      </c>
      <c r="U270" s="40" t="str">
        <f t="shared" si="9"/>
        <v>P3</v>
      </c>
      <c r="V270" s="22" t="str">
        <f>_xlfn.XLOOKUP(T270,'[1]Career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270" s="41" t="str">
        <f>J270&amp;"-"&amp;G270</f>
        <v>P3-11</v>
      </c>
      <c r="X270" s="42" t="str">
        <f>G270</f>
        <v>11</v>
      </c>
      <c r="Y270" s="22" t="str">
        <f>_xlfn.XLOOKUP(W270,'[1]Career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270" s="43" t="str">
        <f>IFERROR(O270&amp;" - "&amp;G270,"--")</f>
        <v>Expert Internal Audit - 11</v>
      </c>
      <c r="AA270" s="44" t="str">
        <f>_xlfn.XLOOKUP($H270,'[1]SIG Qualifications Input'!$D:$D,'[1]SIG Qualifications Input'!$H:$H)</f>
        <v>University degree or equivalent and 4-8 years of work experience or equivalent, 
Initial experience in functionally leading (sub-) projects</v>
      </c>
    </row>
    <row r="271" spans="1:27" ht="169" thickBot="1" x14ac:dyDescent="0.2">
      <c r="A271" s="34" t="str">
        <f>_xlfn.XLOOKUP(C271,'[1]SIG Job Families &amp; Descriptions'!F:F,'[1]SIG Job Families &amp; Descriptions'!B:B)</f>
        <v>Legal &amp; Internal Audit</v>
      </c>
      <c r="B271" s="34" t="str">
        <f>_xlfn.XLOOKUP(C271,'[1]SIG Job Families &amp; Descriptions'!F:F,'[1]SIG Job Families &amp; Descriptions'!D:D)</f>
        <v>Compliance</v>
      </c>
      <c r="C271" s="34" t="s">
        <v>86</v>
      </c>
      <c r="D271" s="30" t="str">
        <f t="shared" si="8"/>
        <v>ALG</v>
      </c>
      <c r="E271" s="31" t="str">
        <f>_xlfn.XLOOKUP(C271,'[1]SIG Job Families &amp; Descriptions'!F:F,'[1]SIG Job Families &amp; Descriptions'!A:A)</f>
        <v>ALG065</v>
      </c>
      <c r="F271" s="32" t="s">
        <v>32</v>
      </c>
      <c r="G271" s="33" t="s">
        <v>31</v>
      </c>
      <c r="H271" s="34" t="str">
        <f>F271&amp;"-"&amp;G271</f>
        <v>Professional-14</v>
      </c>
      <c r="I271" s="35" t="str">
        <f>IF(ISERROR(_xlfn.XLOOKUP(H271,'[1]SIG Level Structure'!D:D,'[1]SIG Level Structure'!D:D)),"0","1")</f>
        <v>1</v>
      </c>
      <c r="J271" s="36" t="str">
        <f>_xlfn.XLOOKUP($H271,'[1]SIG Level Structure'!$D:$D,'[1]SIG Level Structure'!F:F)</f>
        <v>P4</v>
      </c>
      <c r="K271" s="37" t="str">
        <f>E271&amp;"-"&amp;J271&amp;"-"&amp;G271</f>
        <v>ALG065-P4-14</v>
      </c>
      <c r="L271" s="37" t="str">
        <f>IFERROR(D271&amp;"-"&amp;LEFT(J271,1),"--")</f>
        <v>ALG-P</v>
      </c>
      <c r="M271" s="37" t="str">
        <f>VLOOKUP(L271,'[1]Compatible JC'!$A:$A,1,FALSE)</f>
        <v>ALG-P</v>
      </c>
      <c r="N271" s="37" t="str">
        <f>IFERROR(_xlfn.XLOOKUP(H271,'[1]SIG Level Structure'!D:D,'[1]SIG Level Structure'!C:C),"--")</f>
        <v>Senior Expert</v>
      </c>
      <c r="O271" s="38" t="str">
        <f>IFERROR(TRIM(N271&amp;" "&amp;C271),"--")</f>
        <v>Senior Expert Compliance</v>
      </c>
      <c r="P271" s="22" t="str">
        <f>_xlfn.XLOOKUP(E271,'[1]SIG Job Families &amp; Descriptions'!A:A,'[1]SIG Job Families &amp; Descriptions'!G:G)</f>
        <v>Defines and documents policies and procedures related to the standards established by the business that comply with applicable external legislation/regulations, but may also reflect a higher standard than the legally required minimum. Activities include employee compliance training and ensuring employee completion of all required courses; auditing compliance with programms &amp; procedures, investigating complaints, and verifying that deficiencies are connected.</v>
      </c>
      <c r="Q271" s="39" t="str">
        <f>_xlfn.XLOOKUP(E271,'[1]2022 GI Position Descriptions'!E:E,'[1]2022 GI Position Descriptions'!G:G)</f>
        <v>Creates efficient monitoring systems and incentives to ensure that executive behavior aligns with the interests of stakeholders | Plans and monitors relationships among stakeholders, Board of Directors, executive officers, independent auditors and the Board Audit Committee to ensure compliance with rules and policies of the organization | Identifies and resolves issues and recommends preventive and corrective measures</v>
      </c>
      <c r="R271" s="22" t="str">
        <f>IF(LEFT(J271,1)="E","EX",LEFT(J271,1))</f>
        <v>P</v>
      </c>
      <c r="S271" s="22" t="str">
        <f>_xlfn.XLOOKUP($R271,'[1]Career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71" s="22" t="str">
        <f>J271</f>
        <v>P4</v>
      </c>
      <c r="U271" s="40" t="str">
        <f t="shared" si="9"/>
        <v>P4</v>
      </c>
      <c r="V271" s="22" t="str">
        <f>_xlfn.XLOOKUP(T271,'[1]Career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271" s="41" t="str">
        <f>J271&amp;"-"&amp;G271</f>
        <v>P4-14</v>
      </c>
      <c r="X271" s="42" t="str">
        <f>G271</f>
        <v>14</v>
      </c>
      <c r="Y271" s="22" t="str">
        <f>_xlfn.XLOOKUP(W271,'[1]Career Bands &amp; Levels'!A:A,'[1]Career Bands &amp; Levels'!C:C,"No Grade Differentiator")</f>
        <v xml:space="preserve">●	Guides others in resolving complex issues in own specialized area and solves complex problems with implications on cross-functional business processes and outcomes		
●	Serves as an advisor and applies knowledge of strategies that can be deployed within own function and discipline		
●	Applies working knowledge of the theories and concepts in other disciplines		
●	May lead teams or projects with broad visibility		</v>
      </c>
      <c r="Z271" s="43" t="str">
        <f>IFERROR(O271&amp;" - "&amp;G271,"--")</f>
        <v>Senior Expert Compliance - 14</v>
      </c>
      <c r="AA271" s="44" t="str">
        <f>_xlfn.XLOOKUP($H271,'[1]SIG Qualifications Input'!$D:$D,'[1]SIG Qualifications Input'!$H:$H)</f>
        <v>University degree or equivalent and 8-10 years of work experience or equivalent, 
Experience in functionally leading (sub-)projects / teams</v>
      </c>
    </row>
    <row r="272" spans="1:27" ht="169" thickBot="1" x14ac:dyDescent="0.2">
      <c r="A272" s="34" t="str">
        <f>_xlfn.XLOOKUP(C272,'[1]SIG Job Families &amp; Descriptions'!F:F,'[1]SIG Job Families &amp; Descriptions'!B:B)</f>
        <v>Legal &amp; Internal Audit</v>
      </c>
      <c r="B272" s="34" t="str">
        <f>_xlfn.XLOOKUP(C272,'[1]SIG Job Families &amp; Descriptions'!F:F,'[1]SIG Job Families &amp; Descriptions'!D:D)</f>
        <v>Compliance</v>
      </c>
      <c r="C272" s="34" t="s">
        <v>86</v>
      </c>
      <c r="D272" s="30" t="str">
        <f t="shared" si="8"/>
        <v>ALG</v>
      </c>
      <c r="E272" s="31" t="str">
        <f>_xlfn.XLOOKUP(C272,'[1]SIG Job Families &amp; Descriptions'!F:F,'[1]SIG Job Families &amp; Descriptions'!A:A)</f>
        <v>ALG065</v>
      </c>
      <c r="F272" s="32" t="s">
        <v>32</v>
      </c>
      <c r="G272" s="33" t="s">
        <v>33</v>
      </c>
      <c r="H272" s="34" t="str">
        <f>F272&amp;"-"&amp;G272</f>
        <v>Professional-13</v>
      </c>
      <c r="I272" s="35" t="str">
        <f>IF(ISERROR(_xlfn.XLOOKUP(H272,'[1]SIG Level Structure'!D:D,'[1]SIG Level Structure'!D:D)),"0","1")</f>
        <v>1</v>
      </c>
      <c r="J272" s="36" t="str">
        <f>_xlfn.XLOOKUP($H272,'[1]SIG Level Structure'!$D:$D,'[1]SIG Level Structure'!F:F)</f>
        <v>P4</v>
      </c>
      <c r="K272" s="37" t="str">
        <f>E272&amp;"-"&amp;J272&amp;"-"&amp;G272</f>
        <v>ALG065-P4-13</v>
      </c>
      <c r="L272" s="37" t="str">
        <f>IFERROR(D272&amp;"-"&amp;LEFT(J272,1),"--")</f>
        <v>ALG-P</v>
      </c>
      <c r="M272" s="37" t="str">
        <f>VLOOKUP(L272,'[1]Compatible JC'!$A:$A,1,FALSE)</f>
        <v>ALG-P</v>
      </c>
      <c r="N272" s="37" t="str">
        <f>IFERROR(_xlfn.XLOOKUP(H272,'[1]SIG Level Structure'!D:D,'[1]SIG Level Structure'!C:C),"--")</f>
        <v>Senior Expert</v>
      </c>
      <c r="O272" s="38" t="str">
        <f>IFERROR(TRIM(N272&amp;" "&amp;C272),"--")</f>
        <v>Senior Expert Compliance</v>
      </c>
      <c r="P272" s="22" t="str">
        <f>_xlfn.XLOOKUP(E272,'[1]SIG Job Families &amp; Descriptions'!A:A,'[1]SIG Job Families &amp; Descriptions'!G:G)</f>
        <v>Defines and documents policies and procedures related to the standards established by the business that comply with applicable external legislation/regulations, but may also reflect a higher standard than the legally required minimum. Activities include employee compliance training and ensuring employee completion of all required courses; auditing compliance with programms &amp; procedures, investigating complaints, and verifying that deficiencies are connected.</v>
      </c>
      <c r="Q272" s="39" t="str">
        <f>_xlfn.XLOOKUP(E272,'[1]2022 GI Position Descriptions'!E:E,'[1]2022 GI Position Descriptions'!G:G)</f>
        <v>Creates efficient monitoring systems and incentives to ensure that executive behavior aligns with the interests of stakeholders | Plans and monitors relationships among stakeholders, Board of Directors, executive officers, independent auditors and the Board Audit Committee to ensure compliance with rules and policies of the organization | Identifies and resolves issues and recommends preventive and corrective measures</v>
      </c>
      <c r="R272" s="22" t="str">
        <f>IF(LEFT(J272,1)="E","EX",LEFT(J272,1))</f>
        <v>P</v>
      </c>
      <c r="S272" s="22" t="str">
        <f>_xlfn.XLOOKUP($R272,'[1]Career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72" s="22" t="str">
        <f>J272</f>
        <v>P4</v>
      </c>
      <c r="U272" s="40" t="str">
        <f t="shared" si="9"/>
        <v>P4</v>
      </c>
      <c r="V272" s="22" t="str">
        <f>_xlfn.XLOOKUP(T272,'[1]Career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272" s="41" t="str">
        <f>J272&amp;"-"&amp;G272</f>
        <v>P4-13</v>
      </c>
      <c r="X272" s="42" t="str">
        <f>G272</f>
        <v>13</v>
      </c>
      <c r="Y272" s="22" t="str">
        <f>_xlfn.XLOOKUP(W272,'[1]Career Bands &amp; Levels'!A:A,'[1]Career Bands &amp; Levels'!C:C,"No Grade Differentiator")</f>
        <v xml:space="preserve">●	Guides others in resolving complex issues in specialized area based on existing solutions and procedures		
●	Serves as an expert within own discipline		
●	May lead function teams or projects and serves as a best practices/quality resource		
●	Trains/mentors junior staff		</v>
      </c>
      <c r="Z272" s="43" t="str">
        <f>IFERROR(O272&amp;" - "&amp;G272,"--")</f>
        <v>Senior Expert Compliance - 13</v>
      </c>
      <c r="AA272" s="44" t="str">
        <f>_xlfn.XLOOKUP($H272,'[1]SIG Qualifications Input'!$D:$D,'[1]SIG Qualifications Input'!$H:$H)</f>
        <v>University degree or equivalent and 8-10 years of work experience or equivalent, 
Experience in functionally leading (sub-)projects / teams</v>
      </c>
    </row>
    <row r="273" spans="1:27" ht="169" thickBot="1" x14ac:dyDescent="0.2">
      <c r="A273" s="34" t="str">
        <f>_xlfn.XLOOKUP(C273,'[1]SIG Job Families &amp; Descriptions'!F:F,'[1]SIG Job Families &amp; Descriptions'!B:B)</f>
        <v>Legal &amp; Internal Audit</v>
      </c>
      <c r="B273" s="34" t="str">
        <f>_xlfn.XLOOKUP(C273,'[1]SIG Job Families &amp; Descriptions'!F:F,'[1]SIG Job Families &amp; Descriptions'!D:D)</f>
        <v>Compliance</v>
      </c>
      <c r="C273" s="34" t="s">
        <v>86</v>
      </c>
      <c r="D273" s="30" t="str">
        <f t="shared" si="8"/>
        <v>ALG</v>
      </c>
      <c r="E273" s="31" t="str">
        <f>_xlfn.XLOOKUP(C273,'[1]SIG Job Families &amp; Descriptions'!F:F,'[1]SIG Job Families &amp; Descriptions'!A:A)</f>
        <v>ALG065</v>
      </c>
      <c r="F273" s="32" t="s">
        <v>32</v>
      </c>
      <c r="G273" s="33" t="s">
        <v>34</v>
      </c>
      <c r="H273" s="34" t="str">
        <f>F273&amp;"-"&amp;G273</f>
        <v>Professional-12</v>
      </c>
      <c r="I273" s="35" t="str">
        <f>IF(ISERROR(_xlfn.XLOOKUP(H273,'[1]SIG Level Structure'!D:D,'[1]SIG Level Structure'!D:D)),"0","1")</f>
        <v>1</v>
      </c>
      <c r="J273" s="36" t="str">
        <f>_xlfn.XLOOKUP($H273,'[1]SIG Level Structure'!$D:$D,'[1]SIG Level Structure'!F:F)</f>
        <v>P3</v>
      </c>
      <c r="K273" s="37" t="str">
        <f>E273&amp;"-"&amp;J273&amp;"-"&amp;G273</f>
        <v>ALG065-P3-12</v>
      </c>
      <c r="L273" s="37" t="str">
        <f>IFERROR(D273&amp;"-"&amp;LEFT(J273,1),"--")</f>
        <v>ALG-P</v>
      </c>
      <c r="M273" s="37" t="str">
        <f>VLOOKUP(L273,'[1]Compatible JC'!$A:$A,1,FALSE)</f>
        <v>ALG-P</v>
      </c>
      <c r="N273" s="37" t="str">
        <f>IFERROR(_xlfn.XLOOKUP(H273,'[1]SIG Level Structure'!D:D,'[1]SIG Level Structure'!C:C),"--")</f>
        <v>Expert</v>
      </c>
      <c r="O273" s="38" t="str">
        <f>IFERROR(TRIM(N273&amp;" "&amp;C273),"--")</f>
        <v>Expert Compliance</v>
      </c>
      <c r="P273" s="22" t="str">
        <f>_xlfn.XLOOKUP(E273,'[1]SIG Job Families &amp; Descriptions'!A:A,'[1]SIG Job Families &amp; Descriptions'!G:G)</f>
        <v>Defines and documents policies and procedures related to the standards established by the business that comply with applicable external legislation/regulations, but may also reflect a higher standard than the legally required minimum. Activities include employee compliance training and ensuring employee completion of all required courses; auditing compliance with programms &amp; procedures, investigating complaints, and verifying that deficiencies are connected.</v>
      </c>
      <c r="Q273" s="39" t="str">
        <f>_xlfn.XLOOKUP(E273,'[1]2022 GI Position Descriptions'!E:E,'[1]2022 GI Position Descriptions'!G:G)</f>
        <v>Creates efficient monitoring systems and incentives to ensure that executive behavior aligns with the interests of stakeholders | Plans and monitors relationships among stakeholders, Board of Directors, executive officers, independent auditors and the Board Audit Committee to ensure compliance with rules and policies of the organization | Identifies and resolves issues and recommends preventive and corrective measures</v>
      </c>
      <c r="R273" s="22" t="str">
        <f>IF(LEFT(J273,1)="E","EX",LEFT(J273,1))</f>
        <v>P</v>
      </c>
      <c r="S273" s="22" t="str">
        <f>_xlfn.XLOOKUP($R273,'[1]Career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73" s="22" t="str">
        <f>J273</f>
        <v>P3</v>
      </c>
      <c r="U273" s="40" t="str">
        <f t="shared" si="9"/>
        <v>P3</v>
      </c>
      <c r="V273" s="22" t="str">
        <f>_xlfn.XLOOKUP(T273,'[1]Career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273" s="41" t="str">
        <f>J273&amp;"-"&amp;G273</f>
        <v>P3-12</v>
      </c>
      <c r="X273" s="42" t="str">
        <f>G273</f>
        <v>12</v>
      </c>
      <c r="Y273" s="22" t="str">
        <f>_xlfn.XLOOKUP(W273,'[1]Career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273" s="43" t="str">
        <f>IFERROR(O273&amp;" - "&amp;G273,"--")</f>
        <v>Expert Compliance - 12</v>
      </c>
      <c r="AA273" s="44" t="str">
        <f>_xlfn.XLOOKUP($H273,'[1]SIG Qualifications Input'!$D:$D,'[1]SIG Qualifications Input'!$H:$H)</f>
        <v>University degree or equivalent and 4-8 years of work experience or equivalent, 
Initial experience in functionally leading (sub-) projects</v>
      </c>
    </row>
    <row r="274" spans="1:27" ht="169" thickBot="1" x14ac:dyDescent="0.2">
      <c r="A274" s="34" t="str">
        <f>_xlfn.XLOOKUP(C274,'[1]SIG Job Families &amp; Descriptions'!F:F,'[1]SIG Job Families &amp; Descriptions'!B:B)</f>
        <v>Legal &amp; Internal Audit</v>
      </c>
      <c r="B274" s="34" t="str">
        <f>_xlfn.XLOOKUP(C274,'[1]SIG Job Families &amp; Descriptions'!F:F,'[1]SIG Job Families &amp; Descriptions'!D:D)</f>
        <v>Compliance</v>
      </c>
      <c r="C274" s="34" t="s">
        <v>86</v>
      </c>
      <c r="D274" s="30" t="str">
        <f t="shared" si="8"/>
        <v>ALG</v>
      </c>
      <c r="E274" s="31" t="str">
        <f>_xlfn.XLOOKUP(C274,'[1]SIG Job Families &amp; Descriptions'!F:F,'[1]SIG Job Families &amp; Descriptions'!A:A)</f>
        <v>ALG065</v>
      </c>
      <c r="F274" s="32" t="s">
        <v>32</v>
      </c>
      <c r="G274" s="33" t="s">
        <v>35</v>
      </c>
      <c r="H274" s="34" t="str">
        <f>F274&amp;"-"&amp;G274</f>
        <v>Professional-11</v>
      </c>
      <c r="I274" s="35" t="str">
        <f>IF(ISERROR(_xlfn.XLOOKUP(H274,'[1]SIG Level Structure'!D:D,'[1]SIG Level Structure'!D:D)),"0","1")</f>
        <v>1</v>
      </c>
      <c r="J274" s="36" t="str">
        <f>_xlfn.XLOOKUP($H274,'[1]SIG Level Structure'!$D:$D,'[1]SIG Level Structure'!F:F)</f>
        <v>P3</v>
      </c>
      <c r="K274" s="37" t="str">
        <f>E274&amp;"-"&amp;J274&amp;"-"&amp;G274</f>
        <v>ALG065-P3-11</v>
      </c>
      <c r="L274" s="37" t="str">
        <f>IFERROR(D274&amp;"-"&amp;LEFT(J274,1),"--")</f>
        <v>ALG-P</v>
      </c>
      <c r="M274" s="37" t="str">
        <f>VLOOKUP(L274,'[1]Compatible JC'!$A:$A,1,FALSE)</f>
        <v>ALG-P</v>
      </c>
      <c r="N274" s="37" t="str">
        <f>IFERROR(_xlfn.XLOOKUP(H274,'[1]SIG Level Structure'!D:D,'[1]SIG Level Structure'!C:C),"--")</f>
        <v>Expert</v>
      </c>
      <c r="O274" s="38" t="str">
        <f>IFERROR(TRIM(N274&amp;" "&amp;C274),"--")</f>
        <v>Expert Compliance</v>
      </c>
      <c r="P274" s="22" t="str">
        <f>_xlfn.XLOOKUP(E274,'[1]SIG Job Families &amp; Descriptions'!A:A,'[1]SIG Job Families &amp; Descriptions'!G:G)</f>
        <v>Defines and documents policies and procedures related to the standards established by the business that comply with applicable external legislation/regulations, but may also reflect a higher standard than the legally required minimum. Activities include employee compliance training and ensuring employee completion of all required courses; auditing compliance with programms &amp; procedures, investigating complaints, and verifying that deficiencies are connected.</v>
      </c>
      <c r="Q274" s="39" t="str">
        <f>_xlfn.XLOOKUP(E274,'[1]2022 GI Position Descriptions'!E:E,'[1]2022 GI Position Descriptions'!G:G)</f>
        <v>Creates efficient monitoring systems and incentives to ensure that executive behavior aligns with the interests of stakeholders | Plans and monitors relationships among stakeholders, Board of Directors, executive officers, independent auditors and the Board Audit Committee to ensure compliance with rules and policies of the organization | Identifies and resolves issues and recommends preventive and corrective measures</v>
      </c>
      <c r="R274" s="22" t="str">
        <f>IF(LEFT(J274,1)="E","EX",LEFT(J274,1))</f>
        <v>P</v>
      </c>
      <c r="S274" s="22" t="str">
        <f>_xlfn.XLOOKUP($R274,'[1]Career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74" s="22" t="str">
        <f>J274</f>
        <v>P3</v>
      </c>
      <c r="U274" s="40" t="str">
        <f t="shared" si="9"/>
        <v>P3</v>
      </c>
      <c r="V274" s="22" t="str">
        <f>_xlfn.XLOOKUP(T274,'[1]Career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274" s="41" t="str">
        <f>J274&amp;"-"&amp;G274</f>
        <v>P3-11</v>
      </c>
      <c r="X274" s="42" t="str">
        <f>G274</f>
        <v>11</v>
      </c>
      <c r="Y274" s="22" t="str">
        <f>_xlfn.XLOOKUP(W274,'[1]Career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274" s="43" t="str">
        <f>IFERROR(O274&amp;" - "&amp;G274,"--")</f>
        <v>Expert Compliance - 11</v>
      </c>
      <c r="AA274" s="44" t="str">
        <f>_xlfn.XLOOKUP($H274,'[1]SIG Qualifications Input'!$D:$D,'[1]SIG Qualifications Input'!$H:$H)</f>
        <v>University degree or equivalent and 4-8 years of work experience or equivalent, 
Initial experience in functionally leading (sub-) projects</v>
      </c>
    </row>
    <row r="275" spans="1:27" ht="169" thickBot="1" x14ac:dyDescent="0.2">
      <c r="A275" s="34" t="str">
        <f>_xlfn.XLOOKUP(C275,'[1]SIG Job Families &amp; Descriptions'!F:F,'[1]SIG Job Families &amp; Descriptions'!B:B)</f>
        <v>Legal &amp; Internal Audit</v>
      </c>
      <c r="B275" s="34" t="str">
        <f>_xlfn.XLOOKUP(C275,'[1]SIG Job Families &amp; Descriptions'!F:F,'[1]SIG Job Families &amp; Descriptions'!D:D)</f>
        <v>Compliance</v>
      </c>
      <c r="C275" s="34" t="s">
        <v>86</v>
      </c>
      <c r="D275" s="30" t="str">
        <f t="shared" si="8"/>
        <v>ALG</v>
      </c>
      <c r="E275" s="31" t="str">
        <f>_xlfn.XLOOKUP(C275,'[1]SIG Job Families &amp; Descriptions'!F:F,'[1]SIG Job Families &amp; Descriptions'!A:A)</f>
        <v>ALG065</v>
      </c>
      <c r="F275" s="32" t="s">
        <v>32</v>
      </c>
      <c r="G275" s="33" t="s">
        <v>36</v>
      </c>
      <c r="H275" s="34" t="str">
        <f>F275&amp;"-"&amp;G275</f>
        <v>Professional-10</v>
      </c>
      <c r="I275" s="35" t="str">
        <f>IF(ISERROR(_xlfn.XLOOKUP(H275,'[1]SIG Level Structure'!D:D,'[1]SIG Level Structure'!D:D)),"0","1")</f>
        <v>1</v>
      </c>
      <c r="J275" s="36" t="str">
        <f>_xlfn.XLOOKUP($H275,'[1]SIG Level Structure'!$D:$D,'[1]SIG Level Structure'!F:F)</f>
        <v>P2</v>
      </c>
      <c r="K275" s="37" t="str">
        <f>E275&amp;"-"&amp;J275&amp;"-"&amp;G275</f>
        <v>ALG065-P2-10</v>
      </c>
      <c r="L275" s="37" t="str">
        <f>IFERROR(D275&amp;"-"&amp;LEFT(J275,1),"--")</f>
        <v>ALG-P</v>
      </c>
      <c r="M275" s="37" t="str">
        <f>VLOOKUP(L275,'[1]Compatible JC'!$A:$A,1,FALSE)</f>
        <v>ALG-P</v>
      </c>
      <c r="N275" s="37" t="str">
        <f>IFERROR(_xlfn.XLOOKUP(H275,'[1]SIG Level Structure'!D:D,'[1]SIG Level Structure'!C:C),"--")</f>
        <v>Senior Specialist</v>
      </c>
      <c r="O275" s="38" t="str">
        <f>IFERROR(TRIM(N275&amp;" "&amp;C275),"--")</f>
        <v>Senior Specialist Compliance</v>
      </c>
      <c r="P275" s="22" t="str">
        <f>_xlfn.XLOOKUP(E275,'[1]SIG Job Families &amp; Descriptions'!A:A,'[1]SIG Job Families &amp; Descriptions'!G:G)</f>
        <v>Defines and documents policies and procedures related to the standards established by the business that comply with applicable external legislation/regulations, but may also reflect a higher standard than the legally required minimum. Activities include employee compliance training and ensuring employee completion of all required courses; auditing compliance with programms &amp; procedures, investigating complaints, and verifying that deficiencies are connected.</v>
      </c>
      <c r="Q275" s="39" t="str">
        <f>_xlfn.XLOOKUP(E275,'[1]2022 GI Position Descriptions'!E:E,'[1]2022 GI Position Descriptions'!G:G)</f>
        <v>Creates efficient monitoring systems and incentives to ensure that executive behavior aligns with the interests of stakeholders | Plans and monitors relationships among stakeholders, Board of Directors, executive officers, independent auditors and the Board Audit Committee to ensure compliance with rules and policies of the organization | Identifies and resolves issues and recommends preventive and corrective measures</v>
      </c>
      <c r="R275" s="22" t="str">
        <f>IF(LEFT(J275,1)="E","EX",LEFT(J275,1))</f>
        <v>P</v>
      </c>
      <c r="S275" s="22" t="str">
        <f>_xlfn.XLOOKUP($R275,'[1]Career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75" s="22" t="str">
        <f>J275</f>
        <v>P2</v>
      </c>
      <c r="U275" s="40" t="str">
        <f t="shared" si="9"/>
        <v>P2</v>
      </c>
      <c r="V275" s="22" t="str">
        <f>_xlfn.XLOOKUP(T275,'[1]Career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275" s="41" t="str">
        <f>J275&amp;"-"&amp;G275</f>
        <v>P2-10</v>
      </c>
      <c r="X275" s="42" t="str">
        <f>G275</f>
        <v>10</v>
      </c>
      <c r="Y275" s="22" t="str">
        <f>_xlfn.XLOOKUP(W275,'[1]Career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275" s="43" t="str">
        <f>IFERROR(O275&amp;" - "&amp;G275,"--")</f>
        <v>Senior Specialist Compliance - 10</v>
      </c>
      <c r="AA275" s="44" t="str">
        <f>_xlfn.XLOOKUP($H275,'[1]SIG Qualifications Input'!$D:$D,'[1]SIG Qualifications Input'!$H:$H)</f>
        <v>University degree or equivalent and 2-4 years of work experience or equivalent</v>
      </c>
    </row>
    <row r="276" spans="1:27" ht="169" thickBot="1" x14ac:dyDescent="0.2">
      <c r="A276" s="34" t="str">
        <f>_xlfn.XLOOKUP(C276,'[1]SIG Job Families &amp; Descriptions'!F:F,'[1]SIG Job Families &amp; Descriptions'!B:B)</f>
        <v>Legal &amp; Internal Audit</v>
      </c>
      <c r="B276" s="34" t="str">
        <f>_xlfn.XLOOKUP(C276,'[1]SIG Job Families &amp; Descriptions'!F:F,'[1]SIG Job Families &amp; Descriptions'!D:D)</f>
        <v>Compliance</v>
      </c>
      <c r="C276" s="34" t="s">
        <v>86</v>
      </c>
      <c r="D276" s="30" t="str">
        <f t="shared" si="8"/>
        <v>ALG</v>
      </c>
      <c r="E276" s="31" t="str">
        <f>_xlfn.XLOOKUP(C276,'[1]SIG Job Families &amp; Descriptions'!F:F,'[1]SIG Job Families &amp; Descriptions'!A:A)</f>
        <v>ALG065</v>
      </c>
      <c r="F276" s="32" t="s">
        <v>32</v>
      </c>
      <c r="G276" s="33" t="s">
        <v>37</v>
      </c>
      <c r="H276" s="34" t="str">
        <f>F276&amp;"-"&amp;G276</f>
        <v>Professional-09</v>
      </c>
      <c r="I276" s="35" t="str">
        <f>IF(ISERROR(_xlfn.XLOOKUP(H276,'[1]SIG Level Structure'!D:D,'[1]SIG Level Structure'!D:D)),"0","1")</f>
        <v>1</v>
      </c>
      <c r="J276" s="36" t="str">
        <f>_xlfn.XLOOKUP($H276,'[1]SIG Level Structure'!$D:$D,'[1]SIG Level Structure'!F:F)</f>
        <v>P2</v>
      </c>
      <c r="K276" s="37" t="str">
        <f>E276&amp;"-"&amp;J276&amp;"-"&amp;G276</f>
        <v>ALG065-P2-09</v>
      </c>
      <c r="L276" s="37" t="str">
        <f>IFERROR(D276&amp;"-"&amp;LEFT(J276,1),"--")</f>
        <v>ALG-P</v>
      </c>
      <c r="M276" s="37" t="str">
        <f>VLOOKUP(L276,'[1]Compatible JC'!$A:$A,1,FALSE)</f>
        <v>ALG-P</v>
      </c>
      <c r="N276" s="37" t="str">
        <f>IFERROR(_xlfn.XLOOKUP(H276,'[1]SIG Level Structure'!D:D,'[1]SIG Level Structure'!C:C),"--")</f>
        <v>Senior Specialist</v>
      </c>
      <c r="O276" s="38" t="str">
        <f>IFERROR(TRIM(N276&amp;" "&amp;C276),"--")</f>
        <v>Senior Specialist Compliance</v>
      </c>
      <c r="P276" s="22" t="str">
        <f>_xlfn.XLOOKUP(E276,'[1]SIG Job Families &amp; Descriptions'!A:A,'[1]SIG Job Families &amp; Descriptions'!G:G)</f>
        <v>Defines and documents policies and procedures related to the standards established by the business that comply with applicable external legislation/regulations, but may also reflect a higher standard than the legally required minimum. Activities include employee compliance training and ensuring employee completion of all required courses; auditing compliance with programms &amp; procedures, investigating complaints, and verifying that deficiencies are connected.</v>
      </c>
      <c r="Q276" s="39" t="str">
        <f>_xlfn.XLOOKUP(E276,'[1]2022 GI Position Descriptions'!E:E,'[1]2022 GI Position Descriptions'!G:G)</f>
        <v>Creates efficient monitoring systems and incentives to ensure that executive behavior aligns with the interests of stakeholders | Plans and monitors relationships among stakeholders, Board of Directors, executive officers, independent auditors and the Board Audit Committee to ensure compliance with rules and policies of the organization | Identifies and resolves issues and recommends preventive and corrective measures</v>
      </c>
      <c r="R276" s="22" t="str">
        <f>IF(LEFT(J276,1)="E","EX",LEFT(J276,1))</f>
        <v>P</v>
      </c>
      <c r="S276" s="22" t="str">
        <f>_xlfn.XLOOKUP($R276,'[1]Career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76" s="22" t="str">
        <f>J276</f>
        <v>P2</v>
      </c>
      <c r="U276" s="40" t="str">
        <f t="shared" si="9"/>
        <v>P2</v>
      </c>
      <c r="V276" s="22" t="str">
        <f>_xlfn.XLOOKUP(T276,'[1]Career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276" s="41" t="str">
        <f>J276&amp;"-"&amp;G276</f>
        <v>P2-09</v>
      </c>
      <c r="X276" s="42" t="str">
        <f>G276</f>
        <v>09</v>
      </c>
      <c r="Y276" s="22" t="str">
        <f>_xlfn.XLOOKUP(W276,'[1]Career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276" s="43" t="str">
        <f>IFERROR(O276&amp;" - "&amp;G276,"--")</f>
        <v>Senior Specialist Compliance - 09</v>
      </c>
      <c r="AA276" s="44" t="str">
        <f>_xlfn.XLOOKUP($H276,'[1]SIG Qualifications Input'!$D:$D,'[1]SIG Qualifications Input'!$H:$H)</f>
        <v>University degree or equivalent and 2-4 years of work experience or equivalent</v>
      </c>
    </row>
    <row r="277" spans="1:27" ht="169" thickBot="1" x14ac:dyDescent="0.2">
      <c r="A277" s="34" t="str">
        <f>_xlfn.XLOOKUP(C277,'[1]SIG Job Families &amp; Descriptions'!F:F,'[1]SIG Job Families &amp; Descriptions'!B:B)</f>
        <v>Legal &amp; Internal Audit</v>
      </c>
      <c r="B277" s="34" t="str">
        <f>_xlfn.XLOOKUP(C277,'[1]SIG Job Families &amp; Descriptions'!F:F,'[1]SIG Job Families &amp; Descriptions'!D:D)</f>
        <v xml:space="preserve">Intellectual Property </v>
      </c>
      <c r="C277" s="34" t="s">
        <v>87</v>
      </c>
      <c r="D277" s="30" t="str">
        <f t="shared" si="8"/>
        <v>ALG</v>
      </c>
      <c r="E277" s="31" t="str">
        <f>_xlfn.XLOOKUP(C277,'[1]SIG Job Families &amp; Descriptions'!F:F,'[1]SIG Job Families &amp; Descriptions'!A:A)</f>
        <v>ALG030</v>
      </c>
      <c r="F277" s="32" t="s">
        <v>32</v>
      </c>
      <c r="G277" s="33" t="s">
        <v>34</v>
      </c>
      <c r="H277" s="34" t="str">
        <f>F277&amp;"-"&amp;G277</f>
        <v>Professional-12</v>
      </c>
      <c r="I277" s="35" t="str">
        <f>IF(ISERROR(_xlfn.XLOOKUP(H277,'[1]SIG Level Structure'!D:D,'[1]SIG Level Structure'!D:D)),"0","1")</f>
        <v>1</v>
      </c>
      <c r="J277" s="36" t="str">
        <f>_xlfn.XLOOKUP($H277,'[1]SIG Level Structure'!$D:$D,'[1]SIG Level Structure'!F:F)</f>
        <v>P3</v>
      </c>
      <c r="K277" s="37" t="str">
        <f>E277&amp;"-"&amp;J277&amp;"-"&amp;G277</f>
        <v>ALG030-P3-12</v>
      </c>
      <c r="L277" s="37" t="str">
        <f>IFERROR(D277&amp;"-"&amp;LEFT(J277,1),"--")</f>
        <v>ALG-P</v>
      </c>
      <c r="M277" s="37" t="str">
        <f>VLOOKUP(L277,'[1]Compatible JC'!$A:$A,1,FALSE)</f>
        <v>ALG-P</v>
      </c>
      <c r="N277" s="37" t="str">
        <f>IFERROR(_xlfn.XLOOKUP(H277,'[1]SIG Level Structure'!D:D,'[1]SIG Level Structure'!C:C),"--")</f>
        <v>Expert</v>
      </c>
      <c r="O277" s="38" t="str">
        <f>IFERROR(TRIM(N277&amp;" "&amp;C277),"--")</f>
        <v>Expert Intellectual Property</v>
      </c>
      <c r="P277" s="22" t="str">
        <f>_xlfn.XLOOKUP(E277,'[1]SIG Job Families &amp; Descriptions'!A:A,'[1]SIG Job Families &amp; Descriptions'!G:G)</f>
        <v>Advises and represents the organization on legal issues concerning patent, copyright or trademark matters. Provides legal advice on the patentability of inventions, infringement of patents or copyrights, and the validity of trademarks. Prepares applications for patents, copyrights and trademarks.</v>
      </c>
      <c r="Q277" s="39" t="str">
        <f>_xlfn.XLOOKUP(E277,'[1]2022 GI Position Descriptions'!E:E,'[1]2022 GI Position Descriptions'!G:G)</f>
        <v>Advises and represents the organization on legal issues concerning patent, copyright or trademark matters | Provides legal advice on the patentability of inventions, infringement of patents or copyrights, and the validity of trademarks | Prepares applications for patents, copyrights and trademarks</v>
      </c>
      <c r="R277" s="22" t="str">
        <f>IF(LEFT(J277,1)="E","EX",LEFT(J277,1))</f>
        <v>P</v>
      </c>
      <c r="S277" s="22" t="str">
        <f>_xlfn.XLOOKUP($R277,'[1]Career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77" s="22" t="str">
        <f>J277</f>
        <v>P3</v>
      </c>
      <c r="U277" s="40" t="str">
        <f t="shared" si="9"/>
        <v>P3</v>
      </c>
      <c r="V277" s="22" t="str">
        <f>_xlfn.XLOOKUP(T277,'[1]Career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277" s="41" t="str">
        <f>J277&amp;"-"&amp;G277</f>
        <v>P3-12</v>
      </c>
      <c r="X277" s="42" t="str">
        <f>G277</f>
        <v>12</v>
      </c>
      <c r="Y277" s="22" t="str">
        <f>_xlfn.XLOOKUP(W277,'[1]Career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277" s="43" t="str">
        <f>IFERROR(O277&amp;" - "&amp;G277,"--")</f>
        <v>Expert Intellectual Property - 12</v>
      </c>
      <c r="AA277" s="44" t="str">
        <f>_xlfn.XLOOKUP($H277,'[1]SIG Qualifications Input'!$D:$D,'[1]SIG Qualifications Input'!$H:$H)</f>
        <v>University degree or equivalent and 4-8 years of work experience or equivalent, 
Initial experience in functionally leading (sub-) projects</v>
      </c>
    </row>
    <row r="278" spans="1:27" ht="169" thickBot="1" x14ac:dyDescent="0.2">
      <c r="A278" s="34" t="str">
        <f>_xlfn.XLOOKUP(C278,'[1]SIG Job Families &amp; Descriptions'!F:F,'[1]SIG Job Families &amp; Descriptions'!B:B)</f>
        <v>Legal &amp; Internal Audit</v>
      </c>
      <c r="B278" s="34" t="str">
        <f>_xlfn.XLOOKUP(C278,'[1]SIG Job Families &amp; Descriptions'!F:F,'[1]SIG Job Families &amp; Descriptions'!D:D)</f>
        <v xml:space="preserve">Intellectual Property </v>
      </c>
      <c r="C278" s="34" t="s">
        <v>87</v>
      </c>
      <c r="D278" s="30" t="str">
        <f t="shared" si="8"/>
        <v>ALG</v>
      </c>
      <c r="E278" s="31" t="str">
        <f>_xlfn.XLOOKUP(C278,'[1]SIG Job Families &amp; Descriptions'!F:F,'[1]SIG Job Families &amp; Descriptions'!A:A)</f>
        <v>ALG030</v>
      </c>
      <c r="F278" s="32" t="s">
        <v>32</v>
      </c>
      <c r="G278" s="33" t="s">
        <v>35</v>
      </c>
      <c r="H278" s="34" t="str">
        <f>F278&amp;"-"&amp;G278</f>
        <v>Professional-11</v>
      </c>
      <c r="I278" s="35" t="str">
        <f>IF(ISERROR(_xlfn.XLOOKUP(H278,'[1]SIG Level Structure'!D:D,'[1]SIG Level Structure'!D:D)),"0","1")</f>
        <v>1</v>
      </c>
      <c r="J278" s="36" t="str">
        <f>_xlfn.XLOOKUP($H278,'[1]SIG Level Structure'!$D:$D,'[1]SIG Level Structure'!F:F)</f>
        <v>P3</v>
      </c>
      <c r="K278" s="37" t="str">
        <f>E278&amp;"-"&amp;J278&amp;"-"&amp;G278</f>
        <v>ALG030-P3-11</v>
      </c>
      <c r="L278" s="37" t="str">
        <f>IFERROR(D278&amp;"-"&amp;LEFT(J278,1),"--")</f>
        <v>ALG-P</v>
      </c>
      <c r="M278" s="37" t="str">
        <f>VLOOKUP(L278,'[1]Compatible JC'!$A:$A,1,FALSE)</f>
        <v>ALG-P</v>
      </c>
      <c r="N278" s="37" t="str">
        <f>IFERROR(_xlfn.XLOOKUP(H278,'[1]SIG Level Structure'!D:D,'[1]SIG Level Structure'!C:C),"--")</f>
        <v>Expert</v>
      </c>
      <c r="O278" s="38" t="str">
        <f>IFERROR(TRIM(N278&amp;" "&amp;C278),"--")</f>
        <v>Expert Intellectual Property</v>
      </c>
      <c r="P278" s="22" t="str">
        <f>_xlfn.XLOOKUP(E278,'[1]SIG Job Families &amp; Descriptions'!A:A,'[1]SIG Job Families &amp; Descriptions'!G:G)</f>
        <v>Advises and represents the organization on legal issues concerning patent, copyright or trademark matters. Provides legal advice on the patentability of inventions, infringement of patents or copyrights, and the validity of trademarks. Prepares applications for patents, copyrights and trademarks.</v>
      </c>
      <c r="Q278" s="39" t="str">
        <f>_xlfn.XLOOKUP(E278,'[1]2022 GI Position Descriptions'!E:E,'[1]2022 GI Position Descriptions'!G:G)</f>
        <v>Advises and represents the organization on legal issues concerning patent, copyright or trademark matters | Provides legal advice on the patentability of inventions, infringement of patents or copyrights, and the validity of trademarks | Prepares applications for patents, copyrights and trademarks</v>
      </c>
      <c r="R278" s="22" t="str">
        <f>IF(LEFT(J278,1)="E","EX",LEFT(J278,1))</f>
        <v>P</v>
      </c>
      <c r="S278" s="22" t="str">
        <f>_xlfn.XLOOKUP($R278,'[1]Career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78" s="22" t="str">
        <f>J278</f>
        <v>P3</v>
      </c>
      <c r="U278" s="40" t="str">
        <f t="shared" si="9"/>
        <v>P3</v>
      </c>
      <c r="V278" s="22" t="str">
        <f>_xlfn.XLOOKUP(T278,'[1]Career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278" s="41" t="str">
        <f>J278&amp;"-"&amp;G278</f>
        <v>P3-11</v>
      </c>
      <c r="X278" s="42" t="str">
        <f>G278</f>
        <v>11</v>
      </c>
      <c r="Y278" s="22" t="str">
        <f>_xlfn.XLOOKUP(W278,'[1]Career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278" s="43" t="str">
        <f>IFERROR(O278&amp;" - "&amp;G278,"--")</f>
        <v>Expert Intellectual Property - 11</v>
      </c>
      <c r="AA278" s="44" t="str">
        <f>_xlfn.XLOOKUP($H278,'[1]SIG Qualifications Input'!$D:$D,'[1]SIG Qualifications Input'!$H:$H)</f>
        <v>University degree or equivalent and 4-8 years of work experience or equivalent, 
Initial experience in functionally leading (sub-) projects</v>
      </c>
    </row>
    <row r="279" spans="1:27" ht="169" thickBot="1" x14ac:dyDescent="0.2">
      <c r="A279" s="34" t="str">
        <f>_xlfn.XLOOKUP(C279,'[1]SIG Job Families &amp; Descriptions'!F:F,'[1]SIG Job Families &amp; Descriptions'!B:B)</f>
        <v>Legal &amp; Internal Audit</v>
      </c>
      <c r="B279" s="34" t="str">
        <f>_xlfn.XLOOKUP(C279,'[1]SIG Job Families &amp; Descriptions'!F:F,'[1]SIG Job Families &amp; Descriptions'!D:D)</f>
        <v>Legal Affairs</v>
      </c>
      <c r="C279" s="34" t="s">
        <v>84</v>
      </c>
      <c r="D279" s="30" t="str">
        <f t="shared" si="8"/>
        <v>ALG</v>
      </c>
      <c r="E279" s="31" t="str">
        <f>_xlfn.XLOOKUP(C279,'[1]SIG Job Families &amp; Descriptions'!F:F,'[1]SIG Job Families &amp; Descriptions'!A:A)</f>
        <v>ALG000</v>
      </c>
      <c r="F279" s="32" t="s">
        <v>32</v>
      </c>
      <c r="G279" s="33" t="s">
        <v>54</v>
      </c>
      <c r="H279" s="34" t="str">
        <f>F279&amp;"-"&amp;G279</f>
        <v>Professional-05</v>
      </c>
      <c r="I279" s="35" t="str">
        <f>IF(ISERROR(_xlfn.XLOOKUP(H279,'[1]SIG Level Structure'!D:D,'[1]SIG Level Structure'!D:D)),"0","1")</f>
        <v>1</v>
      </c>
      <c r="J279" s="36" t="str">
        <f>_xlfn.XLOOKUP($H279,'[1]SIG Level Structure'!$D:$D,'[1]SIG Level Structure'!F:F)</f>
        <v>U2</v>
      </c>
      <c r="K279" s="37" t="str">
        <f>E279&amp;"-"&amp;J279&amp;"-"&amp;G279</f>
        <v>ALG000-U2-05</v>
      </c>
      <c r="L279" s="37" t="str">
        <f>IFERROR(D279&amp;"-"&amp;LEFT(J279,1),"--")</f>
        <v>ALG-U</v>
      </c>
      <c r="M279" s="37" t="e">
        <f>VLOOKUP(L279,'[1]Compatible JC'!$A:$A,1,FALSE)</f>
        <v>#N/A</v>
      </c>
      <c r="N279" s="37" t="str">
        <f>IFERROR(_xlfn.XLOOKUP(H279,'[1]SIG Level Structure'!D:D,'[1]SIG Level Structure'!C:C),"--")</f>
        <v>Assistant / Analyst</v>
      </c>
      <c r="O279" s="38" t="str">
        <f>IFERROR(TRIM(N279&amp;" "&amp;C279),"--")</f>
        <v>Assistant / Analyst Legal Affairs</v>
      </c>
      <c r="P279" s="22" t="str">
        <f>_xlfn.XLOOKUP(E279,'[1]SIG Job Families &amp; Descriptions'!A:A,'[1]SIG Job Families &amp; Descriptions'!G:G)</f>
        <v xml:space="preserve">Provides a full range of legal advice and services. Creates efficient monitoring systems and incentives to ensure that executive behavior aligns with the interests of stakeholders. Plans and monitors relationships among stakeholders, Board of Directors, executive officers and independent auditors to ensure compliance with rules and policies of the organization. Identifies and resolves issues and recommends preventive and corrective measures. Ensures the organization complies with legal and regulatory requirements of the countries in which operates. </v>
      </c>
      <c r="Q279" s="39" t="str">
        <f>_xlfn.XLOOKUP(E279,'[1]2022 GI Position Descriptions'!E:E,'[1]2022 GI Position Descriptions'!G:G)</f>
        <v>Provides a full range of legal advice and services | Responsibilities are within the Legal Function as a generalist or in a combination of Disciplines</v>
      </c>
      <c r="R279" s="22" t="str">
        <f>IF(LEFT(J279,1)="E","EX",LEFT(J279,1))</f>
        <v>U</v>
      </c>
      <c r="S279" s="22" t="str">
        <f>_xlfn.XLOOKUP($R279,'[1]Career Bands &amp; Levels'!A:A,'[1]Career Bands &amp; Levels'!C:C)</f>
        <v>● Performs clerical/administrative or specialized support tasks in an office, field or retail store/site setting
● May require vocational training or the equivalent experience, but does not require a university degree</v>
      </c>
      <c r="T279" s="22" t="str">
        <f>J279</f>
        <v>U2</v>
      </c>
      <c r="U279" s="40" t="str">
        <f t="shared" si="9"/>
        <v>U2</v>
      </c>
      <c r="V279" s="22" t="str">
        <f>_xlfn.XLOOKUP(T279,'[1]Career Bands &amp; Levels'!A:A,'[1]Career Bands &amp; Levels'!C:C)</f>
        <v xml:space="preserve">●	Has working knowledge and skills developed through formal training or work experience		
●	Works within established procedures with a moderate degree of supervision		
●	Identifies the problem and all relevant issues in straightforward situations, assesses each using standard procedures and makes sound decisions		</v>
      </c>
      <c r="W279" s="41" t="str">
        <f>J279&amp;"-"&amp;G279</f>
        <v>U2-05</v>
      </c>
      <c r="X279" s="42" t="str">
        <f>G279</f>
        <v>05</v>
      </c>
      <c r="Y279" s="22" t="str">
        <f>_xlfn.XLOOKUP(W279,'[1]Career Bands &amp; Levels'!A:A,'[1]Career Bands &amp; Levels'!C:C,"No Grade Differentiator")</f>
        <v xml:space="preserve">●	Has limited prior relevant training or work experience		
●	Has limited discretion to vary from established procedures		</v>
      </c>
      <c r="Z279" s="43" t="str">
        <f>IFERROR(O279&amp;" - "&amp;G279,"--")</f>
        <v>Assistant / Analyst Legal Affairs - 05</v>
      </c>
      <c r="AA279" s="44" t="str">
        <f>_xlfn.XLOOKUP($H279,'[1]SIG Qualifications Input'!$D:$D,'[1]SIG Qualifications Input'!$H:$H)</f>
        <v>Vocational training in e.g. commercial field or equivalent work experience. Up to 5 years of experience, possibly further internal trainings.</v>
      </c>
    </row>
    <row r="280" spans="1:27" ht="169" thickBot="1" x14ac:dyDescent="0.2">
      <c r="A280" s="34" t="str">
        <f>_xlfn.XLOOKUP(C280,'[1]SIG Job Families &amp; Descriptions'!F:F,'[1]SIG Job Families &amp; Descriptions'!B:B)</f>
        <v>Legal &amp; Internal Audit</v>
      </c>
      <c r="B280" s="34" t="str">
        <f>_xlfn.XLOOKUP(C280,'[1]SIG Job Families &amp; Descriptions'!F:F,'[1]SIG Job Families &amp; Descriptions'!D:D)</f>
        <v>Legal Affairs</v>
      </c>
      <c r="C280" s="34" t="s">
        <v>84</v>
      </c>
      <c r="D280" s="30" t="str">
        <f t="shared" si="8"/>
        <v>ALG</v>
      </c>
      <c r="E280" s="31" t="str">
        <f>_xlfn.XLOOKUP(C280,'[1]SIG Job Families &amp; Descriptions'!F:F,'[1]SIG Job Families &amp; Descriptions'!A:A)</f>
        <v>ALG000</v>
      </c>
      <c r="F280" s="32" t="s">
        <v>32</v>
      </c>
      <c r="G280" s="33" t="s">
        <v>53</v>
      </c>
      <c r="H280" s="34" t="str">
        <f>F280&amp;"-"&amp;G280</f>
        <v>Professional-06</v>
      </c>
      <c r="I280" s="35" t="str">
        <f>IF(ISERROR(_xlfn.XLOOKUP(H280,'[1]SIG Level Structure'!D:D,'[1]SIG Level Structure'!D:D)),"0","1")</f>
        <v>1</v>
      </c>
      <c r="J280" s="36" t="str">
        <f>_xlfn.XLOOKUP($H280,'[1]SIG Level Structure'!$D:$D,'[1]SIG Level Structure'!F:F)</f>
        <v>U2</v>
      </c>
      <c r="K280" s="37" t="str">
        <f>E280&amp;"-"&amp;J280&amp;"-"&amp;G280</f>
        <v>ALG000-U2-06</v>
      </c>
      <c r="L280" s="37" t="str">
        <f>IFERROR(D280&amp;"-"&amp;LEFT(J280,1),"--")</f>
        <v>ALG-U</v>
      </c>
      <c r="M280" s="37" t="e">
        <f>VLOOKUP(L280,'[1]Compatible JC'!$A:$A,1,FALSE)</f>
        <v>#N/A</v>
      </c>
      <c r="N280" s="37" t="str">
        <f>IFERROR(_xlfn.XLOOKUP(H280,'[1]SIG Level Structure'!D:D,'[1]SIG Level Structure'!C:C),"--")</f>
        <v>Assistant / Analyst</v>
      </c>
      <c r="O280" s="38" t="str">
        <f>IFERROR(TRIM(N280&amp;" "&amp;C280),"--")</f>
        <v>Assistant / Analyst Legal Affairs</v>
      </c>
      <c r="P280" s="22" t="str">
        <f>_xlfn.XLOOKUP(E280,'[1]SIG Job Families &amp; Descriptions'!A:A,'[1]SIG Job Families &amp; Descriptions'!G:G)</f>
        <v xml:space="preserve">Provides a full range of legal advice and services. Creates efficient monitoring systems and incentives to ensure that executive behavior aligns with the interests of stakeholders. Plans and monitors relationships among stakeholders, Board of Directors, executive officers and independent auditors to ensure compliance with rules and policies of the organization. Identifies and resolves issues and recommends preventive and corrective measures. Ensures the organization complies with legal and regulatory requirements of the countries in which operates. </v>
      </c>
      <c r="Q280" s="39" t="str">
        <f>_xlfn.XLOOKUP(E280,'[1]2022 GI Position Descriptions'!E:E,'[1]2022 GI Position Descriptions'!G:G)</f>
        <v>Provides a full range of legal advice and services | Responsibilities are within the Legal Function as a generalist or in a combination of Disciplines</v>
      </c>
      <c r="R280" s="22" t="str">
        <f>IF(LEFT(J280,1)="E","EX",LEFT(J280,1))</f>
        <v>U</v>
      </c>
      <c r="S280" s="22" t="str">
        <f>_xlfn.XLOOKUP($R280,'[1]Career Bands &amp; Levels'!A:A,'[1]Career Bands &amp; Levels'!C:C)</f>
        <v>● Performs clerical/administrative or specialized support tasks in an office, field or retail store/site setting
● May require vocational training or the equivalent experience, but does not require a university degree</v>
      </c>
      <c r="T280" s="22" t="str">
        <f>J280</f>
        <v>U2</v>
      </c>
      <c r="U280" s="40" t="str">
        <f t="shared" si="9"/>
        <v>U2</v>
      </c>
      <c r="V280" s="22" t="str">
        <f>_xlfn.XLOOKUP(T280,'[1]Career Bands &amp; Levels'!A:A,'[1]Career Bands &amp; Levels'!C:C)</f>
        <v xml:space="preserve">●	Has working knowledge and skills developed through formal training or work experience		
●	Works within established procedures with a moderate degree of supervision		
●	Identifies the problem and all relevant issues in straightforward situations, assesses each using standard procedures and makes sound decisions		</v>
      </c>
      <c r="W280" s="41" t="str">
        <f>J280&amp;"-"&amp;G280</f>
        <v>U2-06</v>
      </c>
      <c r="X280" s="42" t="str">
        <f>G280</f>
        <v>06</v>
      </c>
      <c r="Y280" s="22" t="str">
        <f>_xlfn.XLOOKUP(W280,'[1]Career Bands &amp; Levels'!A:A,'[1]Career Bands &amp; Levels'!C:C,"No Grade Differentiator")</f>
        <v xml:space="preserve">●	Has prior relevant training or related work experience		
●	Performs routine tasks following specific instructions or under close supervision		
●	Work is clearly defined and completed according to instruction		</v>
      </c>
      <c r="Z280" s="43" t="str">
        <f>IFERROR(O280&amp;" - "&amp;G280,"--")</f>
        <v>Assistant / Analyst Legal Affairs - 06</v>
      </c>
      <c r="AA280" s="44" t="str">
        <f>_xlfn.XLOOKUP($H280,'[1]SIG Qualifications Input'!$D:$D,'[1]SIG Qualifications Input'!$H:$H)</f>
        <v>Vocational training in e.g. commercial field or equivalent work experience. Up to 5 years of experience, possibly further internal trainings.</v>
      </c>
    </row>
    <row r="281" spans="1:27" ht="169" thickBot="1" x14ac:dyDescent="0.2">
      <c r="A281" s="34" t="str">
        <f>_xlfn.XLOOKUP(C281,'[1]SIG Job Families &amp; Descriptions'!F:F,'[1]SIG Job Families &amp; Descriptions'!B:B)</f>
        <v>Legal &amp; Internal Audit</v>
      </c>
      <c r="B281" s="34" t="str">
        <f>_xlfn.XLOOKUP(C281,'[1]SIG Job Families &amp; Descriptions'!F:F,'[1]SIG Job Families &amp; Descriptions'!D:D)</f>
        <v>Legal Affairs</v>
      </c>
      <c r="C281" s="34" t="s">
        <v>84</v>
      </c>
      <c r="D281" s="30" t="str">
        <f t="shared" si="8"/>
        <v>ALG</v>
      </c>
      <c r="E281" s="31" t="str">
        <f>_xlfn.XLOOKUP(C281,'[1]SIG Job Families &amp; Descriptions'!F:F,'[1]SIG Job Families &amp; Descriptions'!A:A)</f>
        <v>ALG000</v>
      </c>
      <c r="F281" s="32" t="s">
        <v>32</v>
      </c>
      <c r="G281" s="33" t="s">
        <v>52</v>
      </c>
      <c r="H281" s="34" t="str">
        <f>F281&amp;"-"&amp;G281</f>
        <v>Professional-07</v>
      </c>
      <c r="I281" s="35" t="str">
        <f>IF(ISERROR(_xlfn.XLOOKUP(H281,'[1]SIG Level Structure'!D:D,'[1]SIG Level Structure'!D:D)),"0","1")</f>
        <v>1</v>
      </c>
      <c r="J281" s="36" t="str">
        <f>_xlfn.XLOOKUP($H281,'[1]SIG Level Structure'!$D:$D,'[1]SIG Level Structure'!F:F)</f>
        <v>U3</v>
      </c>
      <c r="K281" s="37" t="str">
        <f>E281&amp;"-"&amp;J281&amp;"-"&amp;G281</f>
        <v>ALG000-U3-07</v>
      </c>
      <c r="L281" s="37" t="str">
        <f>IFERROR(D281&amp;"-"&amp;LEFT(J281,1),"--")</f>
        <v>ALG-U</v>
      </c>
      <c r="M281" s="37" t="e">
        <f>VLOOKUP(L281,'[1]Compatible JC'!$A:$A,1,FALSE)</f>
        <v>#N/A</v>
      </c>
      <c r="N281" s="37" t="str">
        <f>IFERROR(_xlfn.XLOOKUP(H281,'[1]SIG Level Structure'!D:D,'[1]SIG Level Structure'!C:C),"--")</f>
        <v>Assistant / Analyst</v>
      </c>
      <c r="O281" s="38" t="str">
        <f>IFERROR(TRIM(N281&amp;" "&amp;C281),"--")</f>
        <v>Assistant / Analyst Legal Affairs</v>
      </c>
      <c r="P281" s="22" t="str">
        <f>_xlfn.XLOOKUP(E281,'[1]SIG Job Families &amp; Descriptions'!A:A,'[1]SIG Job Families &amp; Descriptions'!G:G)</f>
        <v xml:space="preserve">Provides a full range of legal advice and services. Creates efficient monitoring systems and incentives to ensure that executive behavior aligns with the interests of stakeholders. Plans and monitors relationships among stakeholders, Board of Directors, executive officers and independent auditors to ensure compliance with rules and policies of the organization. Identifies and resolves issues and recommends preventive and corrective measures. Ensures the organization complies with legal and regulatory requirements of the countries in which operates. </v>
      </c>
      <c r="Q281" s="39" t="str">
        <f>_xlfn.XLOOKUP(E281,'[1]2022 GI Position Descriptions'!E:E,'[1]2022 GI Position Descriptions'!G:G)</f>
        <v>Provides a full range of legal advice and services | Responsibilities are within the Legal Function as a generalist or in a combination of Disciplines</v>
      </c>
      <c r="R281" s="22" t="str">
        <f>IF(LEFT(J281,1)="E","EX",LEFT(J281,1))</f>
        <v>U</v>
      </c>
      <c r="S281" s="22" t="str">
        <f>_xlfn.XLOOKUP($R281,'[1]Career Bands &amp; Levels'!A:A,'[1]Career Bands &amp; Levels'!C:C)</f>
        <v>● Performs clerical/administrative or specialized support tasks in an office, field or retail store/site setting
● May require vocational training or the equivalent experience, but does not require a university degree</v>
      </c>
      <c r="T281" s="22" t="str">
        <f>J281</f>
        <v>U3</v>
      </c>
      <c r="U281" s="40" t="str">
        <f t="shared" si="9"/>
        <v>U3</v>
      </c>
      <c r="V281" s="22" t="str">
        <f>_xlfn.XLOOKUP(T281,'[1]Career Bands &amp; Levels'!A:A,'[1]Career Bands &amp; Levels'!C:C)</f>
        <v xml:space="preserve">●	Has full proficiency gained through job-related training and considerable work experience		
●	Completes work with a limited degree of supervision		
●	Likely to act as an informal resource for colleagues with less experience		
●	Identifies key issues and patterns from partial/conflicting data		
●	Takes a broad perspective to problems and spots new, less obvious solutions		</v>
      </c>
      <c r="W281" s="41" t="str">
        <f>J281&amp;"-"&amp;G281</f>
        <v>U3-07</v>
      </c>
      <c r="X281" s="42" t="str">
        <f>G281</f>
        <v>07</v>
      </c>
      <c r="Y281" s="22" t="str">
        <f>_xlfn.XLOOKUP(W281,'[1]Career Bands &amp; Levels'!A:A,'[1]Career Bands &amp; Levels'!C:C,"No Grade Differentiator")</f>
        <v>No Grade Differentiator</v>
      </c>
      <c r="Z281" s="43" t="str">
        <f>IFERROR(O281&amp;" - "&amp;G281,"--")</f>
        <v>Assistant / Analyst Legal Affairs - 07</v>
      </c>
      <c r="AA281" s="44" t="str">
        <f>_xlfn.XLOOKUP($H281,'[1]SIG Qualifications Input'!$D:$D,'[1]SIG Qualifications Input'!$H:$H)</f>
        <v>Vocational training in e.g. commercial field or equivalent work experience. Up to 5 years of experience, possibly further internal trainings.</v>
      </c>
    </row>
    <row r="282" spans="1:27" ht="169" thickBot="1" x14ac:dyDescent="0.2">
      <c r="A282" s="34" t="str">
        <f>_xlfn.XLOOKUP(C282,'[1]SIG Job Families &amp; Descriptions'!F:F,'[1]SIG Job Families &amp; Descriptions'!B:B)</f>
        <v>Legal &amp; Internal Audit</v>
      </c>
      <c r="B282" s="34" t="str">
        <f>_xlfn.XLOOKUP(C282,'[1]SIG Job Families &amp; Descriptions'!F:F,'[1]SIG Job Families &amp; Descriptions'!D:D)</f>
        <v>Legal Affairs</v>
      </c>
      <c r="C282" s="34" t="s">
        <v>84</v>
      </c>
      <c r="D282" s="30" t="str">
        <f t="shared" si="8"/>
        <v>ALG</v>
      </c>
      <c r="E282" s="31" t="str">
        <f>_xlfn.XLOOKUP(C282,'[1]SIG Job Families &amp; Descriptions'!F:F,'[1]SIG Job Families &amp; Descriptions'!A:A)</f>
        <v>ALG000</v>
      </c>
      <c r="F282" s="32" t="s">
        <v>32</v>
      </c>
      <c r="G282" s="33" t="s">
        <v>43</v>
      </c>
      <c r="H282" s="34" t="str">
        <f>F282&amp;"-"&amp;G282</f>
        <v>Professional-08</v>
      </c>
      <c r="I282" s="35" t="str">
        <f>IF(ISERROR(_xlfn.XLOOKUP(H282,'[1]SIG Level Structure'!D:D,'[1]SIG Level Structure'!D:D)),"0","1")</f>
        <v>1</v>
      </c>
      <c r="J282" s="36" t="str">
        <f>_xlfn.XLOOKUP($H282,'[1]SIG Level Structure'!$D:$D,'[1]SIG Level Structure'!F:F)</f>
        <v>P1</v>
      </c>
      <c r="K282" s="37" t="str">
        <f>E282&amp;"-"&amp;J282&amp;"-"&amp;G282</f>
        <v>ALG000-P1-08</v>
      </c>
      <c r="L282" s="37" t="str">
        <f>IFERROR(D282&amp;"-"&amp;LEFT(J282,1),"--")</f>
        <v>ALG-P</v>
      </c>
      <c r="M282" s="37" t="str">
        <f>VLOOKUP(L282,'[1]Compatible JC'!$A:$A,1,FALSE)</f>
        <v>ALG-P</v>
      </c>
      <c r="N282" s="37" t="str">
        <f>IFERROR(_xlfn.XLOOKUP(H282,'[1]SIG Level Structure'!D:D,'[1]SIG Level Structure'!C:C),"--")</f>
        <v>Specialist</v>
      </c>
      <c r="O282" s="38" t="str">
        <f>IFERROR(TRIM(N282&amp;" "&amp;C282),"--")</f>
        <v>Specialist Legal Affairs</v>
      </c>
      <c r="P282" s="22" t="str">
        <f>_xlfn.XLOOKUP(E282,'[1]SIG Job Families &amp; Descriptions'!A:A,'[1]SIG Job Families &amp; Descriptions'!G:G)</f>
        <v xml:space="preserve">Provides a full range of legal advice and services. Creates efficient monitoring systems and incentives to ensure that executive behavior aligns with the interests of stakeholders. Plans and monitors relationships among stakeholders, Board of Directors, executive officers and independent auditors to ensure compliance with rules and policies of the organization. Identifies and resolves issues and recommends preventive and corrective measures. Ensures the organization complies with legal and regulatory requirements of the countries in which operates. </v>
      </c>
      <c r="Q282" s="39" t="str">
        <f>_xlfn.XLOOKUP(E282,'[1]2022 GI Position Descriptions'!E:E,'[1]2022 GI Position Descriptions'!G:G)</f>
        <v>Provides a full range of legal advice and services | Responsibilities are within the Legal Function as a generalist or in a combination of Disciplines</v>
      </c>
      <c r="R282" s="22" t="str">
        <f>IF(LEFT(J282,1)="E","EX",LEFT(J282,1))</f>
        <v>P</v>
      </c>
      <c r="S282" s="22" t="str">
        <f>_xlfn.XLOOKUP($R282,'[1]Career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82" s="22" t="str">
        <f>J282</f>
        <v>P1</v>
      </c>
      <c r="U282" s="40" t="str">
        <f t="shared" si="9"/>
        <v>P1</v>
      </c>
      <c r="V282" s="22" t="str">
        <f>_xlfn.XLOOKUP(T282,'[1]Career Bands &amp; Levels'!A:A,'[1]Career Bands &amp; Levels'!C:C)</f>
        <v xml:space="preserve">●	Performs routine assignments in the entry level of the Professional Career Band		
●	Typically requires a college or university degree or the equivalent work experience and has conceptual knowledge of fundamental theories, principles and practices 		
●	Has no discretion to vary from established procedures by performing structured work assignments		
●	Uses existing procedures to solve routine or standard problems		
●	Receives instruction, guidance and direction from more senior level roles		</v>
      </c>
      <c r="W282" s="41" t="str">
        <f>J282&amp;"-"&amp;G282</f>
        <v>P1-08</v>
      </c>
      <c r="X282" s="42" t="str">
        <f>G282</f>
        <v>08</v>
      </c>
      <c r="Y282" s="22" t="str">
        <f>_xlfn.XLOOKUP(W282,'[1]Career Bands &amp; Levels'!A:A,'[1]Career Bands &amp; Levels'!C:C,"No Grade Differentiator")</f>
        <v>No Grade Differentiator</v>
      </c>
      <c r="Z282" s="43" t="str">
        <f>IFERROR(O282&amp;" - "&amp;G282,"--")</f>
        <v>Specialist Legal Affairs - 08</v>
      </c>
      <c r="AA282" s="44" t="str">
        <f>_xlfn.XLOOKUP($H282,'[1]SIG Qualifications Input'!$D:$D,'[1]SIG Qualifications Input'!$H:$H)</f>
        <v>University degree or equivalent and 0-1 year of work experience or equivalent</v>
      </c>
    </row>
    <row r="283" spans="1:27" ht="169" thickBot="1" x14ac:dyDescent="0.2">
      <c r="A283" s="34" t="str">
        <f>_xlfn.XLOOKUP(C283,'[1]SIG Job Families &amp; Descriptions'!F:F,'[1]SIG Job Families &amp; Descriptions'!B:B)</f>
        <v>Legal &amp; Internal Audit</v>
      </c>
      <c r="B283" s="34" t="str">
        <f>_xlfn.XLOOKUP(C283,'[1]SIG Job Families &amp; Descriptions'!F:F,'[1]SIG Job Families &amp; Descriptions'!D:D)</f>
        <v xml:space="preserve">Intellectual Property </v>
      </c>
      <c r="C283" s="34" t="s">
        <v>87</v>
      </c>
      <c r="D283" s="30" t="str">
        <f t="shared" si="8"/>
        <v>ALG</v>
      </c>
      <c r="E283" s="31" t="str">
        <f>_xlfn.XLOOKUP(C283,'[1]SIG Job Families &amp; Descriptions'!F:F,'[1]SIG Job Families &amp; Descriptions'!A:A)</f>
        <v>ALG030</v>
      </c>
      <c r="F283" s="32" t="s">
        <v>32</v>
      </c>
      <c r="G283" s="33" t="s">
        <v>37</v>
      </c>
      <c r="H283" s="34" t="str">
        <f>F283&amp;"-"&amp;G283</f>
        <v>Professional-09</v>
      </c>
      <c r="I283" s="35" t="str">
        <f>IF(ISERROR(_xlfn.XLOOKUP(H283,'[1]SIG Level Structure'!D:D,'[1]SIG Level Structure'!D:D)),"0","1")</f>
        <v>1</v>
      </c>
      <c r="J283" s="36" t="str">
        <f>_xlfn.XLOOKUP($H283,'[1]SIG Level Structure'!$D:$D,'[1]SIG Level Structure'!F:F)</f>
        <v>P2</v>
      </c>
      <c r="K283" s="37" t="str">
        <f>E283&amp;"-"&amp;J283&amp;"-"&amp;G283</f>
        <v>ALG030-P2-09</v>
      </c>
      <c r="L283" s="37" t="str">
        <f>IFERROR(D283&amp;"-"&amp;LEFT(J283,1),"--")</f>
        <v>ALG-P</v>
      </c>
      <c r="M283" s="37" t="str">
        <f>VLOOKUP(L283,'[1]Compatible JC'!$A:$A,1,FALSE)</f>
        <v>ALG-P</v>
      </c>
      <c r="N283" s="37" t="str">
        <f>IFERROR(_xlfn.XLOOKUP(H283,'[1]SIG Level Structure'!D:D,'[1]SIG Level Structure'!C:C),"--")</f>
        <v>Senior Specialist</v>
      </c>
      <c r="O283" s="38" t="str">
        <f>IFERROR(TRIM(N283&amp;" "&amp;C283),"--")</f>
        <v>Senior Specialist Intellectual Property</v>
      </c>
      <c r="P283" s="22" t="str">
        <f>_xlfn.XLOOKUP(E283,'[1]SIG Job Families &amp; Descriptions'!A:A,'[1]SIG Job Families &amp; Descriptions'!G:G)</f>
        <v>Advises and represents the organization on legal issues concerning patent, copyright or trademark matters. Provides legal advice on the patentability of inventions, infringement of patents or copyrights, and the validity of trademarks. Prepares applications for patents, copyrights and trademarks.</v>
      </c>
      <c r="Q283" s="39" t="str">
        <f>_xlfn.XLOOKUP(E283,'[1]2022 GI Position Descriptions'!E:E,'[1]2022 GI Position Descriptions'!G:G)</f>
        <v>Advises and represents the organization on legal issues concerning patent, copyright or trademark matters | Provides legal advice on the patentability of inventions, infringement of patents or copyrights, and the validity of trademarks | Prepares applications for patents, copyrights and trademarks</v>
      </c>
      <c r="R283" s="22" t="str">
        <f>IF(LEFT(J283,1)="E","EX",LEFT(J283,1))</f>
        <v>P</v>
      </c>
      <c r="S283" s="22" t="str">
        <f>_xlfn.XLOOKUP($R283,'[1]Career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83" s="22" t="str">
        <f>J283</f>
        <v>P2</v>
      </c>
      <c r="U283" s="40" t="str">
        <f t="shared" si="9"/>
        <v>P2</v>
      </c>
      <c r="V283" s="22" t="str">
        <f>_xlfn.XLOOKUP(T283,'[1]Career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283" s="41" t="str">
        <f>J283&amp;"-"&amp;G283</f>
        <v>P2-09</v>
      </c>
      <c r="X283" s="42" t="str">
        <f>G283</f>
        <v>09</v>
      </c>
      <c r="Y283" s="22" t="str">
        <f>_xlfn.XLOOKUP(W283,'[1]Career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283" s="43" t="str">
        <f>IFERROR(O283&amp;" - "&amp;G283,"--")</f>
        <v>Senior Specialist Intellectual Property - 09</v>
      </c>
      <c r="AA283" s="44" t="str">
        <f>_xlfn.XLOOKUP($H283,'[1]SIG Qualifications Input'!$D:$D,'[1]SIG Qualifications Input'!$H:$H)</f>
        <v>University degree or equivalent and 2-4 years of work experience or equivalent</v>
      </c>
    </row>
    <row r="284" spans="1:27" ht="169" thickBot="1" x14ac:dyDescent="0.2">
      <c r="A284" s="34" t="str">
        <f>_xlfn.XLOOKUP(C284,'[1]SIG Job Families &amp; Descriptions'!F:F,'[1]SIG Job Families &amp; Descriptions'!B:B)</f>
        <v>Legal &amp; Internal Audit</v>
      </c>
      <c r="B284" s="34" t="str">
        <f>_xlfn.XLOOKUP(C284,'[1]SIG Job Families &amp; Descriptions'!F:F,'[1]SIG Job Families &amp; Descriptions'!D:D)</f>
        <v xml:space="preserve">Intellectual Property </v>
      </c>
      <c r="C284" s="34" t="s">
        <v>87</v>
      </c>
      <c r="D284" s="30" t="str">
        <f t="shared" si="8"/>
        <v>ALG</v>
      </c>
      <c r="E284" s="31" t="str">
        <f>_xlfn.XLOOKUP(C284,'[1]SIG Job Families &amp; Descriptions'!F:F,'[1]SIG Job Families &amp; Descriptions'!A:A)</f>
        <v>ALG030</v>
      </c>
      <c r="F284" s="32" t="s">
        <v>32</v>
      </c>
      <c r="G284" s="33" t="s">
        <v>36</v>
      </c>
      <c r="H284" s="34" t="str">
        <f>F284&amp;"-"&amp;G284</f>
        <v>Professional-10</v>
      </c>
      <c r="I284" s="35" t="str">
        <f>IF(ISERROR(_xlfn.XLOOKUP(H284,'[1]SIG Level Structure'!D:D,'[1]SIG Level Structure'!D:D)),"0","1")</f>
        <v>1</v>
      </c>
      <c r="J284" s="36" t="str">
        <f>_xlfn.XLOOKUP($H284,'[1]SIG Level Structure'!$D:$D,'[1]SIG Level Structure'!F:F)</f>
        <v>P2</v>
      </c>
      <c r="K284" s="37" t="str">
        <f>E284&amp;"-"&amp;J284&amp;"-"&amp;G284</f>
        <v>ALG030-P2-10</v>
      </c>
      <c r="L284" s="37" t="str">
        <f>IFERROR(D284&amp;"-"&amp;LEFT(J284,1),"--")</f>
        <v>ALG-P</v>
      </c>
      <c r="M284" s="37" t="str">
        <f>VLOOKUP(L284,'[1]Compatible JC'!$A:$A,1,FALSE)</f>
        <v>ALG-P</v>
      </c>
      <c r="N284" s="37" t="str">
        <f>IFERROR(_xlfn.XLOOKUP(H284,'[1]SIG Level Structure'!D:D,'[1]SIG Level Structure'!C:C),"--")</f>
        <v>Senior Specialist</v>
      </c>
      <c r="O284" s="38" t="str">
        <f>IFERROR(TRIM(N284&amp;" "&amp;C284),"--")</f>
        <v>Senior Specialist Intellectual Property</v>
      </c>
      <c r="P284" s="22" t="str">
        <f>_xlfn.XLOOKUP(E284,'[1]SIG Job Families &amp; Descriptions'!A:A,'[1]SIG Job Families &amp; Descriptions'!G:G)</f>
        <v>Advises and represents the organization on legal issues concerning patent, copyright or trademark matters. Provides legal advice on the patentability of inventions, infringement of patents or copyrights, and the validity of trademarks. Prepares applications for patents, copyrights and trademarks.</v>
      </c>
      <c r="Q284" s="39" t="str">
        <f>_xlfn.XLOOKUP(E284,'[1]2022 GI Position Descriptions'!E:E,'[1]2022 GI Position Descriptions'!G:G)</f>
        <v>Advises and represents the organization on legal issues concerning patent, copyright or trademark matters | Provides legal advice on the patentability of inventions, infringement of patents or copyrights, and the validity of trademarks | Prepares applications for patents, copyrights and trademarks</v>
      </c>
      <c r="R284" s="22" t="str">
        <f>IF(LEFT(J284,1)="E","EX",LEFT(J284,1))</f>
        <v>P</v>
      </c>
      <c r="S284" s="22" t="str">
        <f>_xlfn.XLOOKUP($R284,'[1]Career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84" s="22" t="str">
        <f>J284</f>
        <v>P2</v>
      </c>
      <c r="U284" s="40" t="str">
        <f t="shared" si="9"/>
        <v>P2</v>
      </c>
      <c r="V284" s="22" t="str">
        <f>_xlfn.XLOOKUP(T284,'[1]Career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284" s="41" t="str">
        <f>J284&amp;"-"&amp;G284</f>
        <v>P2-10</v>
      </c>
      <c r="X284" s="42" t="str">
        <f>G284</f>
        <v>10</v>
      </c>
      <c r="Y284" s="22" t="str">
        <f>_xlfn.XLOOKUP(W284,'[1]Career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284" s="43" t="str">
        <f>IFERROR(O284&amp;" - "&amp;G284,"--")</f>
        <v>Senior Specialist Intellectual Property - 10</v>
      </c>
      <c r="AA284" s="44" t="str">
        <f>_xlfn.XLOOKUP($H284,'[1]SIG Qualifications Input'!$D:$D,'[1]SIG Qualifications Input'!$H:$H)</f>
        <v>University degree or equivalent and 2-4 years of work experience or equivalent</v>
      </c>
    </row>
    <row r="285" spans="1:27" ht="183" thickBot="1" x14ac:dyDescent="0.2">
      <c r="A285" s="34" t="str">
        <f>_xlfn.XLOOKUP(C285,'[1]SIG Job Families &amp; Descriptions'!F:F,'[1]SIG Job Families &amp; Descriptions'!B:B)</f>
        <v>Legal &amp; Internal Audit</v>
      </c>
      <c r="B285" s="34" t="str">
        <f>_xlfn.XLOOKUP(C285,'[1]SIG Job Families &amp; Descriptions'!F:F,'[1]SIG Job Families &amp; Descriptions'!D:D)</f>
        <v xml:space="preserve">Intellectual Property </v>
      </c>
      <c r="C285" s="34" t="s">
        <v>87</v>
      </c>
      <c r="D285" s="30" t="str">
        <f t="shared" si="8"/>
        <v>ALG</v>
      </c>
      <c r="E285" s="31" t="str">
        <f>_xlfn.XLOOKUP(C285,'[1]SIG Job Families &amp; Descriptions'!F:F,'[1]SIG Job Families &amp; Descriptions'!A:A)</f>
        <v>ALG030</v>
      </c>
      <c r="F285" s="32" t="s">
        <v>29</v>
      </c>
      <c r="G285" s="33" t="s">
        <v>34</v>
      </c>
      <c r="H285" s="34" t="str">
        <f>F285&amp;"-"&amp;G285</f>
        <v>Management-12</v>
      </c>
      <c r="I285" s="35" t="str">
        <f>IF(ISERROR(_xlfn.XLOOKUP(H285,'[1]SIG Level Structure'!D:D,'[1]SIG Level Structure'!D:D)),"0","1")</f>
        <v>1</v>
      </c>
      <c r="J285" s="36" t="str">
        <f>_xlfn.XLOOKUP($H285,'[1]SIG Level Structure'!$D:$D,'[1]SIG Level Structure'!F:F)</f>
        <v>M2</v>
      </c>
      <c r="K285" s="37" t="str">
        <f>E285&amp;"-"&amp;J285&amp;"-"&amp;G285</f>
        <v>ALG030-M2-12</v>
      </c>
      <c r="L285" s="37" t="str">
        <f>IFERROR(D285&amp;"-"&amp;LEFT(J285,1),"--")</f>
        <v>ALG-M</v>
      </c>
      <c r="M285" s="37" t="str">
        <f>VLOOKUP(L285,'[1]Compatible JC'!$A:$A,1,FALSE)</f>
        <v>ALG-M</v>
      </c>
      <c r="N285" s="37" t="str">
        <f>IFERROR(_xlfn.XLOOKUP(H285,'[1]SIG Level Structure'!D:D,'[1]SIG Level Structure'!C:C),"--")</f>
        <v>Manager</v>
      </c>
      <c r="O285" s="38" t="str">
        <f>IFERROR(TRIM(N285&amp;" "&amp;C285),"--")</f>
        <v>Manager Intellectual Property</v>
      </c>
      <c r="P285" s="22" t="str">
        <f>_xlfn.XLOOKUP(E285,'[1]SIG Job Families &amp; Descriptions'!A:A,'[1]SIG Job Families &amp; Descriptions'!G:G)</f>
        <v>Advises and represents the organization on legal issues concerning patent, copyright or trademark matters. Provides legal advice on the patentability of inventions, infringement of patents or copyrights, and the validity of trademarks. Prepares applications for patents, copyrights and trademarks.</v>
      </c>
      <c r="Q285" s="39" t="str">
        <f>_xlfn.XLOOKUP(E285,'[1]2022 GI Position Descriptions'!E:E,'[1]2022 GI Position Descriptions'!G:G)</f>
        <v>Advises and represents the organization on legal issues concerning patent, copyright or trademark matters | Provides legal advice on the patentability of inventions, infringement of patents or copyrights, and the validity of trademarks | Prepares applications for patents, copyrights and trademarks</v>
      </c>
      <c r="R285" s="22" t="str">
        <f>IF(LEFT(J285,1)="E","EX",LEFT(J285,1))</f>
        <v>M</v>
      </c>
      <c r="S285" s="22" t="str">
        <f>_xlfn.XLOOKUP($R285,'[1]Career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285" s="22" t="str">
        <f>J285</f>
        <v>M2</v>
      </c>
      <c r="U285" s="40" t="str">
        <f t="shared" si="9"/>
        <v>M2</v>
      </c>
      <c r="V285" s="22" t="str">
        <f>_xlfn.XLOOKUP(T285,'[1]Career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285" s="41" t="str">
        <f>J285&amp;"-"&amp;G285</f>
        <v>M2-12</v>
      </c>
      <c r="X285" s="42" t="str">
        <f>G285</f>
        <v>12</v>
      </c>
      <c r="Y285" s="22" t="str">
        <f>_xlfn.XLOOKUP(W285,'[1]Career Bands &amp; Levels'!A:A,'[1]Career Bands &amp; Levels'!C:C,"No Grade Differentiator")</f>
        <v xml:space="preserve">●	Accountable for results of a small team of employees		
●	Exercises limited management authority; sets employee performance objectives, conducts performance reviews and recommends pay actions		
●	Defines team operating standards and ensures essential procedures are followed based on knowledge of own discipline		</v>
      </c>
      <c r="Z285" s="43" t="str">
        <f>IFERROR(O285&amp;" - "&amp;G285,"--")</f>
        <v>Manager Intellectual Property - 12</v>
      </c>
      <c r="AA285" s="44" t="str">
        <f>_xlfn.XLOOKUP($H285,'[1]SIG Qualifications Input'!$D:$D,'[1]SIG Qualifications Input'!$H:$H)</f>
        <v>University degree or equivalent and 7-10 years of work experience or equivalent
Experience in managing mixed-level team(s) of professionals and subordinate managers</v>
      </c>
    </row>
    <row r="286" spans="1:27" ht="183" thickBot="1" x14ac:dyDescent="0.2">
      <c r="A286" s="34" t="str">
        <f>_xlfn.XLOOKUP(C286,'[1]SIG Job Families &amp; Descriptions'!F:F,'[1]SIG Job Families &amp; Descriptions'!B:B)</f>
        <v>Legal &amp; Internal Audit</v>
      </c>
      <c r="B286" s="34" t="str">
        <f>_xlfn.XLOOKUP(C286,'[1]SIG Job Families &amp; Descriptions'!F:F,'[1]SIG Job Families &amp; Descriptions'!D:D)</f>
        <v xml:space="preserve">Intellectual Property </v>
      </c>
      <c r="C286" s="34" t="s">
        <v>87</v>
      </c>
      <c r="D286" s="30" t="str">
        <f t="shared" si="8"/>
        <v>ALG</v>
      </c>
      <c r="E286" s="31" t="str">
        <f>_xlfn.XLOOKUP(C286,'[1]SIG Job Families &amp; Descriptions'!F:F,'[1]SIG Job Families &amp; Descriptions'!A:A)</f>
        <v>ALG030</v>
      </c>
      <c r="F286" s="32" t="s">
        <v>29</v>
      </c>
      <c r="G286" s="33" t="s">
        <v>33</v>
      </c>
      <c r="H286" s="34" t="str">
        <f>F286&amp;"-"&amp;G286</f>
        <v>Management-13</v>
      </c>
      <c r="I286" s="35" t="str">
        <f>IF(ISERROR(_xlfn.XLOOKUP(H286,'[1]SIG Level Structure'!D:D,'[1]SIG Level Structure'!D:D)),"0","1")</f>
        <v>1</v>
      </c>
      <c r="J286" s="36" t="str">
        <f>_xlfn.XLOOKUP($H286,'[1]SIG Level Structure'!$D:$D,'[1]SIG Level Structure'!F:F)</f>
        <v>M2</v>
      </c>
      <c r="K286" s="37" t="str">
        <f>E286&amp;"-"&amp;J286&amp;"-"&amp;G286</f>
        <v>ALG030-M2-13</v>
      </c>
      <c r="L286" s="37" t="str">
        <f>IFERROR(D286&amp;"-"&amp;LEFT(J286,1),"--")</f>
        <v>ALG-M</v>
      </c>
      <c r="M286" s="37" t="str">
        <f>VLOOKUP(L286,'[1]Compatible JC'!$A:$A,1,FALSE)</f>
        <v>ALG-M</v>
      </c>
      <c r="N286" s="37" t="str">
        <f>IFERROR(_xlfn.XLOOKUP(H286,'[1]SIG Level Structure'!D:D,'[1]SIG Level Structure'!C:C),"--")</f>
        <v>Manager</v>
      </c>
      <c r="O286" s="38" t="str">
        <f>IFERROR(TRIM(N286&amp;" "&amp;C286),"--")</f>
        <v>Manager Intellectual Property</v>
      </c>
      <c r="P286" s="22" t="str">
        <f>_xlfn.XLOOKUP(E286,'[1]SIG Job Families &amp; Descriptions'!A:A,'[1]SIG Job Families &amp; Descriptions'!G:G)</f>
        <v>Advises and represents the organization on legal issues concerning patent, copyright or trademark matters. Provides legal advice on the patentability of inventions, infringement of patents or copyrights, and the validity of trademarks. Prepares applications for patents, copyrights and trademarks.</v>
      </c>
      <c r="Q286" s="39" t="str">
        <f>_xlfn.XLOOKUP(E286,'[1]2022 GI Position Descriptions'!E:E,'[1]2022 GI Position Descriptions'!G:G)</f>
        <v>Advises and represents the organization on legal issues concerning patent, copyright or trademark matters | Provides legal advice on the patentability of inventions, infringement of patents or copyrights, and the validity of trademarks | Prepares applications for patents, copyrights and trademarks</v>
      </c>
      <c r="R286" s="22" t="str">
        <f>IF(LEFT(J286,1)="E","EX",LEFT(J286,1))</f>
        <v>M</v>
      </c>
      <c r="S286" s="22" t="str">
        <f>_xlfn.XLOOKUP($R286,'[1]Career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286" s="22" t="str">
        <f>J286</f>
        <v>M2</v>
      </c>
      <c r="U286" s="40" t="str">
        <f t="shared" si="9"/>
        <v>M2</v>
      </c>
      <c r="V286" s="22" t="str">
        <f>_xlfn.XLOOKUP(T286,'[1]Career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286" s="41" t="str">
        <f>J286&amp;"-"&amp;G286</f>
        <v>M2-13</v>
      </c>
      <c r="X286" s="42" t="str">
        <f>G286</f>
        <v>13</v>
      </c>
      <c r="Y286" s="22" t="str">
        <f>_xlfn.XLOOKUP(W286,'[1]Career Bands &amp; Levels'!A:A,'[1]Career Bands &amp; Levels'!C:C,"No Grade Differentiator")</f>
        <v>●	Accountable for the budget, performance and results of a medium-sized team or multiple small teams of employees		
●	Exercises full management authority, including performance reviews, pay decisions, recruitment, discipline, termination and other personnel actions		
●	Addresses issues with impact beyond own team based on knowledge of related disciplines</v>
      </c>
      <c r="Z286" s="43" t="str">
        <f>IFERROR(O286&amp;" - "&amp;G286,"--")</f>
        <v>Manager Intellectual Property - 13</v>
      </c>
      <c r="AA286" s="44" t="str">
        <f>_xlfn.XLOOKUP($H286,'[1]SIG Qualifications Input'!$D:$D,'[1]SIG Qualifications Input'!$H:$H)</f>
        <v>University degree or equivalent and 7-10 years of work experience or equivalent
Experience in managing mixed-level team(s) of professionals and subordinate managers</v>
      </c>
    </row>
    <row r="287" spans="1:27" ht="183" thickBot="1" x14ac:dyDescent="0.2">
      <c r="A287" s="34" t="str">
        <f>_xlfn.XLOOKUP(C287,'[1]SIG Job Families &amp; Descriptions'!F:F,'[1]SIG Job Families &amp; Descriptions'!B:B)</f>
        <v>Marketing</v>
      </c>
      <c r="B287" s="34" t="str">
        <f>_xlfn.XLOOKUP(C287,'[1]SIG Job Families &amp; Descriptions'!F:F,'[1]SIG Job Families &amp; Descriptions'!D:D)</f>
        <v>General Marketing</v>
      </c>
      <c r="C287" s="34" t="s">
        <v>88</v>
      </c>
      <c r="D287" s="30" t="str">
        <f t="shared" si="8"/>
        <v>AMK</v>
      </c>
      <c r="E287" s="31" t="str">
        <f>_xlfn.XLOOKUP(C287,'[1]SIG Job Families &amp; Descriptions'!F:F,'[1]SIG Job Families &amp; Descriptions'!A:A)</f>
        <v>AMK000</v>
      </c>
      <c r="F287" s="32" t="s">
        <v>29</v>
      </c>
      <c r="G287" s="33" t="s">
        <v>30</v>
      </c>
      <c r="H287" s="34" t="str">
        <f>F287&amp;"-"&amp;G287</f>
        <v>Management-15</v>
      </c>
      <c r="I287" s="35" t="str">
        <f>IF(ISERROR(_xlfn.XLOOKUP(H287,'[1]SIG Level Structure'!D:D,'[1]SIG Level Structure'!D:D)),"0","1")</f>
        <v>1</v>
      </c>
      <c r="J287" s="36" t="str">
        <f>_xlfn.XLOOKUP($H287,'[1]SIG Level Structure'!$D:$D,'[1]SIG Level Structure'!F:F)</f>
        <v>M3</v>
      </c>
      <c r="K287" s="37" t="str">
        <f>E287&amp;"-"&amp;J287&amp;"-"&amp;G287</f>
        <v>AMK000-M3-15</v>
      </c>
      <c r="L287" s="37" t="str">
        <f>IFERROR(D287&amp;"-"&amp;LEFT(J287,1),"--")</f>
        <v>AMK-M</v>
      </c>
      <c r="M287" s="37" t="str">
        <f>VLOOKUP(L287,'[1]Compatible JC'!$A:$A,1,FALSE)</f>
        <v>AMK-M</v>
      </c>
      <c r="N287" s="37" t="str">
        <f>IFERROR(_xlfn.XLOOKUP(H287,'[1]SIG Level Structure'!D:D,'[1]SIG Level Structure'!C:C),"--")</f>
        <v>Senior Manager</v>
      </c>
      <c r="O287" s="38" t="str">
        <f>IFERROR(TRIM(N287&amp;" "&amp;C287),"--")</f>
        <v>Senior Manager General Marketing</v>
      </c>
      <c r="P287" s="22" t="str">
        <f>_xlfn.XLOOKUP(E287,'[1]SIG Job Families &amp; Descriptions'!A:A,'[1]SIG Job Families &amp; Descriptions'!G:G)</f>
        <v xml:space="preserve">Designs, develops and implements marketing programs and/or pricing strategies to support the organization's products, services or market sector. Uses specific marketing strategies and media (e.g., print, broadcast, digital) to launch and position products and services in a sector. Identifies and implements marketing strategies and programs in collaboration with sales and technical teams. Responsibilities are typically within the marketing function as a generalist or in a combination of disciplines. 
</v>
      </c>
      <c r="Q287" s="39" t="str">
        <f>_xlfn.XLOOKUP(E287,'[1]2022 GI Position Descriptions'!E:E,'[1]2022 GI Position Descriptions'!G:G)</f>
        <v>Designs, develops and implements marketing programs and/or pricing strategies to support the organization's products, services or market sector | Uses specific marketing strategies and media (e.g., print, broadcast, digital) to launch and position products and services in a sector | Identifies and implements marketing strategies and programs in collaboration with sales and technical teams | Responsibilities are within the Marketing Function as a generalist or in a combination of Disciplines</v>
      </c>
      <c r="R287" s="22" t="str">
        <f>IF(LEFT(J287,1)="E","EX",LEFT(J287,1))</f>
        <v>M</v>
      </c>
      <c r="S287" s="22" t="str">
        <f>_xlfn.XLOOKUP($R287,'[1]Career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287" s="22" t="str">
        <f>J287</f>
        <v>M3</v>
      </c>
      <c r="U287" s="40" t="str">
        <f t="shared" si="9"/>
        <v>M3</v>
      </c>
      <c r="V287" s="22" t="str">
        <f>_xlfn.XLOOKUP(T287,'[1]Career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287" s="41" t="str">
        <f>J287&amp;"-"&amp;G287</f>
        <v>M3-15</v>
      </c>
      <c r="X287" s="42" t="str">
        <f>G287</f>
        <v>15</v>
      </c>
      <c r="Y287" s="22" t="str">
        <f>_xlfn.XLOOKUP(W287,'[1]Career Bands &amp; Levels'!A:A,'[1]Career Bands &amp; Levels'!C:C,"No Grade Differentiator")</f>
        <v xml:space="preserve">●	Looks beyond existing methodologies and own discipline to define and resolve complex problems
●	Develops plans and delivers results in fast-changing businesses and/or regulatory environments
●	Provides input to functional or departmental strategy		
●	Manages large, potentially diverse teams of managers and/or senior professionals		
		</v>
      </c>
      <c r="Z287" s="43" t="str">
        <f>IFERROR(O287&amp;" - "&amp;G287,"--")</f>
        <v>Senior Manager General Marketing - 15</v>
      </c>
      <c r="AA287" s="44" t="str">
        <f>_xlfn.XLOOKUP($H287,'[1]SIG Qualifications Input'!$D:$D,'[1]SIG Qualifications Input'!$H:$H)</f>
        <v xml:space="preserve">University degree or equivalent and 10+ years of work experience or equivalent
Profound experience in managing performance and results of diverse activities / multiple teams </v>
      </c>
    </row>
    <row r="288" spans="1:27" ht="183" thickBot="1" x14ac:dyDescent="0.2">
      <c r="A288" s="34" t="str">
        <f>_xlfn.XLOOKUP(C288,'[1]SIG Job Families &amp; Descriptions'!F:F,'[1]SIG Job Families &amp; Descriptions'!B:B)</f>
        <v>Marketing</v>
      </c>
      <c r="B288" s="34" t="str">
        <f>_xlfn.XLOOKUP(C288,'[1]SIG Job Families &amp; Descriptions'!F:F,'[1]SIG Job Families &amp; Descriptions'!D:D)</f>
        <v>General Marketing</v>
      </c>
      <c r="C288" s="34" t="s">
        <v>88</v>
      </c>
      <c r="D288" s="30" t="str">
        <f t="shared" si="8"/>
        <v>AMK</v>
      </c>
      <c r="E288" s="31" t="str">
        <f>_xlfn.XLOOKUP(C288,'[1]SIG Job Families &amp; Descriptions'!F:F,'[1]SIG Job Families &amp; Descriptions'!A:A)</f>
        <v>AMK000</v>
      </c>
      <c r="F288" s="32" t="s">
        <v>29</v>
      </c>
      <c r="G288" s="33" t="s">
        <v>31</v>
      </c>
      <c r="H288" s="34" t="str">
        <f>F288&amp;"-"&amp;G288</f>
        <v>Management-14</v>
      </c>
      <c r="I288" s="35" t="str">
        <f>IF(ISERROR(_xlfn.XLOOKUP(H288,'[1]SIG Level Structure'!D:D,'[1]SIG Level Structure'!D:D)),"0","1")</f>
        <v>1</v>
      </c>
      <c r="J288" s="36" t="str">
        <f>_xlfn.XLOOKUP($H288,'[1]SIG Level Structure'!$D:$D,'[1]SIG Level Structure'!F:F)</f>
        <v>M3</v>
      </c>
      <c r="K288" s="37" t="str">
        <f>E288&amp;"-"&amp;J288&amp;"-"&amp;G288</f>
        <v>AMK000-M3-14</v>
      </c>
      <c r="L288" s="37" t="str">
        <f>IFERROR(D288&amp;"-"&amp;LEFT(J288,1),"--")</f>
        <v>AMK-M</v>
      </c>
      <c r="M288" s="37" t="str">
        <f>VLOOKUP(L288,'[1]Compatible JC'!$A:$A,1,FALSE)</f>
        <v>AMK-M</v>
      </c>
      <c r="N288" s="37" t="str">
        <f>IFERROR(_xlfn.XLOOKUP(H288,'[1]SIG Level Structure'!D:D,'[1]SIG Level Structure'!C:C),"--")</f>
        <v>Senior Manager</v>
      </c>
      <c r="O288" s="38" t="str">
        <f>IFERROR(TRIM(N288&amp;" "&amp;C288),"--")</f>
        <v>Senior Manager General Marketing</v>
      </c>
      <c r="P288" s="22" t="str">
        <f>_xlfn.XLOOKUP(E288,'[1]SIG Job Families &amp; Descriptions'!A:A,'[1]SIG Job Families &amp; Descriptions'!G:G)</f>
        <v xml:space="preserve">Designs, develops and implements marketing programs and/or pricing strategies to support the organization's products, services or market sector. Uses specific marketing strategies and media (e.g., print, broadcast, digital) to launch and position products and services in a sector. Identifies and implements marketing strategies and programs in collaboration with sales and technical teams. Responsibilities are typically within the marketing function as a generalist or in a combination of disciplines. 
</v>
      </c>
      <c r="Q288" s="39" t="str">
        <f>_xlfn.XLOOKUP(E288,'[1]2022 GI Position Descriptions'!E:E,'[1]2022 GI Position Descriptions'!G:G)</f>
        <v>Designs, develops and implements marketing programs and/or pricing strategies to support the organization's products, services or market sector | Uses specific marketing strategies and media (e.g., print, broadcast, digital) to launch and position products and services in a sector | Identifies and implements marketing strategies and programs in collaboration with sales and technical teams | Responsibilities are within the Marketing Function as a generalist or in a combination of Disciplines</v>
      </c>
      <c r="R288" s="22" t="str">
        <f>IF(LEFT(J288,1)="E","EX",LEFT(J288,1))</f>
        <v>M</v>
      </c>
      <c r="S288" s="22" t="str">
        <f>_xlfn.XLOOKUP($R288,'[1]Career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288" s="22" t="str">
        <f>J288</f>
        <v>M3</v>
      </c>
      <c r="U288" s="40" t="str">
        <f t="shared" si="9"/>
        <v>M3</v>
      </c>
      <c r="V288" s="22" t="str">
        <f>_xlfn.XLOOKUP(T288,'[1]Career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288" s="41" t="str">
        <f>J288&amp;"-"&amp;G288</f>
        <v>M3-14</v>
      </c>
      <c r="X288" s="42" t="str">
        <f>G288</f>
        <v>14</v>
      </c>
      <c r="Y288" s="22" t="str">
        <f>_xlfn.XLOOKUP(W288,'[1]Career Bands &amp; Levels'!A:A,'[1]Career Bands &amp; Levels'!C:C,"No Grade Differentiator")</f>
        <v xml:space="preserve">●	Identifies applications of functional knowledge and existing methodologies to complex problems	
●	Manages large teams of professionals and/or junior managers		
		</v>
      </c>
      <c r="Z288" s="43" t="str">
        <f>IFERROR(O288&amp;" - "&amp;G288,"--")</f>
        <v>Senior Manager General Marketing - 14</v>
      </c>
      <c r="AA288" s="44" t="str">
        <f>_xlfn.XLOOKUP($H288,'[1]SIG Qualifications Input'!$D:$D,'[1]SIG Qualifications Input'!$H:$H)</f>
        <v xml:space="preserve">University degree or equivalent and 10+ years of work experience or equivalent
Profound experience in managing performance and results of diverse activities / multiple teams </v>
      </c>
    </row>
    <row r="289" spans="1:27" ht="183" thickBot="1" x14ac:dyDescent="0.2">
      <c r="A289" s="34" t="str">
        <f>_xlfn.XLOOKUP(C289,'[1]SIG Job Families &amp; Descriptions'!F:F,'[1]SIG Job Families &amp; Descriptions'!B:B)</f>
        <v>Marketing</v>
      </c>
      <c r="B289" s="34" t="str">
        <f>_xlfn.XLOOKUP(C289,'[1]SIG Job Families &amp; Descriptions'!F:F,'[1]SIG Job Families &amp; Descriptions'!D:D)</f>
        <v>General Marketing</v>
      </c>
      <c r="C289" s="34" t="s">
        <v>88</v>
      </c>
      <c r="D289" s="30" t="str">
        <f t="shared" si="8"/>
        <v>AMK</v>
      </c>
      <c r="E289" s="31" t="str">
        <f>_xlfn.XLOOKUP(C289,'[1]SIG Job Families &amp; Descriptions'!F:F,'[1]SIG Job Families &amp; Descriptions'!A:A)</f>
        <v>AMK000</v>
      </c>
      <c r="F289" s="32" t="s">
        <v>29</v>
      </c>
      <c r="G289" s="33" t="s">
        <v>33</v>
      </c>
      <c r="H289" s="34" t="str">
        <f>F289&amp;"-"&amp;G289</f>
        <v>Management-13</v>
      </c>
      <c r="I289" s="35" t="str">
        <f>IF(ISERROR(_xlfn.XLOOKUP(H289,'[1]SIG Level Structure'!D:D,'[1]SIG Level Structure'!D:D)),"0","1")</f>
        <v>1</v>
      </c>
      <c r="J289" s="36" t="str">
        <f>_xlfn.XLOOKUP($H289,'[1]SIG Level Structure'!$D:$D,'[1]SIG Level Structure'!F:F)</f>
        <v>M2</v>
      </c>
      <c r="K289" s="37" t="str">
        <f>E289&amp;"-"&amp;J289&amp;"-"&amp;G289</f>
        <v>AMK000-M2-13</v>
      </c>
      <c r="L289" s="37" t="str">
        <f>IFERROR(D289&amp;"-"&amp;LEFT(J289,1),"--")</f>
        <v>AMK-M</v>
      </c>
      <c r="M289" s="37" t="str">
        <f>VLOOKUP(L289,'[1]Compatible JC'!$A:$A,1,FALSE)</f>
        <v>AMK-M</v>
      </c>
      <c r="N289" s="37" t="str">
        <f>IFERROR(_xlfn.XLOOKUP(H289,'[1]SIG Level Structure'!D:D,'[1]SIG Level Structure'!C:C),"--")</f>
        <v>Manager</v>
      </c>
      <c r="O289" s="38" t="str">
        <f>IFERROR(TRIM(N289&amp;" "&amp;C289),"--")</f>
        <v>Manager General Marketing</v>
      </c>
      <c r="P289" s="22" t="str">
        <f>_xlfn.XLOOKUP(E289,'[1]SIG Job Families &amp; Descriptions'!A:A,'[1]SIG Job Families &amp; Descriptions'!G:G)</f>
        <v xml:space="preserve">Designs, develops and implements marketing programs and/or pricing strategies to support the organization's products, services or market sector. Uses specific marketing strategies and media (e.g., print, broadcast, digital) to launch and position products and services in a sector. Identifies and implements marketing strategies and programs in collaboration with sales and technical teams. Responsibilities are typically within the marketing function as a generalist or in a combination of disciplines. 
</v>
      </c>
      <c r="Q289" s="39" t="str">
        <f>_xlfn.XLOOKUP(E289,'[1]2022 GI Position Descriptions'!E:E,'[1]2022 GI Position Descriptions'!G:G)</f>
        <v>Designs, develops and implements marketing programs and/or pricing strategies to support the organization's products, services or market sector | Uses specific marketing strategies and media (e.g., print, broadcast, digital) to launch and position products and services in a sector | Identifies and implements marketing strategies and programs in collaboration with sales and technical teams | Responsibilities are within the Marketing Function as a generalist or in a combination of Disciplines</v>
      </c>
      <c r="R289" s="22" t="str">
        <f>IF(LEFT(J289,1)="E","EX",LEFT(J289,1))</f>
        <v>M</v>
      </c>
      <c r="S289" s="22" t="str">
        <f>_xlfn.XLOOKUP($R289,'[1]Career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289" s="22" t="str">
        <f>J289</f>
        <v>M2</v>
      </c>
      <c r="U289" s="40" t="str">
        <f t="shared" si="9"/>
        <v>M2</v>
      </c>
      <c r="V289" s="22" t="str">
        <f>_xlfn.XLOOKUP(T289,'[1]Career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289" s="41" t="str">
        <f>J289&amp;"-"&amp;G289</f>
        <v>M2-13</v>
      </c>
      <c r="X289" s="42" t="str">
        <f>G289</f>
        <v>13</v>
      </c>
      <c r="Y289" s="22" t="str">
        <f>_xlfn.XLOOKUP(W289,'[1]Career Bands &amp; Levels'!A:A,'[1]Career Bands &amp; Levels'!C:C,"No Grade Differentiator")</f>
        <v>●	Accountable for the budget, performance and results of a medium-sized team or multiple small teams of employees		
●	Exercises full management authority, including performance reviews, pay decisions, recruitment, discipline, termination and other personnel actions		
●	Addresses issues with impact beyond own team based on knowledge of related disciplines</v>
      </c>
      <c r="Z289" s="43" t="str">
        <f>IFERROR(O289&amp;" - "&amp;G289,"--")</f>
        <v>Manager General Marketing - 13</v>
      </c>
      <c r="AA289" s="44" t="str">
        <f>_xlfn.XLOOKUP($H289,'[1]SIG Qualifications Input'!$D:$D,'[1]SIG Qualifications Input'!$H:$H)</f>
        <v>University degree or equivalent and 7-10 years of work experience or equivalent
Experience in managing mixed-level team(s) of professionals and subordinate managers</v>
      </c>
    </row>
    <row r="290" spans="1:27" ht="183" thickBot="1" x14ac:dyDescent="0.2">
      <c r="A290" s="34" t="str">
        <f>_xlfn.XLOOKUP(C290,'[1]SIG Job Families &amp; Descriptions'!F:F,'[1]SIG Job Families &amp; Descriptions'!B:B)</f>
        <v>Marketing</v>
      </c>
      <c r="B290" s="34" t="str">
        <f>_xlfn.XLOOKUP(C290,'[1]SIG Job Families &amp; Descriptions'!F:F,'[1]SIG Job Families &amp; Descriptions'!D:D)</f>
        <v>General Marketing</v>
      </c>
      <c r="C290" s="34" t="s">
        <v>88</v>
      </c>
      <c r="D290" s="30" t="str">
        <f t="shared" si="8"/>
        <v>AMK</v>
      </c>
      <c r="E290" s="31" t="str">
        <f>_xlfn.XLOOKUP(C290,'[1]SIG Job Families &amp; Descriptions'!F:F,'[1]SIG Job Families &amp; Descriptions'!A:A)</f>
        <v>AMK000</v>
      </c>
      <c r="F290" s="32" t="s">
        <v>29</v>
      </c>
      <c r="G290" s="33" t="s">
        <v>34</v>
      </c>
      <c r="H290" s="34" t="str">
        <f>F290&amp;"-"&amp;G290</f>
        <v>Management-12</v>
      </c>
      <c r="I290" s="35" t="str">
        <f>IF(ISERROR(_xlfn.XLOOKUP(H290,'[1]SIG Level Structure'!D:D,'[1]SIG Level Structure'!D:D)),"0","1")</f>
        <v>1</v>
      </c>
      <c r="J290" s="36" t="str">
        <f>_xlfn.XLOOKUP($H290,'[1]SIG Level Structure'!$D:$D,'[1]SIG Level Structure'!F:F)</f>
        <v>M2</v>
      </c>
      <c r="K290" s="37" t="str">
        <f>E290&amp;"-"&amp;J290&amp;"-"&amp;G290</f>
        <v>AMK000-M2-12</v>
      </c>
      <c r="L290" s="37" t="str">
        <f>IFERROR(D290&amp;"-"&amp;LEFT(J290,1),"--")</f>
        <v>AMK-M</v>
      </c>
      <c r="M290" s="37" t="str">
        <f>VLOOKUP(L290,'[1]Compatible JC'!$A:$A,1,FALSE)</f>
        <v>AMK-M</v>
      </c>
      <c r="N290" s="37" t="str">
        <f>IFERROR(_xlfn.XLOOKUP(H290,'[1]SIG Level Structure'!D:D,'[1]SIG Level Structure'!C:C),"--")</f>
        <v>Manager</v>
      </c>
      <c r="O290" s="38" t="str">
        <f>IFERROR(TRIM(N290&amp;" "&amp;C290),"--")</f>
        <v>Manager General Marketing</v>
      </c>
      <c r="P290" s="22" t="str">
        <f>_xlfn.XLOOKUP(E290,'[1]SIG Job Families &amp; Descriptions'!A:A,'[1]SIG Job Families &amp; Descriptions'!G:G)</f>
        <v xml:space="preserve">Designs, develops and implements marketing programs and/or pricing strategies to support the organization's products, services or market sector. Uses specific marketing strategies and media (e.g., print, broadcast, digital) to launch and position products and services in a sector. Identifies and implements marketing strategies and programs in collaboration with sales and technical teams. Responsibilities are typically within the marketing function as a generalist or in a combination of disciplines. 
</v>
      </c>
      <c r="Q290" s="39" t="str">
        <f>_xlfn.XLOOKUP(E290,'[1]2022 GI Position Descriptions'!E:E,'[1]2022 GI Position Descriptions'!G:G)</f>
        <v>Designs, develops and implements marketing programs and/or pricing strategies to support the organization's products, services or market sector | Uses specific marketing strategies and media (e.g., print, broadcast, digital) to launch and position products and services in a sector | Identifies and implements marketing strategies and programs in collaboration with sales and technical teams | Responsibilities are within the Marketing Function as a generalist or in a combination of Disciplines</v>
      </c>
      <c r="R290" s="22" t="str">
        <f>IF(LEFT(J290,1)="E","EX",LEFT(J290,1))</f>
        <v>M</v>
      </c>
      <c r="S290" s="22" t="str">
        <f>_xlfn.XLOOKUP($R290,'[1]Career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290" s="22" t="str">
        <f>J290</f>
        <v>M2</v>
      </c>
      <c r="U290" s="40" t="str">
        <f t="shared" si="9"/>
        <v>M2</v>
      </c>
      <c r="V290" s="22" t="str">
        <f>_xlfn.XLOOKUP(T290,'[1]Career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290" s="41" t="str">
        <f>J290&amp;"-"&amp;G290</f>
        <v>M2-12</v>
      </c>
      <c r="X290" s="42" t="str">
        <f>G290</f>
        <v>12</v>
      </c>
      <c r="Y290" s="22" t="str">
        <f>_xlfn.XLOOKUP(W290,'[1]Career Bands &amp; Levels'!A:A,'[1]Career Bands &amp; Levels'!C:C,"No Grade Differentiator")</f>
        <v xml:space="preserve">●	Accountable for results of a small team of employees		
●	Exercises limited management authority; sets employee performance objectives, conducts performance reviews and recommends pay actions		
●	Defines team operating standards and ensures essential procedures are followed based on knowledge of own discipline		</v>
      </c>
      <c r="Z290" s="43" t="str">
        <f>IFERROR(O290&amp;" - "&amp;G290,"--")</f>
        <v>Manager General Marketing - 12</v>
      </c>
      <c r="AA290" s="44" t="str">
        <f>_xlfn.XLOOKUP($H290,'[1]SIG Qualifications Input'!$D:$D,'[1]SIG Qualifications Input'!$H:$H)</f>
        <v>University degree or equivalent and 7-10 years of work experience or equivalent
Experience in managing mixed-level team(s) of professionals and subordinate managers</v>
      </c>
    </row>
    <row r="291" spans="1:27" ht="169" thickBot="1" x14ac:dyDescent="0.2">
      <c r="A291" s="34" t="str">
        <f>_xlfn.XLOOKUP(C291,'[1]SIG Job Families &amp; Descriptions'!F:F,'[1]SIG Job Families &amp; Descriptions'!B:B)</f>
        <v>Marketing</v>
      </c>
      <c r="B291" s="34" t="str">
        <f>_xlfn.XLOOKUP(C291,'[1]SIG Job Families &amp; Descriptions'!F:F,'[1]SIG Job Families &amp; Descriptions'!D:D)</f>
        <v>General Marketing</v>
      </c>
      <c r="C291" s="34" t="s">
        <v>89</v>
      </c>
      <c r="D291" s="30" t="str">
        <f t="shared" si="8"/>
        <v>AMJ</v>
      </c>
      <c r="E291" s="31" t="str">
        <f>_xlfn.XLOOKUP(C291,'[1]SIG Job Families &amp; Descriptions'!F:F,'[1]SIG Job Families &amp; Descriptions'!A:A)</f>
        <v>AMJ000</v>
      </c>
      <c r="F291" s="32" t="s">
        <v>32</v>
      </c>
      <c r="G291" s="33" t="s">
        <v>34</v>
      </c>
      <c r="H291" s="34" t="str">
        <f>F291&amp;"-"&amp;G291</f>
        <v>Professional-12</v>
      </c>
      <c r="I291" s="35" t="str">
        <f>IF(ISERROR(_xlfn.XLOOKUP(H291,'[1]SIG Level Structure'!D:D,'[1]SIG Level Structure'!D:D)),"0","1")</f>
        <v>1</v>
      </c>
      <c r="J291" s="36" t="str">
        <f>_xlfn.XLOOKUP($H291,'[1]SIG Level Structure'!$D:$D,'[1]SIG Level Structure'!F:F)</f>
        <v>P3</v>
      </c>
      <c r="K291" s="37" t="str">
        <f>E291&amp;"-"&amp;J291&amp;"-"&amp;G291</f>
        <v>AMJ000-P3-12</v>
      </c>
      <c r="L291" s="37" t="str">
        <f>IFERROR(D291&amp;"-"&amp;LEFT(J291,1),"--")</f>
        <v>AMJ-P</v>
      </c>
      <c r="M291" s="37" t="str">
        <f>VLOOKUP(L291,'[1]Compatible JC'!$A:$A,1,FALSE)</f>
        <v>AMJ-P</v>
      </c>
      <c r="N291" s="37" t="str">
        <f>IFERROR(_xlfn.XLOOKUP(H291,'[1]SIG Level Structure'!D:D,'[1]SIG Level Structure'!C:C),"--")</f>
        <v>Expert</v>
      </c>
      <c r="O291" s="38" t="str">
        <f>IFERROR(TRIM(N291&amp;" "&amp;C291),"--")</f>
        <v>Expert Business Development</v>
      </c>
      <c r="P291" s="22" t="str">
        <f>_xlfn.XLOOKUP(E291,'[1]SIG Job Families &amp; Descriptions'!A:A,'[1]SIG Job Families &amp; Descriptions'!G:G)</f>
        <v xml:space="preserve">Designs, develops and implements marketing programs and/or pricing strategies to support the organization's products, services or market sector. Uses specific marketing strategies and media (e.g., print, broadcast, digital) to launch and position products and services in a sector. Identifies and implements marketing strategies and programs in collaboration with sales and technical teams. Responsibilities are typically within the marketing function as a generalist or in a combination of disciplines. 
</v>
      </c>
      <c r="Q291" s="39" t="str">
        <f>_xlfn.XLOOKUP(E291,'[1]2022 GI Position Descriptions'!E:E,'[1]2022 GI Position Descriptions'!G:G)</f>
        <v>Designs, develops and implements marketing programs and/or pricing strategies to support the organization's products, services or market sector | Designs, develops and implements sales programs to meet the organization's business objectives | Plans, directs and coordinates the efforts of marketing, sales, buying and merchandising toward the accomplishment of objectives</v>
      </c>
      <c r="R291" s="22" t="str">
        <f>IF(LEFT(J291,1)="E","EX",LEFT(J291,1))</f>
        <v>P</v>
      </c>
      <c r="S291" s="22" t="str">
        <f>_xlfn.XLOOKUP($R291,'[1]Career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91" s="22" t="str">
        <f>J291</f>
        <v>P3</v>
      </c>
      <c r="U291" s="40" t="str">
        <f t="shared" si="9"/>
        <v>P3</v>
      </c>
      <c r="V291" s="22" t="str">
        <f>_xlfn.XLOOKUP(T291,'[1]Career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291" s="41" t="str">
        <f>J291&amp;"-"&amp;G291</f>
        <v>P3-12</v>
      </c>
      <c r="X291" s="42" t="str">
        <f>G291</f>
        <v>12</v>
      </c>
      <c r="Y291" s="22" t="str">
        <f>_xlfn.XLOOKUP(W291,'[1]Career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291" s="43" t="str">
        <f>IFERROR(O291&amp;" - "&amp;G291,"--")</f>
        <v>Expert Business Development - 12</v>
      </c>
      <c r="AA291" s="44" t="str">
        <f>_xlfn.XLOOKUP($H291,'[1]SIG Qualifications Input'!$D:$D,'[1]SIG Qualifications Input'!$H:$H)</f>
        <v>University degree or equivalent and 4-8 years of work experience or equivalent, 
Initial experience in functionally leading (sub-) projects</v>
      </c>
    </row>
    <row r="292" spans="1:27" ht="169" thickBot="1" x14ac:dyDescent="0.2">
      <c r="A292" s="34" t="str">
        <f>_xlfn.XLOOKUP(C292,'[1]SIG Job Families &amp; Descriptions'!F:F,'[1]SIG Job Families &amp; Descriptions'!B:B)</f>
        <v>Marketing</v>
      </c>
      <c r="B292" s="34" t="str">
        <f>_xlfn.XLOOKUP(C292,'[1]SIG Job Families &amp; Descriptions'!F:F,'[1]SIG Job Families &amp; Descriptions'!D:D)</f>
        <v>General Marketing</v>
      </c>
      <c r="C292" s="34" t="s">
        <v>89</v>
      </c>
      <c r="D292" s="30" t="str">
        <f t="shared" si="8"/>
        <v>AMJ</v>
      </c>
      <c r="E292" s="31" t="str">
        <f>_xlfn.XLOOKUP(C292,'[1]SIG Job Families &amp; Descriptions'!F:F,'[1]SIG Job Families &amp; Descriptions'!A:A)</f>
        <v>AMJ000</v>
      </c>
      <c r="F292" s="32" t="s">
        <v>32</v>
      </c>
      <c r="G292" s="33" t="s">
        <v>35</v>
      </c>
      <c r="H292" s="34" t="str">
        <f>F292&amp;"-"&amp;G292</f>
        <v>Professional-11</v>
      </c>
      <c r="I292" s="35" t="str">
        <f>IF(ISERROR(_xlfn.XLOOKUP(H292,'[1]SIG Level Structure'!D:D,'[1]SIG Level Structure'!D:D)),"0","1")</f>
        <v>1</v>
      </c>
      <c r="J292" s="36" t="str">
        <f>_xlfn.XLOOKUP($H292,'[1]SIG Level Structure'!$D:$D,'[1]SIG Level Structure'!F:F)</f>
        <v>P3</v>
      </c>
      <c r="K292" s="37" t="str">
        <f>E292&amp;"-"&amp;J292&amp;"-"&amp;G292</f>
        <v>AMJ000-P3-11</v>
      </c>
      <c r="L292" s="37" t="str">
        <f>IFERROR(D292&amp;"-"&amp;LEFT(J292,1),"--")</f>
        <v>AMJ-P</v>
      </c>
      <c r="M292" s="37" t="str">
        <f>VLOOKUP(L292,'[1]Compatible JC'!$A:$A,1,FALSE)</f>
        <v>AMJ-P</v>
      </c>
      <c r="N292" s="37" t="str">
        <f>IFERROR(_xlfn.XLOOKUP(H292,'[1]SIG Level Structure'!D:D,'[1]SIG Level Structure'!C:C),"--")</f>
        <v>Expert</v>
      </c>
      <c r="O292" s="38" t="str">
        <f>IFERROR(TRIM(N292&amp;" "&amp;C292),"--")</f>
        <v>Expert Business Development</v>
      </c>
      <c r="P292" s="22" t="str">
        <f>_xlfn.XLOOKUP(E292,'[1]SIG Job Families &amp; Descriptions'!A:A,'[1]SIG Job Families &amp; Descriptions'!G:G)</f>
        <v xml:space="preserve">Designs, develops and implements marketing programs and/or pricing strategies to support the organization's products, services or market sector. Uses specific marketing strategies and media (e.g., print, broadcast, digital) to launch and position products and services in a sector. Identifies and implements marketing strategies and programs in collaboration with sales and technical teams. Responsibilities are typically within the marketing function as a generalist or in a combination of disciplines. 
</v>
      </c>
      <c r="Q292" s="39" t="str">
        <f>_xlfn.XLOOKUP(E292,'[1]2022 GI Position Descriptions'!E:E,'[1]2022 GI Position Descriptions'!G:G)</f>
        <v>Designs, develops and implements marketing programs and/or pricing strategies to support the organization's products, services or market sector | Designs, develops and implements sales programs to meet the organization's business objectives | Plans, directs and coordinates the efforts of marketing, sales, buying and merchandising toward the accomplishment of objectives</v>
      </c>
      <c r="R292" s="22" t="str">
        <f>IF(LEFT(J292,1)="E","EX",LEFT(J292,1))</f>
        <v>P</v>
      </c>
      <c r="S292" s="22" t="str">
        <f>_xlfn.XLOOKUP($R292,'[1]Career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92" s="22" t="str">
        <f>J292</f>
        <v>P3</v>
      </c>
      <c r="U292" s="40" t="str">
        <f t="shared" si="9"/>
        <v>P3</v>
      </c>
      <c r="V292" s="22" t="str">
        <f>_xlfn.XLOOKUP(T292,'[1]Career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292" s="41" t="str">
        <f>J292&amp;"-"&amp;G292</f>
        <v>P3-11</v>
      </c>
      <c r="X292" s="42" t="str">
        <f>G292</f>
        <v>11</v>
      </c>
      <c r="Y292" s="22" t="str">
        <f>_xlfn.XLOOKUP(W292,'[1]Career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292" s="43" t="str">
        <f>IFERROR(O292&amp;" - "&amp;G292,"--")</f>
        <v>Expert Business Development - 11</v>
      </c>
      <c r="AA292" s="44" t="str">
        <f>_xlfn.XLOOKUP($H292,'[1]SIG Qualifications Input'!$D:$D,'[1]SIG Qualifications Input'!$H:$H)</f>
        <v>University degree or equivalent and 4-8 years of work experience or equivalent, 
Initial experience in functionally leading (sub-) projects</v>
      </c>
    </row>
    <row r="293" spans="1:27" ht="169" thickBot="1" x14ac:dyDescent="0.2">
      <c r="A293" s="34" t="str">
        <f>_xlfn.XLOOKUP(C293,'[1]SIG Job Families &amp; Descriptions'!F:F,'[1]SIG Job Families &amp; Descriptions'!B:B)</f>
        <v>Marketing</v>
      </c>
      <c r="B293" s="34" t="str">
        <f>_xlfn.XLOOKUP(C293,'[1]SIG Job Families &amp; Descriptions'!F:F,'[1]SIG Job Families &amp; Descriptions'!D:D)</f>
        <v>General Marketing</v>
      </c>
      <c r="C293" s="34" t="s">
        <v>88</v>
      </c>
      <c r="D293" s="30" t="str">
        <f t="shared" si="8"/>
        <v>AMK</v>
      </c>
      <c r="E293" s="31" t="str">
        <f>_xlfn.XLOOKUP(C293,'[1]SIG Job Families &amp; Descriptions'!F:F,'[1]SIG Job Families &amp; Descriptions'!A:A)</f>
        <v>AMK000</v>
      </c>
      <c r="F293" s="32" t="s">
        <v>32</v>
      </c>
      <c r="G293" s="33" t="s">
        <v>34</v>
      </c>
      <c r="H293" s="34" t="str">
        <f>F293&amp;"-"&amp;G293</f>
        <v>Professional-12</v>
      </c>
      <c r="I293" s="35" t="str">
        <f>IF(ISERROR(_xlfn.XLOOKUP(H293,'[1]SIG Level Structure'!D:D,'[1]SIG Level Structure'!D:D)),"0","1")</f>
        <v>1</v>
      </c>
      <c r="J293" s="36" t="str">
        <f>_xlfn.XLOOKUP($H293,'[1]SIG Level Structure'!$D:$D,'[1]SIG Level Structure'!F:F)</f>
        <v>P3</v>
      </c>
      <c r="K293" s="37" t="str">
        <f>E293&amp;"-"&amp;J293&amp;"-"&amp;G293</f>
        <v>AMK000-P3-12</v>
      </c>
      <c r="L293" s="37" t="str">
        <f>IFERROR(D293&amp;"-"&amp;LEFT(J293,1),"--")</f>
        <v>AMK-P</v>
      </c>
      <c r="M293" s="37" t="str">
        <f>VLOOKUP(L293,'[1]Compatible JC'!$A:$A,1,FALSE)</f>
        <v>AMK-P</v>
      </c>
      <c r="N293" s="37" t="str">
        <f>IFERROR(_xlfn.XLOOKUP(H293,'[1]SIG Level Structure'!D:D,'[1]SIG Level Structure'!C:C),"--")</f>
        <v>Expert</v>
      </c>
      <c r="O293" s="38" t="str">
        <f>IFERROR(TRIM(N293&amp;" "&amp;C293),"--")</f>
        <v>Expert General Marketing</v>
      </c>
      <c r="P293" s="22" t="str">
        <f>_xlfn.XLOOKUP(E293,'[1]SIG Job Families &amp; Descriptions'!A:A,'[1]SIG Job Families &amp; Descriptions'!G:G)</f>
        <v xml:space="preserve">Designs, develops and implements marketing programs and/or pricing strategies to support the organization's products, services or market sector. Uses specific marketing strategies and media (e.g., print, broadcast, digital) to launch and position products and services in a sector. Identifies and implements marketing strategies and programs in collaboration with sales and technical teams. Responsibilities are typically within the marketing function as a generalist or in a combination of disciplines. 
</v>
      </c>
      <c r="Q293" s="39" t="str">
        <f>_xlfn.XLOOKUP(E293,'[1]2022 GI Position Descriptions'!E:E,'[1]2022 GI Position Descriptions'!G:G)</f>
        <v>Designs, develops and implements marketing programs and/or pricing strategies to support the organization's products, services or market sector | Uses specific marketing strategies and media (e.g., print, broadcast, digital) to launch and position products and services in a sector | Identifies and implements marketing strategies and programs in collaboration with sales and technical teams | Responsibilities are within the Marketing Function as a generalist or in a combination of Disciplines</v>
      </c>
      <c r="R293" s="22" t="str">
        <f>IF(LEFT(J293,1)="E","EX",LEFT(J293,1))</f>
        <v>P</v>
      </c>
      <c r="S293" s="22" t="str">
        <f>_xlfn.XLOOKUP($R293,'[1]Career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93" s="22" t="str">
        <f>J293</f>
        <v>P3</v>
      </c>
      <c r="U293" s="40" t="str">
        <f t="shared" si="9"/>
        <v>P3</v>
      </c>
      <c r="V293" s="22" t="str">
        <f>_xlfn.XLOOKUP(T293,'[1]Career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293" s="41" t="str">
        <f>J293&amp;"-"&amp;G293</f>
        <v>P3-12</v>
      </c>
      <c r="X293" s="42" t="str">
        <f>G293</f>
        <v>12</v>
      </c>
      <c r="Y293" s="22" t="str">
        <f>_xlfn.XLOOKUP(W293,'[1]Career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293" s="43" t="str">
        <f>IFERROR(O293&amp;" - "&amp;G293,"--")</f>
        <v>Expert General Marketing - 12</v>
      </c>
      <c r="AA293" s="44" t="str">
        <f>_xlfn.XLOOKUP($H293,'[1]SIG Qualifications Input'!$D:$D,'[1]SIG Qualifications Input'!$H:$H)</f>
        <v>University degree or equivalent and 4-8 years of work experience or equivalent, 
Initial experience in functionally leading (sub-) projects</v>
      </c>
    </row>
    <row r="294" spans="1:27" ht="169" thickBot="1" x14ac:dyDescent="0.2">
      <c r="A294" s="34" t="str">
        <f>_xlfn.XLOOKUP(C294,'[1]SIG Job Families &amp; Descriptions'!F:F,'[1]SIG Job Families &amp; Descriptions'!B:B)</f>
        <v>Marketing</v>
      </c>
      <c r="B294" s="34" t="str">
        <f>_xlfn.XLOOKUP(C294,'[1]SIG Job Families &amp; Descriptions'!F:F,'[1]SIG Job Families &amp; Descriptions'!D:D)</f>
        <v>General Marketing</v>
      </c>
      <c r="C294" s="34" t="s">
        <v>88</v>
      </c>
      <c r="D294" s="30" t="str">
        <f t="shared" si="8"/>
        <v>AMK</v>
      </c>
      <c r="E294" s="31" t="str">
        <f>_xlfn.XLOOKUP(C294,'[1]SIG Job Families &amp; Descriptions'!F:F,'[1]SIG Job Families &amp; Descriptions'!A:A)</f>
        <v>AMK000</v>
      </c>
      <c r="F294" s="32" t="s">
        <v>32</v>
      </c>
      <c r="G294" s="33" t="s">
        <v>35</v>
      </c>
      <c r="H294" s="34" t="str">
        <f>F294&amp;"-"&amp;G294</f>
        <v>Professional-11</v>
      </c>
      <c r="I294" s="35" t="str">
        <f>IF(ISERROR(_xlfn.XLOOKUP(H294,'[1]SIG Level Structure'!D:D,'[1]SIG Level Structure'!D:D)),"0","1")</f>
        <v>1</v>
      </c>
      <c r="J294" s="36" t="str">
        <f>_xlfn.XLOOKUP($H294,'[1]SIG Level Structure'!$D:$D,'[1]SIG Level Structure'!F:F)</f>
        <v>P3</v>
      </c>
      <c r="K294" s="37" t="str">
        <f>E294&amp;"-"&amp;J294&amp;"-"&amp;G294</f>
        <v>AMK000-P3-11</v>
      </c>
      <c r="L294" s="37" t="str">
        <f>IFERROR(D294&amp;"-"&amp;LEFT(J294,1),"--")</f>
        <v>AMK-P</v>
      </c>
      <c r="M294" s="37" t="str">
        <f>VLOOKUP(L294,'[1]Compatible JC'!$A:$A,1,FALSE)</f>
        <v>AMK-P</v>
      </c>
      <c r="N294" s="37" t="str">
        <f>IFERROR(_xlfn.XLOOKUP(H294,'[1]SIG Level Structure'!D:D,'[1]SIG Level Structure'!C:C),"--")</f>
        <v>Expert</v>
      </c>
      <c r="O294" s="38" t="str">
        <f>IFERROR(TRIM(N294&amp;" "&amp;C294),"--")</f>
        <v>Expert General Marketing</v>
      </c>
      <c r="P294" s="22" t="str">
        <f>_xlfn.XLOOKUP(E294,'[1]SIG Job Families &amp; Descriptions'!A:A,'[1]SIG Job Families &amp; Descriptions'!G:G)</f>
        <v xml:space="preserve">Designs, develops and implements marketing programs and/or pricing strategies to support the organization's products, services or market sector. Uses specific marketing strategies and media (e.g., print, broadcast, digital) to launch and position products and services in a sector. Identifies and implements marketing strategies and programs in collaboration with sales and technical teams. Responsibilities are typically within the marketing function as a generalist or in a combination of disciplines. 
</v>
      </c>
      <c r="Q294" s="39" t="str">
        <f>_xlfn.XLOOKUP(E294,'[1]2022 GI Position Descriptions'!E:E,'[1]2022 GI Position Descriptions'!G:G)</f>
        <v>Designs, develops and implements marketing programs and/or pricing strategies to support the organization's products, services or market sector | Uses specific marketing strategies and media (e.g., print, broadcast, digital) to launch and position products and services in a sector | Identifies and implements marketing strategies and programs in collaboration with sales and technical teams | Responsibilities are within the Marketing Function as a generalist or in a combination of Disciplines</v>
      </c>
      <c r="R294" s="22" t="str">
        <f>IF(LEFT(J294,1)="E","EX",LEFT(J294,1))</f>
        <v>P</v>
      </c>
      <c r="S294" s="22" t="str">
        <f>_xlfn.XLOOKUP($R294,'[1]Career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94" s="22" t="str">
        <f>J294</f>
        <v>P3</v>
      </c>
      <c r="U294" s="40" t="str">
        <f t="shared" si="9"/>
        <v>P3</v>
      </c>
      <c r="V294" s="22" t="str">
        <f>_xlfn.XLOOKUP(T294,'[1]Career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294" s="41" t="str">
        <f>J294&amp;"-"&amp;G294</f>
        <v>P3-11</v>
      </c>
      <c r="X294" s="42" t="str">
        <f>G294</f>
        <v>11</v>
      </c>
      <c r="Y294" s="22" t="str">
        <f>_xlfn.XLOOKUP(W294,'[1]Career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294" s="43" t="str">
        <f>IFERROR(O294&amp;" - "&amp;G294,"--")</f>
        <v>Expert General Marketing - 11</v>
      </c>
      <c r="AA294" s="44" t="str">
        <f>_xlfn.XLOOKUP($H294,'[1]SIG Qualifications Input'!$D:$D,'[1]SIG Qualifications Input'!$H:$H)</f>
        <v>University degree or equivalent and 4-8 years of work experience or equivalent, 
Initial experience in functionally leading (sub-) projects</v>
      </c>
    </row>
    <row r="295" spans="1:27" ht="169" thickBot="1" x14ac:dyDescent="0.2">
      <c r="A295" s="34" t="str">
        <f>_xlfn.XLOOKUP(C295,'[1]SIG Job Families &amp; Descriptions'!F:F,'[1]SIG Job Families &amp; Descriptions'!B:B)</f>
        <v>Marketing</v>
      </c>
      <c r="B295" s="34" t="str">
        <f>_xlfn.XLOOKUP(C295,'[1]SIG Job Families &amp; Descriptions'!F:F,'[1]SIG Job Families &amp; Descriptions'!D:D)</f>
        <v>General Marketing</v>
      </c>
      <c r="C295" s="34" t="s">
        <v>88</v>
      </c>
      <c r="D295" s="30" t="str">
        <f t="shared" si="8"/>
        <v>AMK</v>
      </c>
      <c r="E295" s="31" t="str">
        <f>_xlfn.XLOOKUP(C295,'[1]SIG Job Families &amp; Descriptions'!F:F,'[1]SIG Job Families &amp; Descriptions'!A:A)</f>
        <v>AMK000</v>
      </c>
      <c r="F295" s="32" t="s">
        <v>32</v>
      </c>
      <c r="G295" s="33" t="s">
        <v>36</v>
      </c>
      <c r="H295" s="34" t="str">
        <f>F295&amp;"-"&amp;G295</f>
        <v>Professional-10</v>
      </c>
      <c r="I295" s="35" t="str">
        <f>IF(ISERROR(_xlfn.XLOOKUP(H295,'[1]SIG Level Structure'!D:D,'[1]SIG Level Structure'!D:D)),"0","1")</f>
        <v>1</v>
      </c>
      <c r="J295" s="36" t="str">
        <f>_xlfn.XLOOKUP($H295,'[1]SIG Level Structure'!$D:$D,'[1]SIG Level Structure'!F:F)</f>
        <v>P2</v>
      </c>
      <c r="K295" s="37" t="str">
        <f>E295&amp;"-"&amp;J295&amp;"-"&amp;G295</f>
        <v>AMK000-P2-10</v>
      </c>
      <c r="L295" s="37" t="str">
        <f>IFERROR(D295&amp;"-"&amp;LEFT(J295,1),"--")</f>
        <v>AMK-P</v>
      </c>
      <c r="M295" s="37" t="str">
        <f>VLOOKUP(L295,'[1]Compatible JC'!$A:$A,1,FALSE)</f>
        <v>AMK-P</v>
      </c>
      <c r="N295" s="37" t="str">
        <f>IFERROR(_xlfn.XLOOKUP(H295,'[1]SIG Level Structure'!D:D,'[1]SIG Level Structure'!C:C),"--")</f>
        <v>Senior Specialist</v>
      </c>
      <c r="O295" s="38" t="str">
        <f>IFERROR(TRIM(N295&amp;" "&amp;C295),"--")</f>
        <v>Senior Specialist General Marketing</v>
      </c>
      <c r="P295" s="22" t="str">
        <f>_xlfn.XLOOKUP(E295,'[1]SIG Job Families &amp; Descriptions'!A:A,'[1]SIG Job Families &amp; Descriptions'!G:G)</f>
        <v xml:space="preserve">Designs, develops and implements marketing programs and/or pricing strategies to support the organization's products, services or market sector. Uses specific marketing strategies and media (e.g., print, broadcast, digital) to launch and position products and services in a sector. Identifies and implements marketing strategies and programs in collaboration with sales and technical teams. Responsibilities are typically within the marketing function as a generalist or in a combination of disciplines. 
</v>
      </c>
      <c r="Q295" s="39" t="str">
        <f>_xlfn.XLOOKUP(E295,'[1]2022 GI Position Descriptions'!E:E,'[1]2022 GI Position Descriptions'!G:G)</f>
        <v>Designs, develops and implements marketing programs and/or pricing strategies to support the organization's products, services or market sector | Uses specific marketing strategies and media (e.g., print, broadcast, digital) to launch and position products and services in a sector | Identifies and implements marketing strategies and programs in collaboration with sales and technical teams | Responsibilities are within the Marketing Function as a generalist or in a combination of Disciplines</v>
      </c>
      <c r="R295" s="22" t="str">
        <f>IF(LEFT(J295,1)="E","EX",LEFT(J295,1))</f>
        <v>P</v>
      </c>
      <c r="S295" s="22" t="str">
        <f>_xlfn.XLOOKUP($R295,'[1]Career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95" s="22" t="str">
        <f>J295</f>
        <v>P2</v>
      </c>
      <c r="U295" s="40" t="str">
        <f t="shared" si="9"/>
        <v>P2</v>
      </c>
      <c r="V295" s="22" t="str">
        <f>_xlfn.XLOOKUP(T295,'[1]Career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295" s="41" t="str">
        <f>J295&amp;"-"&amp;G295</f>
        <v>P2-10</v>
      </c>
      <c r="X295" s="42" t="str">
        <f>G295</f>
        <v>10</v>
      </c>
      <c r="Y295" s="22" t="str">
        <f>_xlfn.XLOOKUP(W295,'[1]Career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295" s="43" t="str">
        <f>IFERROR(O295&amp;" - "&amp;G295,"--")</f>
        <v>Senior Specialist General Marketing - 10</v>
      </c>
      <c r="AA295" s="44" t="str">
        <f>_xlfn.XLOOKUP($H295,'[1]SIG Qualifications Input'!$D:$D,'[1]SIG Qualifications Input'!$H:$H)</f>
        <v>University degree or equivalent and 2-4 years of work experience or equivalent</v>
      </c>
    </row>
    <row r="296" spans="1:27" ht="169" thickBot="1" x14ac:dyDescent="0.2">
      <c r="A296" s="34" t="str">
        <f>_xlfn.XLOOKUP(C296,'[1]SIG Job Families &amp; Descriptions'!F:F,'[1]SIG Job Families &amp; Descriptions'!B:B)</f>
        <v>Marketing</v>
      </c>
      <c r="B296" s="34" t="str">
        <f>_xlfn.XLOOKUP(C296,'[1]SIG Job Families &amp; Descriptions'!F:F,'[1]SIG Job Families &amp; Descriptions'!D:D)</f>
        <v>General Marketing</v>
      </c>
      <c r="C296" s="34" t="s">
        <v>88</v>
      </c>
      <c r="D296" s="30" t="str">
        <f t="shared" si="8"/>
        <v>AMK</v>
      </c>
      <c r="E296" s="31" t="str">
        <f>_xlfn.XLOOKUP(C296,'[1]SIG Job Families &amp; Descriptions'!F:F,'[1]SIG Job Families &amp; Descriptions'!A:A)</f>
        <v>AMK000</v>
      </c>
      <c r="F296" s="32" t="s">
        <v>32</v>
      </c>
      <c r="G296" s="33" t="s">
        <v>37</v>
      </c>
      <c r="H296" s="34" t="str">
        <f>F296&amp;"-"&amp;G296</f>
        <v>Professional-09</v>
      </c>
      <c r="I296" s="35" t="str">
        <f>IF(ISERROR(_xlfn.XLOOKUP(H296,'[1]SIG Level Structure'!D:D,'[1]SIG Level Structure'!D:D)),"0","1")</f>
        <v>1</v>
      </c>
      <c r="J296" s="36" t="str">
        <f>_xlfn.XLOOKUP($H296,'[1]SIG Level Structure'!$D:$D,'[1]SIG Level Structure'!F:F)</f>
        <v>P2</v>
      </c>
      <c r="K296" s="37" t="str">
        <f>E296&amp;"-"&amp;J296&amp;"-"&amp;G296</f>
        <v>AMK000-P2-09</v>
      </c>
      <c r="L296" s="37" t="str">
        <f>IFERROR(D296&amp;"-"&amp;LEFT(J296,1),"--")</f>
        <v>AMK-P</v>
      </c>
      <c r="M296" s="37" t="str">
        <f>VLOOKUP(L296,'[1]Compatible JC'!$A:$A,1,FALSE)</f>
        <v>AMK-P</v>
      </c>
      <c r="N296" s="37" t="str">
        <f>IFERROR(_xlfn.XLOOKUP(H296,'[1]SIG Level Structure'!D:D,'[1]SIG Level Structure'!C:C),"--")</f>
        <v>Senior Specialist</v>
      </c>
      <c r="O296" s="38" t="str">
        <f>IFERROR(TRIM(N296&amp;" "&amp;C296),"--")</f>
        <v>Senior Specialist General Marketing</v>
      </c>
      <c r="P296" s="22" t="str">
        <f>_xlfn.XLOOKUP(E296,'[1]SIG Job Families &amp; Descriptions'!A:A,'[1]SIG Job Families &amp; Descriptions'!G:G)</f>
        <v xml:space="preserve">Designs, develops and implements marketing programs and/or pricing strategies to support the organization's products, services or market sector. Uses specific marketing strategies and media (e.g., print, broadcast, digital) to launch and position products and services in a sector. Identifies and implements marketing strategies and programs in collaboration with sales and technical teams. Responsibilities are typically within the marketing function as a generalist or in a combination of disciplines. 
</v>
      </c>
      <c r="Q296" s="39" t="str">
        <f>_xlfn.XLOOKUP(E296,'[1]2022 GI Position Descriptions'!E:E,'[1]2022 GI Position Descriptions'!G:G)</f>
        <v>Designs, develops and implements marketing programs and/or pricing strategies to support the organization's products, services or market sector | Uses specific marketing strategies and media (e.g., print, broadcast, digital) to launch and position products and services in a sector | Identifies and implements marketing strategies and programs in collaboration with sales and technical teams | Responsibilities are within the Marketing Function as a generalist or in a combination of Disciplines</v>
      </c>
      <c r="R296" s="22" t="str">
        <f>IF(LEFT(J296,1)="E","EX",LEFT(J296,1))</f>
        <v>P</v>
      </c>
      <c r="S296" s="22" t="str">
        <f>_xlfn.XLOOKUP($R296,'[1]Career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96" s="22" t="str">
        <f>J296</f>
        <v>P2</v>
      </c>
      <c r="U296" s="40" t="str">
        <f t="shared" si="9"/>
        <v>P2</v>
      </c>
      <c r="V296" s="22" t="str">
        <f>_xlfn.XLOOKUP(T296,'[1]Career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296" s="41" t="str">
        <f>J296&amp;"-"&amp;G296</f>
        <v>P2-09</v>
      </c>
      <c r="X296" s="42" t="str">
        <f>G296</f>
        <v>09</v>
      </c>
      <c r="Y296" s="22" t="str">
        <f>_xlfn.XLOOKUP(W296,'[1]Career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296" s="43" t="str">
        <f>IFERROR(O296&amp;" - "&amp;G296,"--")</f>
        <v>Senior Specialist General Marketing - 09</v>
      </c>
      <c r="AA296" s="44" t="str">
        <f>_xlfn.XLOOKUP($H296,'[1]SIG Qualifications Input'!$D:$D,'[1]SIG Qualifications Input'!$H:$H)</f>
        <v>University degree or equivalent and 2-4 years of work experience or equivalent</v>
      </c>
    </row>
    <row r="297" spans="1:27" ht="169" thickBot="1" x14ac:dyDescent="0.2">
      <c r="A297" s="34" t="str">
        <f>_xlfn.XLOOKUP(C297,'[1]SIG Job Families &amp; Descriptions'!F:F,'[1]SIG Job Families &amp; Descriptions'!B:B)</f>
        <v>Marketing</v>
      </c>
      <c r="B297" s="34" t="str">
        <f>_xlfn.XLOOKUP(C297,'[1]SIG Job Families &amp; Descriptions'!F:F,'[1]SIG Job Families &amp; Descriptions'!D:D)</f>
        <v>General Marketing</v>
      </c>
      <c r="C297" s="34" t="s">
        <v>88</v>
      </c>
      <c r="D297" s="30" t="str">
        <f t="shared" si="8"/>
        <v>AMK</v>
      </c>
      <c r="E297" s="31" t="str">
        <f>_xlfn.XLOOKUP(C297,'[1]SIG Job Families &amp; Descriptions'!F:F,'[1]SIG Job Families &amp; Descriptions'!A:A)</f>
        <v>AMK000</v>
      </c>
      <c r="F297" s="32" t="s">
        <v>32</v>
      </c>
      <c r="G297" s="33" t="s">
        <v>43</v>
      </c>
      <c r="H297" s="34" t="str">
        <f>F297&amp;"-"&amp;G297</f>
        <v>Professional-08</v>
      </c>
      <c r="I297" s="35" t="str">
        <f>IF(ISERROR(_xlfn.XLOOKUP(H297,'[1]SIG Level Structure'!D:D,'[1]SIG Level Structure'!D:D)),"0","1")</f>
        <v>1</v>
      </c>
      <c r="J297" s="36" t="str">
        <f>_xlfn.XLOOKUP($H297,'[1]SIG Level Structure'!$D:$D,'[1]SIG Level Structure'!F:F)</f>
        <v>P1</v>
      </c>
      <c r="K297" s="37" t="str">
        <f>E297&amp;"-"&amp;J297&amp;"-"&amp;G297</f>
        <v>AMK000-P1-08</v>
      </c>
      <c r="L297" s="37" t="str">
        <f>IFERROR(D297&amp;"-"&amp;LEFT(J297,1),"--")</f>
        <v>AMK-P</v>
      </c>
      <c r="M297" s="37" t="str">
        <f>VLOOKUP(L297,'[1]Compatible JC'!$A:$A,1,FALSE)</f>
        <v>AMK-P</v>
      </c>
      <c r="N297" s="37" t="str">
        <f>IFERROR(_xlfn.XLOOKUP(H297,'[1]SIG Level Structure'!D:D,'[1]SIG Level Structure'!C:C),"--")</f>
        <v>Specialist</v>
      </c>
      <c r="O297" s="38" t="str">
        <f>IFERROR(TRIM(N297&amp;" "&amp;C297),"--")</f>
        <v>Specialist General Marketing</v>
      </c>
      <c r="P297" s="22" t="str">
        <f>_xlfn.XLOOKUP(E297,'[1]SIG Job Families &amp; Descriptions'!A:A,'[1]SIG Job Families &amp; Descriptions'!G:G)</f>
        <v xml:space="preserve">Designs, develops and implements marketing programs and/or pricing strategies to support the organization's products, services or market sector. Uses specific marketing strategies and media (e.g., print, broadcast, digital) to launch and position products and services in a sector. Identifies and implements marketing strategies and programs in collaboration with sales and technical teams. Responsibilities are typically within the marketing function as a generalist or in a combination of disciplines. 
</v>
      </c>
      <c r="Q297" s="39" t="str">
        <f>_xlfn.XLOOKUP(E297,'[1]2022 GI Position Descriptions'!E:E,'[1]2022 GI Position Descriptions'!G:G)</f>
        <v>Designs, develops and implements marketing programs and/or pricing strategies to support the organization's products, services or market sector | Uses specific marketing strategies and media (e.g., print, broadcast, digital) to launch and position products and services in a sector | Identifies and implements marketing strategies and programs in collaboration with sales and technical teams | Responsibilities are within the Marketing Function as a generalist or in a combination of Disciplines</v>
      </c>
      <c r="R297" s="22" t="str">
        <f>IF(LEFT(J297,1)="E","EX",LEFT(J297,1))</f>
        <v>P</v>
      </c>
      <c r="S297" s="22" t="str">
        <f>_xlfn.XLOOKUP($R297,'[1]Career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297" s="22" t="str">
        <f>J297</f>
        <v>P1</v>
      </c>
      <c r="U297" s="40" t="str">
        <f t="shared" si="9"/>
        <v>P1</v>
      </c>
      <c r="V297" s="22" t="str">
        <f>_xlfn.XLOOKUP(T297,'[1]Career Bands &amp; Levels'!A:A,'[1]Career Bands &amp; Levels'!C:C)</f>
        <v xml:space="preserve">●	Performs routine assignments in the entry level of the Professional Career Band		
●	Typically requires a college or university degree or the equivalent work experience and has conceptual knowledge of fundamental theories, principles and practices 		
●	Has no discretion to vary from established procedures by performing structured work assignments		
●	Uses existing procedures to solve routine or standard problems		
●	Receives instruction, guidance and direction from more senior level roles		</v>
      </c>
      <c r="W297" s="41" t="str">
        <f>J297&amp;"-"&amp;G297</f>
        <v>P1-08</v>
      </c>
      <c r="X297" s="42" t="str">
        <f>G297</f>
        <v>08</v>
      </c>
      <c r="Y297" s="22" t="str">
        <f>_xlfn.XLOOKUP(W297,'[1]Career Bands &amp; Levels'!A:A,'[1]Career Bands &amp; Levels'!C:C,"No Grade Differentiator")</f>
        <v>No Grade Differentiator</v>
      </c>
      <c r="Z297" s="43" t="str">
        <f>IFERROR(O297&amp;" - "&amp;G297,"--")</f>
        <v>Specialist General Marketing - 08</v>
      </c>
      <c r="AA297" s="44" t="str">
        <f>_xlfn.XLOOKUP($H297,'[1]SIG Qualifications Input'!$D:$D,'[1]SIG Qualifications Input'!$H:$H)</f>
        <v>University degree or equivalent and 0-1 year of work experience or equivalent</v>
      </c>
    </row>
    <row r="298" spans="1:27" ht="211" thickBot="1" x14ac:dyDescent="0.2">
      <c r="A298" s="34" t="str">
        <f>_xlfn.XLOOKUP(C298,'[1]SIG Job Families &amp; Descriptions'!F:F,'[1]SIG Job Families &amp; Descriptions'!B:B)</f>
        <v>Marketing</v>
      </c>
      <c r="B298" s="34" t="str">
        <f>_xlfn.XLOOKUP(C298,'[1]SIG Job Families &amp; Descriptions'!F:F,'[1]SIG Job Families &amp; Descriptions'!D:D)</f>
        <v>Product &amp; Portfolio Management</v>
      </c>
      <c r="C298" s="34" t="s">
        <v>90</v>
      </c>
      <c r="D298" s="30" t="str">
        <f t="shared" si="8"/>
        <v>AMK</v>
      </c>
      <c r="E298" s="31" t="str">
        <f>_xlfn.XLOOKUP(C298,'[1]SIG Job Families &amp; Descriptions'!F:F,'[1]SIG Job Families &amp; Descriptions'!A:A)</f>
        <v>AMK050</v>
      </c>
      <c r="F298" s="32" t="s">
        <v>29</v>
      </c>
      <c r="G298" s="33" t="s">
        <v>45</v>
      </c>
      <c r="H298" s="34" t="str">
        <f>F298&amp;"-"&amp;G298</f>
        <v>Management-17</v>
      </c>
      <c r="I298" s="35" t="str">
        <f>IF(ISERROR(_xlfn.XLOOKUP(H298,'[1]SIG Level Structure'!D:D,'[1]SIG Level Structure'!D:D)),"0","1")</f>
        <v>1</v>
      </c>
      <c r="J298" s="36" t="str">
        <f>_xlfn.XLOOKUP($H298,'[1]SIG Level Structure'!$D:$D,'[1]SIG Level Structure'!F:F)</f>
        <v>EX</v>
      </c>
      <c r="K298" s="37" t="str">
        <f>E298&amp;"-"&amp;J298&amp;"-"&amp;G298</f>
        <v>AMK050-EX-17</v>
      </c>
      <c r="L298" s="37" t="str">
        <f>IFERROR(D298&amp;"-"&amp;LEFT(J298,1),"--")</f>
        <v>AMK-E</v>
      </c>
      <c r="M298" s="37" t="str">
        <f>VLOOKUP(L298,'[1]Compatible JC'!$A:$A,1,FALSE)</f>
        <v>AMK-E</v>
      </c>
      <c r="N298" s="37" t="str">
        <f>IFERROR(_xlfn.XLOOKUP(H298,'[1]SIG Level Structure'!D:D,'[1]SIG Level Structure'!C:C),"--")</f>
        <v>Group Manager</v>
      </c>
      <c r="O298" s="38" t="str">
        <f>IFERROR(TRIM(N298&amp;" "&amp;C298),"--")</f>
        <v>Group Manager Product &amp; Portfolio Management</v>
      </c>
      <c r="P298" s="22" t="str">
        <f>_xlfn.XLOOKUP(E298,'[1]SIG Job Families &amp; Descriptions'!A:A,'[1]SIG Job Families &amp; Descriptions'!G:G)</f>
        <v xml:space="preserve">Develops and directs marketing programs for a significant product or product category/lines. Compiles and evaluates research on the market's product requirements and identifies enhancements to current features and functionality. Establishes marketing strategies and tactics including e. g. product direction, advertising, expense budgets, profit plans and future product (portfolio) development to meet company's portfolio objectives and manage a product or product category's life cycle. Interfaces with engineers, designers, suppliers and customers to develop product requirements and specifications. Analyze needs of the products and allocate resources to optimize market performance. </v>
      </c>
      <c r="Q298" s="39" t="str">
        <f>_xlfn.XLOOKUP(E298,'[1]2022 GI Position Descriptions'!E:E,'[1]2022 GI Position Descriptions'!G:G)</f>
        <v>Develops and directs marketing programs for a significant product or product category | Compiles and evaluates research on the market's product requirements and identifies enhancements to current features and functionality | Establishes marketing strategies, including product direction, advertising, packaging, pricing, expense budgets, profit plans and future product development, to manage a product or product category's life cycle | Interfaces with engineers, designers, suppliers and customers to develop product requirements and specifications | Prepares and coordinates product introductions and updates</v>
      </c>
      <c r="R298" s="22" t="str">
        <f>IF(LEFT(J298,1)="E","EX",LEFT(J298,1))</f>
        <v>EX</v>
      </c>
      <c r="S298" s="22" t="str">
        <f>_xlfn.XLOOKUP($R298,'[1]Career Bands &amp; Levels'!A:A,'[1]Career Bands &amp; Levels'!C:C)</f>
        <v>● Holds management accountability for a business, division, major geography, corporate function or major corporate sub-function
● Develops, establishes and approves long-term vision and strategy for the area managed
● May be a board or executive committee member or have a comparable level of influence</v>
      </c>
      <c r="T298" s="22" t="str">
        <f>J298</f>
        <v>EX</v>
      </c>
      <c r="U298" s="40" t="str">
        <f t="shared" si="9"/>
        <v>EX</v>
      </c>
      <c r="V298" s="22" t="str">
        <f>_xlfn.XLOOKUP(T298,'[1]Career Bands &amp; Levels'!A:A,'[1]Career Bands &amp; Levels'!C:C)</f>
        <v>● Holds management accountability for a business, division, major geography, corporate function or major corporate sub-function
● Develops, establishes and approves long-term vision and strategy for the area managed
● May be a board or executive committee member or have a comparable level of influence</v>
      </c>
      <c r="W298" s="41" t="str">
        <f>J298&amp;"-"&amp;G298</f>
        <v>EX-17</v>
      </c>
      <c r="X298" s="42" t="str">
        <f>G298</f>
        <v>17</v>
      </c>
      <c r="Y298" s="22" t="str">
        <f>_xlfn.XLOOKUP(W298,'[1]Career Bands &amp; Levels'!A:A,'[1]Career Bands &amp; Levels'!C:C,"No Grade Differentiator")</f>
        <v>● Typically reports to the head of a subregion, country, division or function
● In large organizations (Global Grade 20 to 22), heads an infrastructure function with indirect impact on business performance</v>
      </c>
      <c r="Z298" s="43" t="str">
        <f>IFERROR(O298&amp;" - "&amp;G298,"--")</f>
        <v>Group Manager Product &amp; Portfolio Management - 17</v>
      </c>
      <c r="AA298" s="44" t="str">
        <f>_xlfn.XLOOKUP($H298,'[1]SIG Qualifications Input'!$D:$D,'[1]SIG Qualifications Input'!$H:$H)</f>
        <v>University degree or equivalent and 10-15 years of work experience or equivalent
Profound experience in management of a global function or major region including setting the respective strategy</v>
      </c>
    </row>
    <row r="299" spans="1:27" ht="211" thickBot="1" x14ac:dyDescent="0.2">
      <c r="A299" s="34" t="str">
        <f>_xlfn.XLOOKUP(C299,'[1]SIG Job Families &amp; Descriptions'!F:F,'[1]SIG Job Families &amp; Descriptions'!B:B)</f>
        <v>Marketing</v>
      </c>
      <c r="B299" s="34" t="str">
        <f>_xlfn.XLOOKUP(C299,'[1]SIG Job Families &amp; Descriptions'!F:F,'[1]SIG Job Families &amp; Descriptions'!D:D)</f>
        <v>Product &amp; Portfolio Management</v>
      </c>
      <c r="C299" s="34" t="s">
        <v>90</v>
      </c>
      <c r="D299" s="30" t="str">
        <f t="shared" si="8"/>
        <v>AMK</v>
      </c>
      <c r="E299" s="31" t="str">
        <f>_xlfn.XLOOKUP(C299,'[1]SIG Job Families &amp; Descriptions'!F:F,'[1]SIG Job Families &amp; Descriptions'!A:A)</f>
        <v>AMK050</v>
      </c>
      <c r="F299" s="32" t="s">
        <v>29</v>
      </c>
      <c r="G299" s="33" t="s">
        <v>40</v>
      </c>
      <c r="H299" s="34" t="str">
        <f>F299&amp;"-"&amp;G299</f>
        <v>Management-16</v>
      </c>
      <c r="I299" s="35" t="str">
        <f>IF(ISERROR(_xlfn.XLOOKUP(H299,'[1]SIG Level Structure'!D:D,'[1]SIG Level Structure'!D:D)),"0","1")</f>
        <v>1</v>
      </c>
      <c r="J299" s="36" t="str">
        <f>_xlfn.XLOOKUP($H299,'[1]SIG Level Structure'!$D:$D,'[1]SIG Level Structure'!F:F)</f>
        <v>M4</v>
      </c>
      <c r="K299" s="37" t="str">
        <f>E299&amp;"-"&amp;J299&amp;"-"&amp;G299</f>
        <v>AMK050-M4-16</v>
      </c>
      <c r="L299" s="37" t="str">
        <f>IFERROR(D299&amp;"-"&amp;LEFT(J299,1),"--")</f>
        <v>AMK-M</v>
      </c>
      <c r="M299" s="37" t="str">
        <f>VLOOKUP(L299,'[1]Compatible JC'!$A:$A,1,FALSE)</f>
        <v>AMK-M</v>
      </c>
      <c r="N299" s="37" t="str">
        <f>IFERROR(_xlfn.XLOOKUP(H299,'[1]SIG Level Structure'!D:D,'[1]SIG Level Structure'!C:C),"--")</f>
        <v>Group Manager</v>
      </c>
      <c r="O299" s="38" t="str">
        <f>IFERROR(TRIM(N299&amp;" "&amp;C299),"--")</f>
        <v>Group Manager Product &amp; Portfolio Management</v>
      </c>
      <c r="P299" s="22" t="str">
        <f>_xlfn.XLOOKUP(E299,'[1]SIG Job Families &amp; Descriptions'!A:A,'[1]SIG Job Families &amp; Descriptions'!G:G)</f>
        <v xml:space="preserve">Develops and directs marketing programs for a significant product or product category/lines. Compiles and evaluates research on the market's product requirements and identifies enhancements to current features and functionality. Establishes marketing strategies and tactics including e. g. product direction, advertising, expense budgets, profit plans and future product (portfolio) development to meet company's portfolio objectives and manage a product or product category's life cycle. Interfaces with engineers, designers, suppliers and customers to develop product requirements and specifications. Analyze needs of the products and allocate resources to optimize market performance. </v>
      </c>
      <c r="Q299" s="39" t="str">
        <f>_xlfn.XLOOKUP(E299,'[1]2022 GI Position Descriptions'!E:E,'[1]2022 GI Position Descriptions'!G:G)</f>
        <v>Develops and directs marketing programs for a significant product or product category | Compiles and evaluates research on the market's product requirements and identifies enhancements to current features and functionality | Establishes marketing strategies, including product direction, advertising, packaging, pricing, expense budgets, profit plans and future product development, to manage a product or product category's life cycle | Interfaces with engineers, designers, suppliers and customers to develop product requirements and specifications | Prepares and coordinates product introductions and updates</v>
      </c>
      <c r="R299" s="22" t="str">
        <f>IF(LEFT(J299,1)="E","EX",LEFT(J299,1))</f>
        <v>M</v>
      </c>
      <c r="S299" s="22" t="str">
        <f>_xlfn.XLOOKUP($R299,'[1]Career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299" s="22" t="str">
        <f>J299</f>
        <v>M4</v>
      </c>
      <c r="U299" s="40" t="str">
        <f t="shared" si="9"/>
        <v>M4</v>
      </c>
      <c r="V299" s="22" t="str">
        <f>_xlfn.XLOOKUP(T299,'[1]Career Bands &amp; Levels'!A:A,'[1]Career Bands &amp; Levels'!C:C)</f>
        <v xml:space="preserve">●	Provides leadership and direction through Senior Managers and Managers		
●	Has accountability for the performance and results of:		
	●	A large, strategically important discipline in an extremely large market; and/or	
	●	Related disciplines or a medium-sized function in a large market or medium-sized division; and/or	
	●	A medium-sized discipline or department in a major region	
●	Adapts and executes functional or departmental business plans and contributes to the development of functional or departmental strategies		
●	Decisions are guided by functional or major operational segment strategies and priorities		</v>
      </c>
      <c r="W299" s="41" t="str">
        <f>J299&amp;"-"&amp;G299</f>
        <v>M4-16</v>
      </c>
      <c r="X299" s="42" t="str">
        <f>G299</f>
        <v>16</v>
      </c>
      <c r="Y299" s="22" t="str">
        <f>_xlfn.XLOOKUP(W299,'[1]Career Bands &amp; Levels'!A:A,'[1]Career Bands &amp; Levels'!C:C,"No Grade Differentiator")</f>
        <v>No Grade Differentiator</v>
      </c>
      <c r="Z299" s="43" t="str">
        <f>IFERROR(O299&amp;" - "&amp;G299,"--")</f>
        <v>Group Manager Product &amp; Portfolio Management - 16</v>
      </c>
      <c r="AA299" s="44" t="str">
        <f>_xlfn.XLOOKUP($H299,'[1]SIG Qualifications Input'!$D:$D,'[1]SIG Qualifications Input'!$H:$H)</f>
        <v>University degree or equivalent and 10-15 years of work experience or equivalent
Profound experience in management of a global function or major region including setting the respective strategy</v>
      </c>
    </row>
    <row r="300" spans="1:27" ht="211" thickBot="1" x14ac:dyDescent="0.2">
      <c r="A300" s="34" t="str">
        <f>_xlfn.XLOOKUP(C300,'[1]SIG Job Families &amp; Descriptions'!F:F,'[1]SIG Job Families &amp; Descriptions'!B:B)</f>
        <v>Marketing</v>
      </c>
      <c r="B300" s="34" t="str">
        <f>_xlfn.XLOOKUP(C300,'[1]SIG Job Families &amp; Descriptions'!F:F,'[1]SIG Job Families &amp; Descriptions'!D:D)</f>
        <v>Product &amp; Portfolio Management</v>
      </c>
      <c r="C300" s="34" t="s">
        <v>90</v>
      </c>
      <c r="D300" s="30" t="str">
        <f t="shared" si="8"/>
        <v>AMK</v>
      </c>
      <c r="E300" s="31" t="str">
        <f>_xlfn.XLOOKUP(C300,'[1]SIG Job Families &amp; Descriptions'!F:F,'[1]SIG Job Families &amp; Descriptions'!A:A)</f>
        <v>AMK050</v>
      </c>
      <c r="F300" s="32" t="s">
        <v>29</v>
      </c>
      <c r="G300" s="33" t="s">
        <v>30</v>
      </c>
      <c r="H300" s="34" t="str">
        <f>F300&amp;"-"&amp;G300</f>
        <v>Management-15</v>
      </c>
      <c r="I300" s="35" t="str">
        <f>IF(ISERROR(_xlfn.XLOOKUP(H300,'[1]SIG Level Structure'!D:D,'[1]SIG Level Structure'!D:D)),"0","1")</f>
        <v>1</v>
      </c>
      <c r="J300" s="36" t="str">
        <f>_xlfn.XLOOKUP($H300,'[1]SIG Level Structure'!$D:$D,'[1]SIG Level Structure'!F:F)</f>
        <v>M3</v>
      </c>
      <c r="K300" s="37" t="str">
        <f>E300&amp;"-"&amp;J300&amp;"-"&amp;G300</f>
        <v>AMK050-M3-15</v>
      </c>
      <c r="L300" s="37" t="str">
        <f>IFERROR(D300&amp;"-"&amp;LEFT(J300,1),"--")</f>
        <v>AMK-M</v>
      </c>
      <c r="M300" s="37" t="str">
        <f>VLOOKUP(L300,'[1]Compatible JC'!$A:$A,1,FALSE)</f>
        <v>AMK-M</v>
      </c>
      <c r="N300" s="37" t="str">
        <f>IFERROR(_xlfn.XLOOKUP(H300,'[1]SIG Level Structure'!D:D,'[1]SIG Level Structure'!C:C),"--")</f>
        <v>Senior Manager</v>
      </c>
      <c r="O300" s="38" t="str">
        <f>IFERROR(TRIM(N300&amp;" "&amp;C300),"--")</f>
        <v>Senior Manager Product &amp; Portfolio Management</v>
      </c>
      <c r="P300" s="22" t="str">
        <f>_xlfn.XLOOKUP(E300,'[1]SIG Job Families &amp; Descriptions'!A:A,'[1]SIG Job Families &amp; Descriptions'!G:G)</f>
        <v xml:space="preserve">Develops and directs marketing programs for a significant product or product category/lines. Compiles and evaluates research on the market's product requirements and identifies enhancements to current features and functionality. Establishes marketing strategies and tactics including e. g. product direction, advertising, expense budgets, profit plans and future product (portfolio) development to meet company's portfolio objectives and manage a product or product category's life cycle. Interfaces with engineers, designers, suppliers and customers to develop product requirements and specifications. Analyze needs of the products and allocate resources to optimize market performance. </v>
      </c>
      <c r="Q300" s="39" t="str">
        <f>_xlfn.XLOOKUP(E300,'[1]2022 GI Position Descriptions'!E:E,'[1]2022 GI Position Descriptions'!G:G)</f>
        <v>Develops and directs marketing programs for a significant product or product category | Compiles and evaluates research on the market's product requirements and identifies enhancements to current features and functionality | Establishes marketing strategies, including product direction, advertising, packaging, pricing, expense budgets, profit plans and future product development, to manage a product or product category's life cycle | Interfaces with engineers, designers, suppliers and customers to develop product requirements and specifications | Prepares and coordinates product introductions and updates</v>
      </c>
      <c r="R300" s="22" t="str">
        <f>IF(LEFT(J300,1)="E","EX",LEFT(J300,1))</f>
        <v>M</v>
      </c>
      <c r="S300" s="22" t="str">
        <f>_xlfn.XLOOKUP($R300,'[1]Career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300" s="22" t="str">
        <f>J300</f>
        <v>M3</v>
      </c>
      <c r="U300" s="40" t="str">
        <f t="shared" si="9"/>
        <v>M3</v>
      </c>
      <c r="V300" s="22" t="str">
        <f>_xlfn.XLOOKUP(T300,'[1]Career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300" s="41" t="str">
        <f>J300&amp;"-"&amp;G300</f>
        <v>M3-15</v>
      </c>
      <c r="X300" s="42" t="str">
        <f>G300</f>
        <v>15</v>
      </c>
      <c r="Y300" s="22" t="str">
        <f>_xlfn.XLOOKUP(W300,'[1]Career Bands &amp; Levels'!A:A,'[1]Career Bands &amp; Levels'!C:C,"No Grade Differentiator")</f>
        <v xml:space="preserve">●	Looks beyond existing methodologies and own discipline to define and resolve complex problems
●	Develops plans and delivers results in fast-changing businesses and/or regulatory environments
●	Provides input to functional or departmental strategy		
●	Manages large, potentially diverse teams of managers and/or senior professionals		
		</v>
      </c>
      <c r="Z300" s="43" t="str">
        <f>IFERROR(O300&amp;" - "&amp;G300,"--")</f>
        <v>Senior Manager Product &amp; Portfolio Management - 15</v>
      </c>
      <c r="AA300" s="44" t="str">
        <f>_xlfn.XLOOKUP($H300,'[1]SIG Qualifications Input'!$D:$D,'[1]SIG Qualifications Input'!$H:$H)</f>
        <v xml:space="preserve">University degree or equivalent and 10+ years of work experience or equivalent
Profound experience in managing performance and results of diverse activities / multiple teams </v>
      </c>
    </row>
    <row r="301" spans="1:27" ht="211" thickBot="1" x14ac:dyDescent="0.2">
      <c r="A301" s="34" t="str">
        <f>_xlfn.XLOOKUP(C301,'[1]SIG Job Families &amp; Descriptions'!F:F,'[1]SIG Job Families &amp; Descriptions'!B:B)</f>
        <v>Marketing</v>
      </c>
      <c r="B301" s="34" t="str">
        <f>_xlfn.XLOOKUP(C301,'[1]SIG Job Families &amp; Descriptions'!F:F,'[1]SIG Job Families &amp; Descriptions'!D:D)</f>
        <v>Product &amp; Portfolio Management</v>
      </c>
      <c r="C301" s="34" t="s">
        <v>90</v>
      </c>
      <c r="D301" s="30" t="str">
        <f t="shared" si="8"/>
        <v>AMK</v>
      </c>
      <c r="E301" s="31" t="str">
        <f>_xlfn.XLOOKUP(C301,'[1]SIG Job Families &amp; Descriptions'!F:F,'[1]SIG Job Families &amp; Descriptions'!A:A)</f>
        <v>AMK050</v>
      </c>
      <c r="F301" s="32" t="s">
        <v>29</v>
      </c>
      <c r="G301" s="33" t="s">
        <v>31</v>
      </c>
      <c r="H301" s="34" t="str">
        <f>F301&amp;"-"&amp;G301</f>
        <v>Management-14</v>
      </c>
      <c r="I301" s="35" t="str">
        <f>IF(ISERROR(_xlfn.XLOOKUP(H301,'[1]SIG Level Structure'!D:D,'[1]SIG Level Structure'!D:D)),"0","1")</f>
        <v>1</v>
      </c>
      <c r="J301" s="36" t="str">
        <f>_xlfn.XLOOKUP($H301,'[1]SIG Level Structure'!$D:$D,'[1]SIG Level Structure'!F:F)</f>
        <v>M3</v>
      </c>
      <c r="K301" s="37" t="str">
        <f>E301&amp;"-"&amp;J301&amp;"-"&amp;G301</f>
        <v>AMK050-M3-14</v>
      </c>
      <c r="L301" s="37" t="str">
        <f>IFERROR(D301&amp;"-"&amp;LEFT(J301,1),"--")</f>
        <v>AMK-M</v>
      </c>
      <c r="M301" s="37" t="str">
        <f>VLOOKUP(L301,'[1]Compatible JC'!$A:$A,1,FALSE)</f>
        <v>AMK-M</v>
      </c>
      <c r="N301" s="37" t="str">
        <f>IFERROR(_xlfn.XLOOKUP(H301,'[1]SIG Level Structure'!D:D,'[1]SIG Level Structure'!C:C),"--")</f>
        <v>Senior Manager</v>
      </c>
      <c r="O301" s="38" t="str">
        <f>IFERROR(TRIM(N301&amp;" "&amp;C301),"--")</f>
        <v>Senior Manager Product &amp; Portfolio Management</v>
      </c>
      <c r="P301" s="22" t="str">
        <f>_xlfn.XLOOKUP(E301,'[1]SIG Job Families &amp; Descriptions'!A:A,'[1]SIG Job Families &amp; Descriptions'!G:G)</f>
        <v xml:space="preserve">Develops and directs marketing programs for a significant product or product category/lines. Compiles and evaluates research on the market's product requirements and identifies enhancements to current features and functionality. Establishes marketing strategies and tactics including e. g. product direction, advertising, expense budgets, profit plans and future product (portfolio) development to meet company's portfolio objectives and manage a product or product category's life cycle. Interfaces with engineers, designers, suppliers and customers to develop product requirements and specifications. Analyze needs of the products and allocate resources to optimize market performance. </v>
      </c>
      <c r="Q301" s="39" t="str">
        <f>_xlfn.XLOOKUP(E301,'[1]2022 GI Position Descriptions'!E:E,'[1]2022 GI Position Descriptions'!G:G)</f>
        <v>Develops and directs marketing programs for a significant product or product category | Compiles and evaluates research on the market's product requirements and identifies enhancements to current features and functionality | Establishes marketing strategies, including product direction, advertising, packaging, pricing, expense budgets, profit plans and future product development, to manage a product or product category's life cycle | Interfaces with engineers, designers, suppliers and customers to develop product requirements and specifications | Prepares and coordinates product introductions and updates</v>
      </c>
      <c r="R301" s="22" t="str">
        <f>IF(LEFT(J301,1)="E","EX",LEFT(J301,1))</f>
        <v>M</v>
      </c>
      <c r="S301" s="22" t="str">
        <f>_xlfn.XLOOKUP($R301,'[1]Career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301" s="22" t="str">
        <f>J301</f>
        <v>M3</v>
      </c>
      <c r="U301" s="40" t="str">
        <f t="shared" si="9"/>
        <v>M3</v>
      </c>
      <c r="V301" s="22" t="str">
        <f>_xlfn.XLOOKUP(T301,'[1]Career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301" s="41" t="str">
        <f>J301&amp;"-"&amp;G301</f>
        <v>M3-14</v>
      </c>
      <c r="X301" s="42" t="str">
        <f>G301</f>
        <v>14</v>
      </c>
      <c r="Y301" s="22" t="str">
        <f>_xlfn.XLOOKUP(W301,'[1]Career Bands &amp; Levels'!A:A,'[1]Career Bands &amp; Levels'!C:C,"No Grade Differentiator")</f>
        <v xml:space="preserve">●	Identifies applications of functional knowledge and existing methodologies to complex problems	
●	Manages large teams of professionals and/or junior managers		
		</v>
      </c>
      <c r="Z301" s="43" t="str">
        <f>IFERROR(O301&amp;" - "&amp;G301,"--")</f>
        <v>Senior Manager Product &amp; Portfolio Management - 14</v>
      </c>
      <c r="AA301" s="44" t="str">
        <f>_xlfn.XLOOKUP($H301,'[1]SIG Qualifications Input'!$D:$D,'[1]SIG Qualifications Input'!$H:$H)</f>
        <v xml:space="preserve">University degree or equivalent and 10+ years of work experience or equivalent
Profound experience in managing performance and results of diverse activities / multiple teams </v>
      </c>
    </row>
    <row r="302" spans="1:27" ht="211" thickBot="1" x14ac:dyDescent="0.2">
      <c r="A302" s="34" t="str">
        <f>_xlfn.XLOOKUP(C302,'[1]SIG Job Families &amp; Descriptions'!F:F,'[1]SIG Job Families &amp; Descriptions'!B:B)</f>
        <v>Marketing</v>
      </c>
      <c r="B302" s="34" t="str">
        <f>_xlfn.XLOOKUP(C302,'[1]SIG Job Families &amp; Descriptions'!F:F,'[1]SIG Job Families &amp; Descriptions'!D:D)</f>
        <v>Product &amp; Portfolio Management</v>
      </c>
      <c r="C302" s="34" t="s">
        <v>90</v>
      </c>
      <c r="D302" s="30" t="str">
        <f t="shared" si="8"/>
        <v>AMK</v>
      </c>
      <c r="E302" s="31" t="str">
        <f>_xlfn.XLOOKUP(C302,'[1]SIG Job Families &amp; Descriptions'!F:F,'[1]SIG Job Families &amp; Descriptions'!A:A)</f>
        <v>AMK050</v>
      </c>
      <c r="F302" s="32" t="s">
        <v>32</v>
      </c>
      <c r="G302" s="33" t="s">
        <v>31</v>
      </c>
      <c r="H302" s="34" t="str">
        <f>F302&amp;"-"&amp;G302</f>
        <v>Professional-14</v>
      </c>
      <c r="I302" s="35" t="str">
        <f>IF(ISERROR(_xlfn.XLOOKUP(H302,'[1]SIG Level Structure'!D:D,'[1]SIG Level Structure'!D:D)),"0","1")</f>
        <v>1</v>
      </c>
      <c r="J302" s="36" t="str">
        <f>_xlfn.XLOOKUP($H302,'[1]SIG Level Structure'!$D:$D,'[1]SIG Level Structure'!F:F)</f>
        <v>P4</v>
      </c>
      <c r="K302" s="37" t="str">
        <f>E302&amp;"-"&amp;J302&amp;"-"&amp;G302</f>
        <v>AMK050-P4-14</v>
      </c>
      <c r="L302" s="37" t="str">
        <f>IFERROR(D302&amp;"-"&amp;LEFT(J302,1),"--")</f>
        <v>AMK-P</v>
      </c>
      <c r="M302" s="37" t="str">
        <f>VLOOKUP(L302,'[1]Compatible JC'!$A:$A,1,FALSE)</f>
        <v>AMK-P</v>
      </c>
      <c r="N302" s="37" t="str">
        <f>IFERROR(_xlfn.XLOOKUP(H302,'[1]SIG Level Structure'!D:D,'[1]SIG Level Structure'!C:C),"--")</f>
        <v>Senior Expert</v>
      </c>
      <c r="O302" s="38" t="str">
        <f>IFERROR(TRIM(N302&amp;" "&amp;C302),"--")</f>
        <v>Senior Expert Product &amp; Portfolio Management</v>
      </c>
      <c r="P302" s="22" t="str">
        <f>_xlfn.XLOOKUP(E302,'[1]SIG Job Families &amp; Descriptions'!A:A,'[1]SIG Job Families &amp; Descriptions'!G:G)</f>
        <v xml:space="preserve">Develops and directs marketing programs for a significant product or product category/lines. Compiles and evaluates research on the market's product requirements and identifies enhancements to current features and functionality. Establishes marketing strategies and tactics including e. g. product direction, advertising, expense budgets, profit plans and future product (portfolio) development to meet company's portfolio objectives and manage a product or product category's life cycle. Interfaces with engineers, designers, suppliers and customers to develop product requirements and specifications. Analyze needs of the products and allocate resources to optimize market performance. </v>
      </c>
      <c r="Q302" s="39" t="str">
        <f>_xlfn.XLOOKUP(E302,'[1]2022 GI Position Descriptions'!E:E,'[1]2022 GI Position Descriptions'!G:G)</f>
        <v>Develops and directs marketing programs for a significant product or product category | Compiles and evaluates research on the market's product requirements and identifies enhancements to current features and functionality | Establishes marketing strategies, including product direction, advertising, packaging, pricing, expense budgets, profit plans and future product development, to manage a product or product category's life cycle | Interfaces with engineers, designers, suppliers and customers to develop product requirements and specifications | Prepares and coordinates product introductions and updates</v>
      </c>
      <c r="R302" s="22" t="str">
        <f>IF(LEFT(J302,1)="E","EX",LEFT(J302,1))</f>
        <v>P</v>
      </c>
      <c r="S302" s="22" t="str">
        <f>_xlfn.XLOOKUP($R302,'[1]Career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02" s="22" t="str">
        <f>J302</f>
        <v>P4</v>
      </c>
      <c r="U302" s="40" t="str">
        <f t="shared" si="9"/>
        <v>P4</v>
      </c>
      <c r="V302" s="22" t="str">
        <f>_xlfn.XLOOKUP(T302,'[1]Career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302" s="41" t="str">
        <f>J302&amp;"-"&amp;G302</f>
        <v>P4-14</v>
      </c>
      <c r="X302" s="42" t="str">
        <f>G302</f>
        <v>14</v>
      </c>
      <c r="Y302" s="22" t="str">
        <f>_xlfn.XLOOKUP(W302,'[1]Career Bands &amp; Levels'!A:A,'[1]Career Bands &amp; Levels'!C:C,"No Grade Differentiator")</f>
        <v xml:space="preserve">●	Guides others in resolving complex issues in own specialized area and solves complex problems with implications on cross-functional business processes and outcomes		
●	Serves as an advisor and applies knowledge of strategies that can be deployed within own function and discipline		
●	Applies working knowledge of the theories and concepts in other disciplines		
●	May lead teams or projects with broad visibility		</v>
      </c>
      <c r="Z302" s="43" t="str">
        <f>IFERROR(O302&amp;" - "&amp;G302,"--")</f>
        <v>Senior Expert Product &amp; Portfolio Management - 14</v>
      </c>
      <c r="AA302" s="44" t="str">
        <f>_xlfn.XLOOKUP($H302,'[1]SIG Qualifications Input'!$D:$D,'[1]SIG Qualifications Input'!$H:$H)</f>
        <v>University degree or equivalent and 8-10 years of work experience or equivalent, 
Experience in functionally leading (sub-)projects / teams</v>
      </c>
    </row>
    <row r="303" spans="1:27" ht="211" thickBot="1" x14ac:dyDescent="0.2">
      <c r="A303" s="34" t="str">
        <f>_xlfn.XLOOKUP(C303,'[1]SIG Job Families &amp; Descriptions'!F:F,'[1]SIG Job Families &amp; Descriptions'!B:B)</f>
        <v>Marketing</v>
      </c>
      <c r="B303" s="34" t="str">
        <f>_xlfn.XLOOKUP(C303,'[1]SIG Job Families &amp; Descriptions'!F:F,'[1]SIG Job Families &amp; Descriptions'!D:D)</f>
        <v>Product &amp; Portfolio Management</v>
      </c>
      <c r="C303" s="34" t="s">
        <v>90</v>
      </c>
      <c r="D303" s="30" t="str">
        <f t="shared" si="8"/>
        <v>AMK</v>
      </c>
      <c r="E303" s="31" t="str">
        <f>_xlfn.XLOOKUP(C303,'[1]SIG Job Families &amp; Descriptions'!F:F,'[1]SIG Job Families &amp; Descriptions'!A:A)</f>
        <v>AMK050</v>
      </c>
      <c r="F303" s="32" t="s">
        <v>32</v>
      </c>
      <c r="G303" s="33" t="s">
        <v>33</v>
      </c>
      <c r="H303" s="34" t="str">
        <f>F303&amp;"-"&amp;G303</f>
        <v>Professional-13</v>
      </c>
      <c r="I303" s="35" t="str">
        <f>IF(ISERROR(_xlfn.XLOOKUP(H303,'[1]SIG Level Structure'!D:D,'[1]SIG Level Structure'!D:D)),"0","1")</f>
        <v>1</v>
      </c>
      <c r="J303" s="36" t="str">
        <f>_xlfn.XLOOKUP($H303,'[1]SIG Level Structure'!$D:$D,'[1]SIG Level Structure'!F:F)</f>
        <v>P4</v>
      </c>
      <c r="K303" s="37" t="str">
        <f>E303&amp;"-"&amp;J303&amp;"-"&amp;G303</f>
        <v>AMK050-P4-13</v>
      </c>
      <c r="L303" s="37" t="str">
        <f>IFERROR(D303&amp;"-"&amp;LEFT(J303,1),"--")</f>
        <v>AMK-P</v>
      </c>
      <c r="M303" s="37" t="str">
        <f>VLOOKUP(L303,'[1]Compatible JC'!$A:$A,1,FALSE)</f>
        <v>AMK-P</v>
      </c>
      <c r="N303" s="37" t="str">
        <f>IFERROR(_xlfn.XLOOKUP(H303,'[1]SIG Level Structure'!D:D,'[1]SIG Level Structure'!C:C),"--")</f>
        <v>Senior Expert</v>
      </c>
      <c r="O303" s="38" t="str">
        <f>IFERROR(TRIM(N303&amp;" "&amp;C303),"--")</f>
        <v>Senior Expert Product &amp; Portfolio Management</v>
      </c>
      <c r="P303" s="22" t="str">
        <f>_xlfn.XLOOKUP(E303,'[1]SIG Job Families &amp; Descriptions'!A:A,'[1]SIG Job Families &amp; Descriptions'!G:G)</f>
        <v xml:space="preserve">Develops and directs marketing programs for a significant product or product category/lines. Compiles and evaluates research on the market's product requirements and identifies enhancements to current features and functionality. Establishes marketing strategies and tactics including e. g. product direction, advertising, expense budgets, profit plans and future product (portfolio) development to meet company's portfolio objectives and manage a product or product category's life cycle. Interfaces with engineers, designers, suppliers and customers to develop product requirements and specifications. Analyze needs of the products and allocate resources to optimize market performance. </v>
      </c>
      <c r="Q303" s="39" t="str">
        <f>_xlfn.XLOOKUP(E303,'[1]2022 GI Position Descriptions'!E:E,'[1]2022 GI Position Descriptions'!G:G)</f>
        <v>Develops and directs marketing programs for a significant product or product category | Compiles and evaluates research on the market's product requirements and identifies enhancements to current features and functionality | Establishes marketing strategies, including product direction, advertising, packaging, pricing, expense budgets, profit plans and future product development, to manage a product or product category's life cycle | Interfaces with engineers, designers, suppliers and customers to develop product requirements and specifications | Prepares and coordinates product introductions and updates</v>
      </c>
      <c r="R303" s="22" t="str">
        <f>IF(LEFT(J303,1)="E","EX",LEFT(J303,1))</f>
        <v>P</v>
      </c>
      <c r="S303" s="22" t="str">
        <f>_xlfn.XLOOKUP($R303,'[1]Career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03" s="22" t="str">
        <f>J303</f>
        <v>P4</v>
      </c>
      <c r="U303" s="40" t="str">
        <f t="shared" si="9"/>
        <v>P4</v>
      </c>
      <c r="V303" s="22" t="str">
        <f>_xlfn.XLOOKUP(T303,'[1]Career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303" s="41" t="str">
        <f>J303&amp;"-"&amp;G303</f>
        <v>P4-13</v>
      </c>
      <c r="X303" s="42" t="str">
        <f>G303</f>
        <v>13</v>
      </c>
      <c r="Y303" s="22" t="str">
        <f>_xlfn.XLOOKUP(W303,'[1]Career Bands &amp; Levels'!A:A,'[1]Career Bands &amp; Levels'!C:C,"No Grade Differentiator")</f>
        <v xml:space="preserve">●	Guides others in resolving complex issues in specialized area based on existing solutions and procedures		
●	Serves as an expert within own discipline		
●	May lead function teams or projects and serves as a best practices/quality resource		
●	Trains/mentors junior staff		</v>
      </c>
      <c r="Z303" s="43" t="str">
        <f>IFERROR(O303&amp;" - "&amp;G303,"--")</f>
        <v>Senior Expert Product &amp; Portfolio Management - 13</v>
      </c>
      <c r="AA303" s="44" t="str">
        <f>_xlfn.XLOOKUP($H303,'[1]SIG Qualifications Input'!$D:$D,'[1]SIG Qualifications Input'!$H:$H)</f>
        <v>University degree or equivalent and 8-10 years of work experience or equivalent, 
Experience in functionally leading (sub-)projects / teams</v>
      </c>
    </row>
    <row r="304" spans="1:27" ht="270" customHeight="1" thickBot="1" x14ac:dyDescent="0.2">
      <c r="A304" s="34" t="str">
        <f>_xlfn.XLOOKUP(C304,'[1]SIG Job Families &amp; Descriptions'!F:F,'[1]SIG Job Families &amp; Descriptions'!B:B)</f>
        <v>Marketing</v>
      </c>
      <c r="B304" s="34" t="str">
        <f>_xlfn.XLOOKUP(C304,'[1]SIG Job Families &amp; Descriptions'!F:F,'[1]SIG Job Families &amp; Descriptions'!D:D)</f>
        <v>Market Research/Development</v>
      </c>
      <c r="C304" s="34" t="s">
        <v>91</v>
      </c>
      <c r="D304" s="30" t="str">
        <f t="shared" si="8"/>
        <v>AMK</v>
      </c>
      <c r="E304" s="31" t="str">
        <f>_xlfn.XLOOKUP(C304,'[1]SIG Job Families &amp; Descriptions'!F:F,'[1]SIG Job Families &amp; Descriptions'!A:A)</f>
        <v>AMK040</v>
      </c>
      <c r="F304" s="32" t="s">
        <v>32</v>
      </c>
      <c r="G304" s="33" t="s">
        <v>34</v>
      </c>
      <c r="H304" s="34" t="str">
        <f>F304&amp;"-"&amp;G304</f>
        <v>Professional-12</v>
      </c>
      <c r="I304" s="35" t="str">
        <f>IF(ISERROR(_xlfn.XLOOKUP(H304,'[1]SIG Level Structure'!D:D,'[1]SIG Level Structure'!D:D)),"0","1")</f>
        <v>1</v>
      </c>
      <c r="J304" s="36" t="str">
        <f>_xlfn.XLOOKUP($H304,'[1]SIG Level Structure'!$D:$D,'[1]SIG Level Structure'!F:F)</f>
        <v>P3</v>
      </c>
      <c r="K304" s="37" t="str">
        <f>E304&amp;"-"&amp;J304&amp;"-"&amp;G304</f>
        <v>AMK040-P3-12</v>
      </c>
      <c r="L304" s="37" t="str">
        <f>IFERROR(D304&amp;"-"&amp;LEFT(J304,1),"--")</f>
        <v>AMK-P</v>
      </c>
      <c r="M304" s="37" t="str">
        <f>VLOOKUP(L304,'[1]Compatible JC'!$A:$A,1,FALSE)</f>
        <v>AMK-P</v>
      </c>
      <c r="N304" s="37" t="str">
        <f>IFERROR(_xlfn.XLOOKUP(H304,'[1]SIG Level Structure'!D:D,'[1]SIG Level Structure'!C:C),"--")</f>
        <v>Expert</v>
      </c>
      <c r="O304" s="38" t="str">
        <f>IFERROR(TRIM(N304&amp;" "&amp;C304),"--")</f>
        <v>Expert Market Research/Development</v>
      </c>
      <c r="P304" s="22" t="str">
        <f>_xlfn.XLOOKUP(E304,'[1]SIG Job Families &amp; Descriptions'!A:A,'[1]SIG Job Families &amp; Descriptions'!G:G)</f>
        <v>Performs analysis and prepares forecasts and recommendations in the areas of product preferences, sales coverage, market penetration, market practices and sales trends. Researches market conditions to determine potential sales of a product.  Collects, analyzes and uses quantitative and qualitative market data to develop insights into consumer preferences, behaviors, patterns and trends and to understand perception and drivers of consumer /market dynamics. Employs methods such as consumer/ user panels, focus groups, surveys and data mining and modeling. Summarizes and communicates analysis of the performance and the progress of business programs/strategy. Provides insights to aid the development of future programs/strategy. 
Identifies new business opportunities and creates appropriate business plans. Identifies new market opportunities (i.e., products/services, technologies, markets). Monitors organization's market share and competition.</v>
      </c>
      <c r="Q304" s="39" t="str">
        <f>_xlfn.XLOOKUP(E304,'[1]2022 GI Position Descriptions'!E:E,'[1]2022 GI Position Descriptions'!G:G)</f>
        <v>Performs analysis and prepares forecasts and recommendations in the areas of product preferences, sales coverage, market penetration, market practices and sales trends. Researches market conditions to determine potential sales of a product.  Collects, analyzes and uses quantitative and qualitative market data to develop insights into consumer preferences, behaviors, patterns and trends and to understand perception and drivers of consumer /market dynamics. Employs methods such as consumer/ user panels, focus groups, surveys and data mining and modeling. Summarizes and communicates analysis of the performance and the progress of business programs/strategy. Provides insights to aid the development of future programs/strategy. 
Identifies new business opportunities and creates appropriate business plans. Identifies new market opportunities (i.e., products/services, technologies, markets). Monitors organization's market share and competition.</v>
      </c>
      <c r="R304" s="22" t="str">
        <f>IF(LEFT(J304,1)="E","EX",LEFT(J304,1))</f>
        <v>P</v>
      </c>
      <c r="S304" s="22" t="str">
        <f>_xlfn.XLOOKUP($R304,'[1]Career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04" s="22" t="str">
        <f>J304</f>
        <v>P3</v>
      </c>
      <c r="U304" s="40" t="str">
        <f t="shared" si="9"/>
        <v>P3</v>
      </c>
      <c r="V304" s="22" t="str">
        <f>_xlfn.XLOOKUP(T304,'[1]Career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304" s="41" t="str">
        <f>J304&amp;"-"&amp;G304</f>
        <v>P3-12</v>
      </c>
      <c r="X304" s="42" t="str">
        <f>G304</f>
        <v>12</v>
      </c>
      <c r="Y304" s="22" t="str">
        <f>_xlfn.XLOOKUP(W304,'[1]Career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304" s="43" t="str">
        <f>IFERROR(O304&amp;" - "&amp;G304,"--")</f>
        <v>Expert Market Research/Development - 12</v>
      </c>
      <c r="AA304" s="44" t="str">
        <f>_xlfn.XLOOKUP($H304,'[1]SIG Qualifications Input'!$D:$D,'[1]SIG Qualifications Input'!$H:$H)</f>
        <v>University degree or equivalent and 4-8 years of work experience or equivalent, 
Initial experience in functionally leading (sub-) projects</v>
      </c>
    </row>
    <row r="305" spans="1:27" ht="294" thickBot="1" x14ac:dyDescent="0.2">
      <c r="A305" s="34" t="str">
        <f>_xlfn.XLOOKUP(C305,'[1]SIG Job Families &amp; Descriptions'!F:F,'[1]SIG Job Families &amp; Descriptions'!B:B)</f>
        <v>Marketing</v>
      </c>
      <c r="B305" s="34" t="str">
        <f>_xlfn.XLOOKUP(C305,'[1]SIG Job Families &amp; Descriptions'!F:F,'[1]SIG Job Families &amp; Descriptions'!D:D)</f>
        <v>Market Research/Development</v>
      </c>
      <c r="C305" s="34" t="s">
        <v>91</v>
      </c>
      <c r="D305" s="30" t="str">
        <f t="shared" si="8"/>
        <v>AMK</v>
      </c>
      <c r="E305" s="31" t="str">
        <f>_xlfn.XLOOKUP(C305,'[1]SIG Job Families &amp; Descriptions'!F:F,'[1]SIG Job Families &amp; Descriptions'!A:A)</f>
        <v>AMK040</v>
      </c>
      <c r="F305" s="32" t="s">
        <v>32</v>
      </c>
      <c r="G305" s="33" t="s">
        <v>35</v>
      </c>
      <c r="H305" s="34" t="str">
        <f>F305&amp;"-"&amp;G305</f>
        <v>Professional-11</v>
      </c>
      <c r="I305" s="35" t="str">
        <f>IF(ISERROR(_xlfn.XLOOKUP(H305,'[1]SIG Level Structure'!D:D,'[1]SIG Level Structure'!D:D)),"0","1")</f>
        <v>1</v>
      </c>
      <c r="J305" s="36" t="str">
        <f>_xlfn.XLOOKUP($H305,'[1]SIG Level Structure'!$D:$D,'[1]SIG Level Structure'!F:F)</f>
        <v>P3</v>
      </c>
      <c r="K305" s="37" t="str">
        <f>E305&amp;"-"&amp;J305&amp;"-"&amp;G305</f>
        <v>AMK040-P3-11</v>
      </c>
      <c r="L305" s="37" t="str">
        <f>IFERROR(D305&amp;"-"&amp;LEFT(J305,1),"--")</f>
        <v>AMK-P</v>
      </c>
      <c r="M305" s="37" t="str">
        <f>VLOOKUP(L305,'[1]Compatible JC'!$A:$A,1,FALSE)</f>
        <v>AMK-P</v>
      </c>
      <c r="N305" s="37" t="str">
        <f>IFERROR(_xlfn.XLOOKUP(H305,'[1]SIG Level Structure'!D:D,'[1]SIG Level Structure'!C:C),"--")</f>
        <v>Expert</v>
      </c>
      <c r="O305" s="38" t="str">
        <f>IFERROR(TRIM(N305&amp;" "&amp;C305),"--")</f>
        <v>Expert Market Research/Development</v>
      </c>
      <c r="P305" s="22" t="str">
        <f>_xlfn.XLOOKUP(E305,'[1]SIG Job Families &amp; Descriptions'!A:A,'[1]SIG Job Families &amp; Descriptions'!G:G)</f>
        <v>Performs analysis and prepares forecasts and recommendations in the areas of product preferences, sales coverage, market penetration, market practices and sales trends. Researches market conditions to determine potential sales of a product.  Collects, analyzes and uses quantitative and qualitative market data to develop insights into consumer preferences, behaviors, patterns and trends and to understand perception and drivers of consumer /market dynamics. Employs methods such as consumer/ user panels, focus groups, surveys and data mining and modeling. Summarizes and communicates analysis of the performance and the progress of business programs/strategy. Provides insights to aid the development of future programs/strategy. 
Identifies new business opportunities and creates appropriate business plans. Identifies new market opportunities (i.e., products/services, technologies, markets). Monitors organization's market share and competition.</v>
      </c>
      <c r="Q305" s="39" t="str">
        <f>_xlfn.XLOOKUP(E305,'[1]2022 GI Position Descriptions'!E:E,'[1]2022 GI Position Descriptions'!G:G)</f>
        <v>Performs analysis and prepares forecasts and recommendations in the areas of product preferences, sales coverage, market penetration, market practices and sales trends. Researches market conditions to determine potential sales of a product.  Collects, analyzes and uses quantitative and qualitative market data to develop insights into consumer preferences, behaviors, patterns and trends and to understand perception and drivers of consumer /market dynamics. Employs methods such as consumer/ user panels, focus groups, surveys and data mining and modeling. Summarizes and communicates analysis of the performance and the progress of business programs/strategy. Provides insights to aid the development of future programs/strategy. 
Identifies new business opportunities and creates appropriate business plans. Identifies new market opportunities (i.e., products/services, technologies, markets). Monitors organization's market share and competition.</v>
      </c>
      <c r="R305" s="22" t="str">
        <f>IF(LEFT(J305,1)="E","EX",LEFT(J305,1))</f>
        <v>P</v>
      </c>
      <c r="S305" s="22" t="str">
        <f>_xlfn.XLOOKUP($R305,'[1]Career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05" s="22" t="str">
        <f>J305</f>
        <v>P3</v>
      </c>
      <c r="U305" s="40" t="str">
        <f t="shared" si="9"/>
        <v>P3</v>
      </c>
      <c r="V305" s="22" t="str">
        <f>_xlfn.XLOOKUP(T305,'[1]Career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305" s="41" t="str">
        <f>J305&amp;"-"&amp;G305</f>
        <v>P3-11</v>
      </c>
      <c r="X305" s="42" t="str">
        <f>G305</f>
        <v>11</v>
      </c>
      <c r="Y305" s="22" t="str">
        <f>_xlfn.XLOOKUP(W305,'[1]Career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305" s="43" t="str">
        <f>IFERROR(O305&amp;" - "&amp;G305,"--")</f>
        <v>Expert Market Research/Development - 11</v>
      </c>
      <c r="AA305" s="44" t="str">
        <f>_xlfn.XLOOKUP($H305,'[1]SIG Qualifications Input'!$D:$D,'[1]SIG Qualifications Input'!$H:$H)</f>
        <v>University degree or equivalent and 4-8 years of work experience or equivalent, 
Initial experience in functionally leading (sub-) projects</v>
      </c>
    </row>
    <row r="306" spans="1:27" ht="307" thickBot="1" x14ac:dyDescent="0.2">
      <c r="A306" s="34" t="str">
        <f>_xlfn.XLOOKUP(C306,'[1]SIG Job Families &amp; Descriptions'!F:F,'[1]SIG Job Families &amp; Descriptions'!B:B)</f>
        <v>Marketing</v>
      </c>
      <c r="B306" s="34" t="str">
        <f>_xlfn.XLOOKUP(C306,'[1]SIG Job Families &amp; Descriptions'!F:F,'[1]SIG Job Families &amp; Descriptions'!D:D)</f>
        <v>Digital Marketing</v>
      </c>
      <c r="C306" s="34" t="s">
        <v>92</v>
      </c>
      <c r="D306" s="30" t="str">
        <f t="shared" si="8"/>
        <v>AMK</v>
      </c>
      <c r="E306" s="31" t="str">
        <f>_xlfn.XLOOKUP(C306,'[1]SIG Job Families &amp; Descriptions'!F:F,'[1]SIG Job Families &amp; Descriptions'!A:A)</f>
        <v>AMK110</v>
      </c>
      <c r="F306" s="32" t="s">
        <v>29</v>
      </c>
      <c r="G306" s="33" t="s">
        <v>30</v>
      </c>
      <c r="H306" s="34" t="str">
        <f>F306&amp;"-"&amp;G306</f>
        <v>Management-15</v>
      </c>
      <c r="I306" s="35" t="str">
        <f>IF(ISERROR(_xlfn.XLOOKUP(H306,'[1]SIG Level Structure'!D:D,'[1]SIG Level Structure'!D:D)),"0","1")</f>
        <v>1</v>
      </c>
      <c r="J306" s="36" t="str">
        <f>_xlfn.XLOOKUP($H306,'[1]SIG Level Structure'!$D:$D,'[1]SIG Level Structure'!F:F)</f>
        <v>M3</v>
      </c>
      <c r="K306" s="37" t="str">
        <f>E306&amp;"-"&amp;J306&amp;"-"&amp;G306</f>
        <v>AMK110-M3-15</v>
      </c>
      <c r="L306" s="37" t="str">
        <f>IFERROR(D306&amp;"-"&amp;LEFT(J306,1),"--")</f>
        <v>AMK-M</v>
      </c>
      <c r="M306" s="37" t="str">
        <f>VLOOKUP(L306,'[1]Compatible JC'!$A:$A,1,FALSE)</f>
        <v>AMK-M</v>
      </c>
      <c r="N306" s="37" t="str">
        <f>IFERROR(_xlfn.XLOOKUP(H306,'[1]SIG Level Structure'!D:D,'[1]SIG Level Structure'!C:C),"--")</f>
        <v>Senior Manager</v>
      </c>
      <c r="O306" s="38" t="str">
        <f>IFERROR(TRIM(N306&amp;" "&amp;C306),"--")</f>
        <v>Senior Manager Digital Marketing</v>
      </c>
      <c r="P306" s="22" t="str">
        <f>_xlfn.XLOOKUP(E306,'[1]SIG Job Families &amp; Descriptions'!A:A,'[1]SIG Job Families &amp; Descriptions'!G:G)</f>
        <v>Develops marketing, merchandising and creative strategies and affiliated programs to promote the organization's products and services through the internet or other digital channels to increase exposure to and business from the target audience. Manages the implementation of digital marketing programs and analyzes their effectiveness. Establishes and manages the relationships with search engines and portal sites that are strategically aligned with the digital goals. Tracks usage trends of the organization's websites, including number and quality of visitors and advertising campaign impact. Develops and maintains website graphic designs and layout to support the organization's image, identity and brands through a diverse mix of web material, graphical user interfaces and multimedia delivered for the web. Ensures that the organization's website provides up-to-date and comprehensive product/service information that is easily available to existing and potential customers. May be responsible for social media marketing and online community management.</v>
      </c>
      <c r="Q306" s="39" t="str">
        <f>_xlfn.XLOOKUP(E306,'[1]2022 GI Position Descriptions'!E:E,'[1]2022 GI Position Descriptions'!G:G)</f>
        <v>Develops marketing, merchandising and creative strategies and affiliated programs to promote the organization's products and services through the Internet or other digital channels to increase exposure to and business from the target audience | Manages the implementation of digital marketing programs and analyzes their effectiveness | Establishes and manages the relationships with search engines and portal sites that are strategically aligned with the digital goals | Tracks usage trends of the organization's websites, including number and quality of visitors and advertising campaign impact | Develops and maintains website graphic designs and layout to support the organization's image, identity and brands through a diverse mix of web material, graphical user interfaces and multimedia delivered for the web | Ensures that the organization's website provides up-to-date and comprehensive product/service information that is easily available to existing and potential customers | May be responsible for social media marketing and online community management</v>
      </c>
      <c r="R306" s="22" t="str">
        <f>IF(LEFT(J306,1)="E","EX",LEFT(J306,1))</f>
        <v>M</v>
      </c>
      <c r="S306" s="22" t="str">
        <f>_xlfn.XLOOKUP($R306,'[1]Career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306" s="22" t="str">
        <f>J306</f>
        <v>M3</v>
      </c>
      <c r="U306" s="40" t="str">
        <f t="shared" si="9"/>
        <v>M3</v>
      </c>
      <c r="V306" s="22" t="str">
        <f>_xlfn.XLOOKUP(T306,'[1]Career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306" s="41" t="str">
        <f>J306&amp;"-"&amp;G306</f>
        <v>M3-15</v>
      </c>
      <c r="X306" s="42" t="str">
        <f>G306</f>
        <v>15</v>
      </c>
      <c r="Y306" s="22" t="str">
        <f>_xlfn.XLOOKUP(W306,'[1]Career Bands &amp; Levels'!A:A,'[1]Career Bands &amp; Levels'!C:C,"No Grade Differentiator")</f>
        <v xml:space="preserve">●	Looks beyond existing methodologies and own discipline to define and resolve complex problems
●	Develops plans and delivers results in fast-changing businesses and/or regulatory environments
●	Provides input to functional or departmental strategy		
●	Manages large, potentially diverse teams of managers and/or senior professionals		
		</v>
      </c>
      <c r="Z306" s="43" t="str">
        <f>IFERROR(O306&amp;" - "&amp;G306,"--")</f>
        <v>Senior Manager Digital Marketing - 15</v>
      </c>
      <c r="AA306" s="44" t="str">
        <f>_xlfn.XLOOKUP($H306,'[1]SIG Qualifications Input'!$D:$D,'[1]SIG Qualifications Input'!$H:$H)</f>
        <v xml:space="preserve">University degree or equivalent and 10+ years of work experience or equivalent
Profound experience in managing performance and results of diverse activities / multiple teams </v>
      </c>
    </row>
    <row r="307" spans="1:27" ht="288" customHeight="1" thickBot="1" x14ac:dyDescent="0.2">
      <c r="A307" s="34" t="str">
        <f>_xlfn.XLOOKUP(C307,'[1]SIG Job Families &amp; Descriptions'!F:F,'[1]SIG Job Families &amp; Descriptions'!B:B)</f>
        <v>Marketing</v>
      </c>
      <c r="B307" s="34" t="str">
        <f>_xlfn.XLOOKUP(C307,'[1]SIG Job Families &amp; Descriptions'!F:F,'[1]SIG Job Families &amp; Descriptions'!D:D)</f>
        <v>Digital Marketing</v>
      </c>
      <c r="C307" s="34" t="s">
        <v>92</v>
      </c>
      <c r="D307" s="30" t="str">
        <f t="shared" si="8"/>
        <v>AMK</v>
      </c>
      <c r="E307" s="31" t="str">
        <f>_xlfn.XLOOKUP(C307,'[1]SIG Job Families &amp; Descriptions'!F:F,'[1]SIG Job Families &amp; Descriptions'!A:A)</f>
        <v>AMK110</v>
      </c>
      <c r="F307" s="32" t="s">
        <v>29</v>
      </c>
      <c r="G307" s="33" t="s">
        <v>31</v>
      </c>
      <c r="H307" s="34" t="str">
        <f>F307&amp;"-"&amp;G307</f>
        <v>Management-14</v>
      </c>
      <c r="I307" s="35" t="str">
        <f>IF(ISERROR(_xlfn.XLOOKUP(H307,'[1]SIG Level Structure'!D:D,'[1]SIG Level Structure'!D:D)),"0","1")</f>
        <v>1</v>
      </c>
      <c r="J307" s="36" t="str">
        <f>_xlfn.XLOOKUP($H307,'[1]SIG Level Structure'!$D:$D,'[1]SIG Level Structure'!F:F)</f>
        <v>M3</v>
      </c>
      <c r="K307" s="37" t="str">
        <f>E307&amp;"-"&amp;J307&amp;"-"&amp;G307</f>
        <v>AMK110-M3-14</v>
      </c>
      <c r="L307" s="37" t="str">
        <f>IFERROR(D307&amp;"-"&amp;LEFT(J307,1),"--")</f>
        <v>AMK-M</v>
      </c>
      <c r="M307" s="37" t="str">
        <f>VLOOKUP(L307,'[1]Compatible JC'!$A:$A,1,FALSE)</f>
        <v>AMK-M</v>
      </c>
      <c r="N307" s="37" t="str">
        <f>IFERROR(_xlfn.XLOOKUP(H307,'[1]SIG Level Structure'!D:D,'[1]SIG Level Structure'!C:C),"--")</f>
        <v>Senior Manager</v>
      </c>
      <c r="O307" s="38" t="str">
        <f>IFERROR(TRIM(N307&amp;" "&amp;C307),"--")</f>
        <v>Senior Manager Digital Marketing</v>
      </c>
      <c r="P307" s="22" t="str">
        <f>_xlfn.XLOOKUP(E307,'[1]SIG Job Families &amp; Descriptions'!A:A,'[1]SIG Job Families &amp; Descriptions'!G:G)</f>
        <v>Develops marketing, merchandising and creative strategies and affiliated programs to promote the organization's products and services through the internet or other digital channels to increase exposure to and business from the target audience. Manages the implementation of digital marketing programs and analyzes their effectiveness. Establishes and manages the relationships with search engines and portal sites that are strategically aligned with the digital goals. Tracks usage trends of the organization's websites, including number and quality of visitors and advertising campaign impact. Develops and maintains website graphic designs and layout to support the organization's image, identity and brands through a diverse mix of web material, graphical user interfaces and multimedia delivered for the web. Ensures that the organization's website provides up-to-date and comprehensive product/service information that is easily available to existing and potential customers. May be responsible for social media marketing and online community management.</v>
      </c>
      <c r="Q307" s="39" t="str">
        <f>_xlfn.XLOOKUP(E307,'[1]2022 GI Position Descriptions'!E:E,'[1]2022 GI Position Descriptions'!G:G)</f>
        <v>Develops marketing, merchandising and creative strategies and affiliated programs to promote the organization's products and services through the Internet or other digital channels to increase exposure to and business from the target audience | Manages the implementation of digital marketing programs and analyzes their effectiveness | Establishes and manages the relationships with search engines and portal sites that are strategically aligned with the digital goals | Tracks usage trends of the organization's websites, including number and quality of visitors and advertising campaign impact | Develops and maintains website graphic designs and layout to support the organization's image, identity and brands through a diverse mix of web material, graphical user interfaces and multimedia delivered for the web | Ensures that the organization's website provides up-to-date and comprehensive product/service information that is easily available to existing and potential customers | May be responsible for social media marketing and online community management</v>
      </c>
      <c r="R307" s="22" t="str">
        <f>IF(LEFT(J307,1)="E","EX",LEFT(J307,1))</f>
        <v>M</v>
      </c>
      <c r="S307" s="22" t="str">
        <f>_xlfn.XLOOKUP($R307,'[1]Career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307" s="22" t="str">
        <f>J307</f>
        <v>M3</v>
      </c>
      <c r="U307" s="40" t="str">
        <f t="shared" si="9"/>
        <v>M3</v>
      </c>
      <c r="V307" s="22" t="str">
        <f>_xlfn.XLOOKUP(T307,'[1]Career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307" s="41" t="str">
        <f>J307&amp;"-"&amp;G307</f>
        <v>M3-14</v>
      </c>
      <c r="X307" s="42" t="str">
        <f>G307</f>
        <v>14</v>
      </c>
      <c r="Y307" s="22" t="str">
        <f>_xlfn.XLOOKUP(W307,'[1]Career Bands &amp; Levels'!A:A,'[1]Career Bands &amp; Levels'!C:C,"No Grade Differentiator")</f>
        <v xml:space="preserve">●	Identifies applications of functional knowledge and existing methodologies to complex problems	
●	Manages large teams of professionals and/or junior managers		
		</v>
      </c>
      <c r="Z307" s="43" t="str">
        <f>IFERROR(O307&amp;" - "&amp;G307,"--")</f>
        <v>Senior Manager Digital Marketing - 14</v>
      </c>
      <c r="AA307" s="44" t="str">
        <f>_xlfn.XLOOKUP($H307,'[1]SIG Qualifications Input'!$D:$D,'[1]SIG Qualifications Input'!$H:$H)</f>
        <v xml:space="preserve">University degree or equivalent and 10+ years of work experience or equivalent
Profound experience in managing performance and results of diverse activities / multiple teams </v>
      </c>
    </row>
    <row r="308" spans="1:27" ht="307" thickBot="1" x14ac:dyDescent="0.2">
      <c r="A308" s="34" t="str">
        <f>_xlfn.XLOOKUP(C308,'[1]SIG Job Families &amp; Descriptions'!F:F,'[1]SIG Job Families &amp; Descriptions'!B:B)</f>
        <v>Marketing</v>
      </c>
      <c r="B308" s="34" t="str">
        <f>_xlfn.XLOOKUP(C308,'[1]SIG Job Families &amp; Descriptions'!F:F,'[1]SIG Job Families &amp; Descriptions'!D:D)</f>
        <v>Digital Marketing</v>
      </c>
      <c r="C308" s="34" t="s">
        <v>92</v>
      </c>
      <c r="D308" s="30" t="str">
        <f t="shared" si="8"/>
        <v>AMK</v>
      </c>
      <c r="E308" s="31" t="str">
        <f>_xlfn.XLOOKUP(C308,'[1]SIG Job Families &amp; Descriptions'!F:F,'[1]SIG Job Families &amp; Descriptions'!A:A)</f>
        <v>AMK110</v>
      </c>
      <c r="F308" s="32" t="s">
        <v>32</v>
      </c>
      <c r="G308" s="33" t="s">
        <v>34</v>
      </c>
      <c r="H308" s="34" t="str">
        <f>F308&amp;"-"&amp;G308</f>
        <v>Professional-12</v>
      </c>
      <c r="I308" s="35" t="str">
        <f>IF(ISERROR(_xlfn.XLOOKUP(H308,'[1]SIG Level Structure'!D:D,'[1]SIG Level Structure'!D:D)),"0","1")</f>
        <v>1</v>
      </c>
      <c r="J308" s="36" t="str">
        <f>_xlfn.XLOOKUP($H308,'[1]SIG Level Structure'!$D:$D,'[1]SIG Level Structure'!F:F)</f>
        <v>P3</v>
      </c>
      <c r="K308" s="37" t="str">
        <f>E308&amp;"-"&amp;J308&amp;"-"&amp;G308</f>
        <v>AMK110-P3-12</v>
      </c>
      <c r="L308" s="37" t="str">
        <f>IFERROR(D308&amp;"-"&amp;LEFT(J308,1),"--")</f>
        <v>AMK-P</v>
      </c>
      <c r="M308" s="37" t="str">
        <f>VLOOKUP(L308,'[1]Compatible JC'!$A:$A,1,FALSE)</f>
        <v>AMK-P</v>
      </c>
      <c r="N308" s="37" t="str">
        <f>IFERROR(_xlfn.XLOOKUP(H308,'[1]SIG Level Structure'!D:D,'[1]SIG Level Structure'!C:C),"--")</f>
        <v>Expert</v>
      </c>
      <c r="O308" s="38" t="str">
        <f>IFERROR(TRIM(N308&amp;" "&amp;C308),"--")</f>
        <v>Expert Digital Marketing</v>
      </c>
      <c r="P308" s="22" t="str">
        <f>_xlfn.XLOOKUP(E308,'[1]SIG Job Families &amp; Descriptions'!A:A,'[1]SIG Job Families &amp; Descriptions'!G:G)</f>
        <v>Develops marketing, merchandising and creative strategies and affiliated programs to promote the organization's products and services through the internet or other digital channels to increase exposure to and business from the target audience. Manages the implementation of digital marketing programs and analyzes their effectiveness. Establishes and manages the relationships with search engines and portal sites that are strategically aligned with the digital goals. Tracks usage trends of the organization's websites, including number and quality of visitors and advertising campaign impact. Develops and maintains website graphic designs and layout to support the organization's image, identity and brands through a diverse mix of web material, graphical user interfaces and multimedia delivered for the web. Ensures that the organization's website provides up-to-date and comprehensive product/service information that is easily available to existing and potential customers. May be responsible for social media marketing and online community management.</v>
      </c>
      <c r="Q308" s="39" t="str">
        <f>_xlfn.XLOOKUP(E308,'[1]2022 GI Position Descriptions'!E:E,'[1]2022 GI Position Descriptions'!G:G)</f>
        <v>Develops marketing, merchandising and creative strategies and affiliated programs to promote the organization's products and services through the Internet or other digital channels to increase exposure to and business from the target audience | Manages the implementation of digital marketing programs and analyzes their effectiveness | Establishes and manages the relationships with search engines and portal sites that are strategically aligned with the digital goals | Tracks usage trends of the organization's websites, including number and quality of visitors and advertising campaign impact | Develops and maintains website graphic designs and layout to support the organization's image, identity and brands through a diverse mix of web material, graphical user interfaces and multimedia delivered for the web | Ensures that the organization's website provides up-to-date and comprehensive product/service information that is easily available to existing and potential customers | May be responsible for social media marketing and online community management</v>
      </c>
      <c r="R308" s="22" t="str">
        <f>IF(LEFT(J308,1)="E","EX",LEFT(J308,1))</f>
        <v>P</v>
      </c>
      <c r="S308" s="22" t="str">
        <f>_xlfn.XLOOKUP($R308,'[1]Career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08" s="22" t="str">
        <f>J308</f>
        <v>P3</v>
      </c>
      <c r="U308" s="40" t="str">
        <f t="shared" si="9"/>
        <v>P3</v>
      </c>
      <c r="V308" s="22" t="str">
        <f>_xlfn.XLOOKUP(T308,'[1]Career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308" s="41" t="str">
        <f>J308&amp;"-"&amp;G308</f>
        <v>P3-12</v>
      </c>
      <c r="X308" s="42" t="str">
        <f>G308</f>
        <v>12</v>
      </c>
      <c r="Y308" s="22" t="str">
        <f>_xlfn.XLOOKUP(W308,'[1]Career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308" s="43" t="str">
        <f>IFERROR(O308&amp;" - "&amp;G308,"--")</f>
        <v>Expert Digital Marketing - 12</v>
      </c>
      <c r="AA308" s="44" t="str">
        <f>_xlfn.XLOOKUP($H308,'[1]SIG Qualifications Input'!$D:$D,'[1]SIG Qualifications Input'!$H:$H)</f>
        <v>University degree or equivalent and 4-8 years of work experience or equivalent, 
Initial experience in functionally leading (sub-) projects</v>
      </c>
    </row>
    <row r="309" spans="1:27" ht="303.75" customHeight="1" thickBot="1" x14ac:dyDescent="0.2">
      <c r="A309" s="34" t="str">
        <f>_xlfn.XLOOKUP(C309,'[1]SIG Job Families &amp; Descriptions'!F:F,'[1]SIG Job Families &amp; Descriptions'!B:B)</f>
        <v>Marketing</v>
      </c>
      <c r="B309" s="34" t="str">
        <f>_xlfn.XLOOKUP(C309,'[1]SIG Job Families &amp; Descriptions'!F:F,'[1]SIG Job Families &amp; Descriptions'!D:D)</f>
        <v>Digital Marketing</v>
      </c>
      <c r="C309" s="34" t="s">
        <v>92</v>
      </c>
      <c r="D309" s="30" t="str">
        <f t="shared" si="8"/>
        <v>AMK</v>
      </c>
      <c r="E309" s="31" t="str">
        <f>_xlfn.XLOOKUP(C309,'[1]SIG Job Families &amp; Descriptions'!F:F,'[1]SIG Job Families &amp; Descriptions'!A:A)</f>
        <v>AMK110</v>
      </c>
      <c r="F309" s="32" t="s">
        <v>32</v>
      </c>
      <c r="G309" s="33" t="s">
        <v>35</v>
      </c>
      <c r="H309" s="34" t="str">
        <f>F309&amp;"-"&amp;G309</f>
        <v>Professional-11</v>
      </c>
      <c r="I309" s="35" t="str">
        <f>IF(ISERROR(_xlfn.XLOOKUP(H309,'[1]SIG Level Structure'!D:D,'[1]SIG Level Structure'!D:D)),"0","1")</f>
        <v>1</v>
      </c>
      <c r="J309" s="36" t="str">
        <f>_xlfn.XLOOKUP($H309,'[1]SIG Level Structure'!$D:$D,'[1]SIG Level Structure'!F:F)</f>
        <v>P3</v>
      </c>
      <c r="K309" s="37" t="str">
        <f>E309&amp;"-"&amp;J309&amp;"-"&amp;G309</f>
        <v>AMK110-P3-11</v>
      </c>
      <c r="L309" s="37" t="str">
        <f>IFERROR(D309&amp;"-"&amp;LEFT(J309,1),"--")</f>
        <v>AMK-P</v>
      </c>
      <c r="M309" s="37" t="str">
        <f>VLOOKUP(L309,'[1]Compatible JC'!$A:$A,1,FALSE)</f>
        <v>AMK-P</v>
      </c>
      <c r="N309" s="37" t="str">
        <f>IFERROR(_xlfn.XLOOKUP(H309,'[1]SIG Level Structure'!D:D,'[1]SIG Level Structure'!C:C),"--")</f>
        <v>Expert</v>
      </c>
      <c r="O309" s="38" t="str">
        <f>IFERROR(TRIM(N309&amp;" "&amp;C309),"--")</f>
        <v>Expert Digital Marketing</v>
      </c>
      <c r="P309" s="22" t="str">
        <f>_xlfn.XLOOKUP(E309,'[1]SIG Job Families &amp; Descriptions'!A:A,'[1]SIG Job Families &amp; Descriptions'!G:G)</f>
        <v>Develops marketing, merchandising and creative strategies and affiliated programs to promote the organization's products and services through the internet or other digital channels to increase exposure to and business from the target audience. Manages the implementation of digital marketing programs and analyzes their effectiveness. Establishes and manages the relationships with search engines and portal sites that are strategically aligned with the digital goals. Tracks usage trends of the organization's websites, including number and quality of visitors and advertising campaign impact. Develops and maintains website graphic designs and layout to support the organization's image, identity and brands through a diverse mix of web material, graphical user interfaces and multimedia delivered for the web. Ensures that the organization's website provides up-to-date and comprehensive product/service information that is easily available to existing and potential customers. May be responsible for social media marketing and online community management.</v>
      </c>
      <c r="Q309" s="39" t="str">
        <f>_xlfn.XLOOKUP(E309,'[1]2022 GI Position Descriptions'!E:E,'[1]2022 GI Position Descriptions'!G:G)</f>
        <v>Develops marketing, merchandising and creative strategies and affiliated programs to promote the organization's products and services through the Internet or other digital channels to increase exposure to and business from the target audience | Manages the implementation of digital marketing programs and analyzes their effectiveness | Establishes and manages the relationships with search engines and portal sites that are strategically aligned with the digital goals | Tracks usage trends of the organization's websites, including number and quality of visitors and advertising campaign impact | Develops and maintains website graphic designs and layout to support the organization's image, identity and brands through a diverse mix of web material, graphical user interfaces and multimedia delivered for the web | Ensures that the organization's website provides up-to-date and comprehensive product/service information that is easily available to existing and potential customers | May be responsible for social media marketing and online community management</v>
      </c>
      <c r="R309" s="22" t="str">
        <f>IF(LEFT(J309,1)="E","EX",LEFT(J309,1))</f>
        <v>P</v>
      </c>
      <c r="S309" s="22" t="str">
        <f>_xlfn.XLOOKUP($R309,'[1]Career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09" s="22" t="str">
        <f>J309</f>
        <v>P3</v>
      </c>
      <c r="U309" s="40" t="str">
        <f t="shared" si="9"/>
        <v>P3</v>
      </c>
      <c r="V309" s="22" t="str">
        <f>_xlfn.XLOOKUP(T309,'[1]Career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309" s="41" t="str">
        <f>J309&amp;"-"&amp;G309</f>
        <v>P3-11</v>
      </c>
      <c r="X309" s="42" t="str">
        <f>G309</f>
        <v>11</v>
      </c>
      <c r="Y309" s="22" t="str">
        <f>_xlfn.XLOOKUP(W309,'[1]Career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309" s="43" t="str">
        <f>IFERROR(O309&amp;" - "&amp;G309,"--")</f>
        <v>Expert Digital Marketing - 11</v>
      </c>
      <c r="AA309" s="44" t="str">
        <f>_xlfn.XLOOKUP($H309,'[1]SIG Qualifications Input'!$D:$D,'[1]SIG Qualifications Input'!$H:$H)</f>
        <v>University degree or equivalent and 4-8 years of work experience or equivalent, 
Initial experience in functionally leading (sub-) projects</v>
      </c>
    </row>
    <row r="310" spans="1:27" ht="211" thickBot="1" x14ac:dyDescent="0.2">
      <c r="A310" s="34" t="str">
        <f>_xlfn.XLOOKUP(C310,'[1]SIG Job Families &amp; Descriptions'!F:F,'[1]SIG Job Families &amp; Descriptions'!B:B)</f>
        <v>Marketing</v>
      </c>
      <c r="B310" s="34" t="str">
        <f>_xlfn.XLOOKUP(C310,'[1]SIG Job Families &amp; Descriptions'!F:F,'[1]SIG Job Families &amp; Descriptions'!D:D)</f>
        <v>Product &amp; Portfolio Management</v>
      </c>
      <c r="C310" s="34" t="s">
        <v>90</v>
      </c>
      <c r="D310" s="30" t="str">
        <f t="shared" si="8"/>
        <v>AMK</v>
      </c>
      <c r="E310" s="31" t="str">
        <f>_xlfn.XLOOKUP(C310,'[1]SIG Job Families &amp; Descriptions'!F:F,'[1]SIG Job Families &amp; Descriptions'!A:A)</f>
        <v>AMK050</v>
      </c>
      <c r="F310" s="32" t="s">
        <v>32</v>
      </c>
      <c r="G310" s="33" t="s">
        <v>35</v>
      </c>
      <c r="H310" s="34" t="str">
        <f>F310&amp;"-"&amp;G310</f>
        <v>Professional-11</v>
      </c>
      <c r="I310" s="35" t="str">
        <f>IF(ISERROR(_xlfn.XLOOKUP(H310,'[1]SIG Level Structure'!D:D,'[1]SIG Level Structure'!D:D)),"0","1")</f>
        <v>1</v>
      </c>
      <c r="J310" s="36" t="str">
        <f>_xlfn.XLOOKUP($H310,'[1]SIG Level Structure'!$D:$D,'[1]SIG Level Structure'!F:F)</f>
        <v>P3</v>
      </c>
      <c r="K310" s="37" t="str">
        <f>E310&amp;"-"&amp;J310&amp;"-"&amp;G310</f>
        <v>AMK050-P3-11</v>
      </c>
      <c r="L310" s="37" t="str">
        <f>IFERROR(D310&amp;"-"&amp;LEFT(J310,1),"--")</f>
        <v>AMK-P</v>
      </c>
      <c r="M310" s="37" t="str">
        <f>VLOOKUP(L310,'[1]Compatible JC'!$A:$A,1,FALSE)</f>
        <v>AMK-P</v>
      </c>
      <c r="N310" s="37" t="str">
        <f>IFERROR(_xlfn.XLOOKUP(H310,'[1]SIG Level Structure'!D:D,'[1]SIG Level Structure'!C:C),"--")</f>
        <v>Expert</v>
      </c>
      <c r="O310" s="38" t="str">
        <f>IFERROR(TRIM(N310&amp;" "&amp;C310),"--")</f>
        <v>Expert Product &amp; Portfolio Management</v>
      </c>
      <c r="P310" s="22" t="str">
        <f>_xlfn.XLOOKUP(E310,'[1]SIG Job Families &amp; Descriptions'!A:A,'[1]SIG Job Families &amp; Descriptions'!G:G)</f>
        <v xml:space="preserve">Develops and directs marketing programs for a significant product or product category/lines. Compiles and evaluates research on the market's product requirements and identifies enhancements to current features and functionality. Establishes marketing strategies and tactics including e. g. product direction, advertising, expense budgets, profit plans and future product (portfolio) development to meet company's portfolio objectives and manage a product or product category's life cycle. Interfaces with engineers, designers, suppliers and customers to develop product requirements and specifications. Analyze needs of the products and allocate resources to optimize market performance. </v>
      </c>
      <c r="Q310" s="39" t="str">
        <f>_xlfn.XLOOKUP(E310,'[1]2022 GI Position Descriptions'!E:E,'[1]2022 GI Position Descriptions'!G:G)</f>
        <v>Develops and directs marketing programs for a significant product or product category | Compiles and evaluates research on the market's product requirements and identifies enhancements to current features and functionality | Establishes marketing strategies, including product direction, advertising, packaging, pricing, expense budgets, profit plans and future product development, to manage a product or product category's life cycle | Interfaces with engineers, designers, suppliers and customers to develop product requirements and specifications | Prepares and coordinates product introductions and updates</v>
      </c>
      <c r="R310" s="22" t="str">
        <f>IF(LEFT(J310,1)="E","EX",LEFT(J310,1))</f>
        <v>P</v>
      </c>
      <c r="S310" s="22" t="str">
        <f>_xlfn.XLOOKUP($R310,'[1]Career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10" s="22" t="str">
        <f>J310</f>
        <v>P3</v>
      </c>
      <c r="U310" s="40" t="str">
        <f t="shared" si="9"/>
        <v>P3</v>
      </c>
      <c r="V310" s="22" t="str">
        <f>_xlfn.XLOOKUP(T310,'[1]Career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310" s="41" t="str">
        <f>J310&amp;"-"&amp;G310</f>
        <v>P3-11</v>
      </c>
      <c r="X310" s="42" t="str">
        <f>G310</f>
        <v>11</v>
      </c>
      <c r="Y310" s="22" t="str">
        <f>_xlfn.XLOOKUP(W310,'[1]Career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310" s="43" t="str">
        <f>IFERROR(O310&amp;" - "&amp;G310,"--")</f>
        <v>Expert Product &amp; Portfolio Management - 11</v>
      </c>
      <c r="AA310" s="44" t="str">
        <f>_xlfn.XLOOKUP($H310,'[1]SIG Qualifications Input'!$D:$D,'[1]SIG Qualifications Input'!$H:$H)</f>
        <v>University degree or equivalent and 4-8 years of work experience or equivalent, 
Initial experience in functionally leading (sub-) projects</v>
      </c>
    </row>
    <row r="311" spans="1:27" ht="211" thickBot="1" x14ac:dyDescent="0.2">
      <c r="A311" s="34" t="str">
        <f>_xlfn.XLOOKUP(C311,'[1]SIG Job Families &amp; Descriptions'!F:F,'[1]SIG Job Families &amp; Descriptions'!B:B)</f>
        <v>Marketing</v>
      </c>
      <c r="B311" s="34" t="str">
        <f>_xlfn.XLOOKUP(C311,'[1]SIG Job Families &amp; Descriptions'!F:F,'[1]SIG Job Families &amp; Descriptions'!D:D)</f>
        <v>Product &amp; Portfolio Management</v>
      </c>
      <c r="C311" s="34" t="s">
        <v>90</v>
      </c>
      <c r="D311" s="30" t="str">
        <f t="shared" si="8"/>
        <v>AMK</v>
      </c>
      <c r="E311" s="31" t="str">
        <f>_xlfn.XLOOKUP(C311,'[1]SIG Job Families &amp; Descriptions'!F:F,'[1]SIG Job Families &amp; Descriptions'!A:A)</f>
        <v>AMK050</v>
      </c>
      <c r="F311" s="32" t="s">
        <v>32</v>
      </c>
      <c r="G311" s="33" t="s">
        <v>34</v>
      </c>
      <c r="H311" s="34" t="str">
        <f>F311&amp;"-"&amp;G311</f>
        <v>Professional-12</v>
      </c>
      <c r="I311" s="35" t="str">
        <f>IF(ISERROR(_xlfn.XLOOKUP(H311,'[1]SIG Level Structure'!D:D,'[1]SIG Level Structure'!D:D)),"0","1")</f>
        <v>1</v>
      </c>
      <c r="J311" s="36" t="str">
        <f>_xlfn.XLOOKUP($H311,'[1]SIG Level Structure'!$D:$D,'[1]SIG Level Structure'!F:F)</f>
        <v>P3</v>
      </c>
      <c r="K311" s="37" t="str">
        <f>E311&amp;"-"&amp;J311&amp;"-"&amp;G311</f>
        <v>AMK050-P3-12</v>
      </c>
      <c r="L311" s="37" t="str">
        <f>IFERROR(D311&amp;"-"&amp;LEFT(J311,1),"--")</f>
        <v>AMK-P</v>
      </c>
      <c r="M311" s="37" t="str">
        <f>VLOOKUP(L311,'[1]Compatible JC'!$A:$A,1,FALSE)</f>
        <v>AMK-P</v>
      </c>
      <c r="N311" s="37" t="str">
        <f>IFERROR(_xlfn.XLOOKUP(H311,'[1]SIG Level Structure'!D:D,'[1]SIG Level Structure'!C:C),"--")</f>
        <v>Expert</v>
      </c>
      <c r="O311" s="38" t="str">
        <f>IFERROR(TRIM(N311&amp;" "&amp;C311),"--")</f>
        <v>Expert Product &amp; Portfolio Management</v>
      </c>
      <c r="P311" s="22" t="str">
        <f>_xlfn.XLOOKUP(E311,'[1]SIG Job Families &amp; Descriptions'!A:A,'[1]SIG Job Families &amp; Descriptions'!G:G)</f>
        <v xml:space="preserve">Develops and directs marketing programs for a significant product or product category/lines. Compiles and evaluates research on the market's product requirements and identifies enhancements to current features and functionality. Establishes marketing strategies and tactics including e. g. product direction, advertising, expense budgets, profit plans and future product (portfolio) development to meet company's portfolio objectives and manage a product or product category's life cycle. Interfaces with engineers, designers, suppliers and customers to develop product requirements and specifications. Analyze needs of the products and allocate resources to optimize market performance. </v>
      </c>
      <c r="Q311" s="39" t="str">
        <f>_xlfn.XLOOKUP(E311,'[1]2022 GI Position Descriptions'!E:E,'[1]2022 GI Position Descriptions'!G:G)</f>
        <v>Develops and directs marketing programs for a significant product or product category | Compiles and evaluates research on the market's product requirements and identifies enhancements to current features and functionality | Establishes marketing strategies, including product direction, advertising, packaging, pricing, expense budgets, profit plans and future product development, to manage a product or product category's life cycle | Interfaces with engineers, designers, suppliers and customers to develop product requirements and specifications | Prepares and coordinates product introductions and updates</v>
      </c>
      <c r="R311" s="22" t="str">
        <f>IF(LEFT(J311,1)="E","EX",LEFT(J311,1))</f>
        <v>P</v>
      </c>
      <c r="S311" s="22" t="str">
        <f>_xlfn.XLOOKUP($R311,'[1]Career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11" s="22" t="str">
        <f>J311</f>
        <v>P3</v>
      </c>
      <c r="U311" s="40" t="str">
        <f t="shared" si="9"/>
        <v>P3</v>
      </c>
      <c r="V311" s="22" t="str">
        <f>_xlfn.XLOOKUP(T311,'[1]Career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311" s="41" t="str">
        <f>J311&amp;"-"&amp;G311</f>
        <v>P3-12</v>
      </c>
      <c r="X311" s="42" t="str">
        <f>G311</f>
        <v>12</v>
      </c>
      <c r="Y311" s="22" t="str">
        <f>_xlfn.XLOOKUP(W311,'[1]Career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311" s="43" t="str">
        <f>IFERROR(O311&amp;" - "&amp;G311,"--")</f>
        <v>Expert Product &amp; Portfolio Management - 12</v>
      </c>
      <c r="AA311" s="44" t="str">
        <f>_xlfn.XLOOKUP($H311,'[1]SIG Qualifications Input'!$D:$D,'[1]SIG Qualifications Input'!$H:$H)</f>
        <v>University degree or equivalent and 4-8 years of work experience or equivalent, 
Initial experience in functionally leading (sub-) projects</v>
      </c>
    </row>
    <row r="312" spans="1:27" ht="211" thickBot="1" x14ac:dyDescent="0.2">
      <c r="A312" s="34" t="str">
        <f>_xlfn.XLOOKUP(C312,'[1]SIG Job Families &amp; Descriptions'!F:F,'[1]SIG Job Families &amp; Descriptions'!B:B)</f>
        <v>Marketing</v>
      </c>
      <c r="B312" s="34" t="str">
        <f>_xlfn.XLOOKUP(C312,'[1]SIG Job Families &amp; Descriptions'!F:F,'[1]SIG Job Families &amp; Descriptions'!D:D)</f>
        <v>Product &amp; Portfolio Management</v>
      </c>
      <c r="C312" s="34" t="s">
        <v>90</v>
      </c>
      <c r="D312" s="30" t="str">
        <f t="shared" si="8"/>
        <v>AMK</v>
      </c>
      <c r="E312" s="31" t="str">
        <f>_xlfn.XLOOKUP(C312,'[1]SIG Job Families &amp; Descriptions'!F:F,'[1]SIG Job Families &amp; Descriptions'!A:A)</f>
        <v>AMK050</v>
      </c>
      <c r="F312" s="32" t="s">
        <v>32</v>
      </c>
      <c r="G312" s="33" t="s">
        <v>36</v>
      </c>
      <c r="H312" s="34" t="str">
        <f>F312&amp;"-"&amp;G312</f>
        <v>Professional-10</v>
      </c>
      <c r="I312" s="35" t="str">
        <f>IF(ISERROR(_xlfn.XLOOKUP(H312,'[1]SIG Level Structure'!D:D,'[1]SIG Level Structure'!D:D)),"0","1")</f>
        <v>1</v>
      </c>
      <c r="J312" s="36" t="str">
        <f>_xlfn.XLOOKUP($H312,'[1]SIG Level Structure'!$D:$D,'[1]SIG Level Structure'!F:F)</f>
        <v>P2</v>
      </c>
      <c r="K312" s="37" t="str">
        <f>E312&amp;"-"&amp;J312&amp;"-"&amp;G312</f>
        <v>AMK050-P2-10</v>
      </c>
      <c r="L312" s="37" t="str">
        <f>IFERROR(D312&amp;"-"&amp;LEFT(J312,1),"--")</f>
        <v>AMK-P</v>
      </c>
      <c r="M312" s="37" t="str">
        <f>VLOOKUP(L312,'[1]Compatible JC'!$A:$A,1,FALSE)</f>
        <v>AMK-P</v>
      </c>
      <c r="N312" s="37" t="str">
        <f>IFERROR(_xlfn.XLOOKUP(H312,'[1]SIG Level Structure'!D:D,'[1]SIG Level Structure'!C:C),"--")</f>
        <v>Senior Specialist</v>
      </c>
      <c r="O312" s="38" t="str">
        <f>IFERROR(TRIM(N312&amp;" "&amp;C312),"--")</f>
        <v>Senior Specialist Product &amp; Portfolio Management</v>
      </c>
      <c r="P312" s="22" t="str">
        <f>_xlfn.XLOOKUP(E312,'[1]SIG Job Families &amp; Descriptions'!A:A,'[1]SIG Job Families &amp; Descriptions'!G:G)</f>
        <v xml:space="preserve">Develops and directs marketing programs for a significant product or product category/lines. Compiles and evaluates research on the market's product requirements and identifies enhancements to current features and functionality. Establishes marketing strategies and tactics including e. g. product direction, advertising, expense budgets, profit plans and future product (portfolio) development to meet company's portfolio objectives and manage a product or product category's life cycle. Interfaces with engineers, designers, suppliers and customers to develop product requirements and specifications. Analyze needs of the products and allocate resources to optimize market performance. </v>
      </c>
      <c r="Q312" s="39" t="str">
        <f>_xlfn.XLOOKUP(E312,'[1]2022 GI Position Descriptions'!E:E,'[1]2022 GI Position Descriptions'!G:G)</f>
        <v>Develops and directs marketing programs for a significant product or product category | Compiles and evaluates research on the market's product requirements and identifies enhancements to current features and functionality | Establishes marketing strategies, including product direction, advertising, packaging, pricing, expense budgets, profit plans and future product development, to manage a product or product category's life cycle | Interfaces with engineers, designers, suppliers and customers to develop product requirements and specifications | Prepares and coordinates product introductions and updates</v>
      </c>
      <c r="R312" s="22" t="str">
        <f>IF(LEFT(J312,1)="E","EX",LEFT(J312,1))</f>
        <v>P</v>
      </c>
      <c r="S312" s="22" t="str">
        <f>_xlfn.XLOOKUP($R312,'[1]Career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12" s="22" t="str">
        <f>J312</f>
        <v>P2</v>
      </c>
      <c r="U312" s="40" t="str">
        <f t="shared" si="9"/>
        <v>P2</v>
      </c>
      <c r="V312" s="22" t="str">
        <f>_xlfn.XLOOKUP(T312,'[1]Career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312" s="41" t="str">
        <f>J312&amp;"-"&amp;G312</f>
        <v>P2-10</v>
      </c>
      <c r="X312" s="42" t="str">
        <f>G312</f>
        <v>10</v>
      </c>
      <c r="Y312" s="22" t="str">
        <f>_xlfn.XLOOKUP(W312,'[1]Career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312" s="43" t="str">
        <f>IFERROR(O312&amp;" - "&amp;G312,"--")</f>
        <v>Senior Specialist Product &amp; Portfolio Management - 10</v>
      </c>
      <c r="AA312" s="44" t="str">
        <f>_xlfn.XLOOKUP($H312,'[1]SIG Qualifications Input'!$D:$D,'[1]SIG Qualifications Input'!$H:$H)</f>
        <v>University degree or equivalent and 2-4 years of work experience or equivalent</v>
      </c>
    </row>
    <row r="313" spans="1:27" ht="207.75" customHeight="1" thickBot="1" x14ac:dyDescent="0.2">
      <c r="A313" s="34" t="str">
        <f>_xlfn.XLOOKUP(C313,'[1]SIG Job Families &amp; Descriptions'!F:F,'[1]SIG Job Families &amp; Descriptions'!B:B)</f>
        <v>Marketing</v>
      </c>
      <c r="B313" s="34" t="str">
        <f>_xlfn.XLOOKUP(C313,'[1]SIG Job Families &amp; Descriptions'!F:F,'[1]SIG Job Families &amp; Descriptions'!D:D)</f>
        <v>Product &amp; Portfolio Management</v>
      </c>
      <c r="C313" s="34" t="s">
        <v>90</v>
      </c>
      <c r="D313" s="30" t="str">
        <f t="shared" si="8"/>
        <v>AMK</v>
      </c>
      <c r="E313" s="31" t="str">
        <f>_xlfn.XLOOKUP(C313,'[1]SIG Job Families &amp; Descriptions'!F:F,'[1]SIG Job Families &amp; Descriptions'!A:A)</f>
        <v>AMK050</v>
      </c>
      <c r="F313" s="32" t="s">
        <v>32</v>
      </c>
      <c r="G313" s="33" t="s">
        <v>37</v>
      </c>
      <c r="H313" s="34" t="str">
        <f>F313&amp;"-"&amp;G313</f>
        <v>Professional-09</v>
      </c>
      <c r="I313" s="35" t="str">
        <f>IF(ISERROR(_xlfn.XLOOKUP(H313,'[1]SIG Level Structure'!D:D,'[1]SIG Level Structure'!D:D)),"0","1")</f>
        <v>1</v>
      </c>
      <c r="J313" s="36" t="str">
        <f>_xlfn.XLOOKUP($H313,'[1]SIG Level Structure'!$D:$D,'[1]SIG Level Structure'!F:F)</f>
        <v>P2</v>
      </c>
      <c r="K313" s="37" t="str">
        <f>E313&amp;"-"&amp;J313&amp;"-"&amp;G313</f>
        <v>AMK050-P2-09</v>
      </c>
      <c r="L313" s="37" t="str">
        <f>IFERROR(D313&amp;"-"&amp;LEFT(J313,1),"--")</f>
        <v>AMK-P</v>
      </c>
      <c r="M313" s="37" t="str">
        <f>VLOOKUP(L313,'[1]Compatible JC'!$A:$A,1,FALSE)</f>
        <v>AMK-P</v>
      </c>
      <c r="N313" s="37" t="str">
        <f>IFERROR(_xlfn.XLOOKUP(H313,'[1]SIG Level Structure'!D:D,'[1]SIG Level Structure'!C:C),"--")</f>
        <v>Senior Specialist</v>
      </c>
      <c r="O313" s="38" t="str">
        <f>IFERROR(TRIM(N313&amp;" "&amp;C313),"--")</f>
        <v>Senior Specialist Product &amp; Portfolio Management</v>
      </c>
      <c r="P313" s="22" t="str">
        <f>_xlfn.XLOOKUP(E313,'[1]SIG Job Families &amp; Descriptions'!A:A,'[1]SIG Job Families &amp; Descriptions'!G:G)</f>
        <v xml:space="preserve">Develops and directs marketing programs for a significant product or product category/lines. Compiles and evaluates research on the market's product requirements and identifies enhancements to current features and functionality. Establishes marketing strategies and tactics including e. g. product direction, advertising, expense budgets, profit plans and future product (portfolio) development to meet company's portfolio objectives and manage a product or product category's life cycle. Interfaces with engineers, designers, suppliers and customers to develop product requirements and specifications. Analyze needs of the products and allocate resources to optimize market performance. </v>
      </c>
      <c r="Q313" s="39" t="str">
        <f>_xlfn.XLOOKUP(E313,'[1]2022 GI Position Descriptions'!E:E,'[1]2022 GI Position Descriptions'!G:G)</f>
        <v>Develops and directs marketing programs for a significant product or product category | Compiles and evaluates research on the market's product requirements and identifies enhancements to current features and functionality | Establishes marketing strategies, including product direction, advertising, packaging, pricing, expense budgets, profit plans and future product development, to manage a product or product category's life cycle | Interfaces with engineers, designers, suppliers and customers to develop product requirements and specifications | Prepares and coordinates product introductions and updates</v>
      </c>
      <c r="R313" s="22" t="str">
        <f>IF(LEFT(J313,1)="E","EX",LEFT(J313,1))</f>
        <v>P</v>
      </c>
      <c r="S313" s="22" t="str">
        <f>_xlfn.XLOOKUP($R313,'[1]Career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13" s="22" t="str">
        <f>J313</f>
        <v>P2</v>
      </c>
      <c r="U313" s="40" t="str">
        <f t="shared" si="9"/>
        <v>P2</v>
      </c>
      <c r="V313" s="22" t="str">
        <f>_xlfn.XLOOKUP(T313,'[1]Career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313" s="41" t="str">
        <f>J313&amp;"-"&amp;G313</f>
        <v>P2-09</v>
      </c>
      <c r="X313" s="42" t="str">
        <f>G313</f>
        <v>09</v>
      </c>
      <c r="Y313" s="22" t="str">
        <f>_xlfn.XLOOKUP(W313,'[1]Career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313" s="43" t="str">
        <f>IFERROR(O313&amp;" - "&amp;G313,"--")</f>
        <v>Senior Specialist Product &amp; Portfolio Management - 09</v>
      </c>
      <c r="AA313" s="44" t="str">
        <f>_xlfn.XLOOKUP($H313,'[1]SIG Qualifications Input'!$D:$D,'[1]SIG Qualifications Input'!$H:$H)</f>
        <v>University degree or equivalent and 2-4 years of work experience or equivalent</v>
      </c>
    </row>
    <row r="314" spans="1:27" ht="169" thickBot="1" x14ac:dyDescent="0.2">
      <c r="A314" s="34" t="str">
        <f>_xlfn.XLOOKUP(C314,'[1]SIG Job Families &amp; Descriptions'!F:F,'[1]SIG Job Families &amp; Descriptions'!B:B)</f>
        <v>Marketing</v>
      </c>
      <c r="B314" s="34" t="str">
        <f>_xlfn.XLOOKUP(C314,'[1]SIG Job Families &amp; Descriptions'!F:F,'[1]SIG Job Families &amp; Descriptions'!D:D)</f>
        <v>General Marketing</v>
      </c>
      <c r="C314" s="34" t="s">
        <v>89</v>
      </c>
      <c r="D314" s="30" t="str">
        <f t="shared" si="8"/>
        <v>AMJ</v>
      </c>
      <c r="E314" s="31" t="str">
        <f>_xlfn.XLOOKUP(C314,'[1]SIG Job Families &amp; Descriptions'!F:F,'[1]SIG Job Families &amp; Descriptions'!A:A)</f>
        <v>AMJ000</v>
      </c>
      <c r="F314" s="32" t="s">
        <v>32</v>
      </c>
      <c r="G314" s="33" t="s">
        <v>33</v>
      </c>
      <c r="H314" s="34" t="str">
        <f>F314&amp;"-"&amp;G314</f>
        <v>Professional-13</v>
      </c>
      <c r="I314" s="35" t="str">
        <f>IF(ISERROR(_xlfn.XLOOKUP(H314,'[1]SIG Level Structure'!D:D,'[1]SIG Level Structure'!D:D)),"0","1")</f>
        <v>1</v>
      </c>
      <c r="J314" s="36" t="str">
        <f>_xlfn.XLOOKUP($H314,'[1]SIG Level Structure'!$D:$D,'[1]SIG Level Structure'!F:F)</f>
        <v>P4</v>
      </c>
      <c r="K314" s="37" t="str">
        <f>E314&amp;"-"&amp;J314&amp;"-"&amp;G314</f>
        <v>AMJ000-P4-13</v>
      </c>
      <c r="L314" s="37" t="str">
        <f>IFERROR(D314&amp;"-"&amp;LEFT(J314,1),"--")</f>
        <v>AMJ-P</v>
      </c>
      <c r="M314" s="37" t="str">
        <f>VLOOKUP(L314,'[1]Compatible JC'!$A:$A,1,FALSE)</f>
        <v>AMJ-P</v>
      </c>
      <c r="N314" s="37" t="str">
        <f>IFERROR(_xlfn.XLOOKUP(H314,'[1]SIG Level Structure'!D:D,'[1]SIG Level Structure'!C:C),"--")</f>
        <v>Senior Expert</v>
      </c>
      <c r="O314" s="38" t="str">
        <f>IFERROR(TRIM(N314&amp;" "&amp;C314),"--")</f>
        <v>Senior Expert Business Development</v>
      </c>
      <c r="P314" s="22" t="str">
        <f>_xlfn.XLOOKUP(E314,'[1]SIG Job Families &amp; Descriptions'!A:A,'[1]SIG Job Families &amp; Descriptions'!G:G)</f>
        <v xml:space="preserve">Designs, develops and implements marketing programs and/or pricing strategies to support the organization's products, services or market sector. Uses specific marketing strategies and media (e.g., print, broadcast, digital) to launch and position products and services in a sector. Identifies and implements marketing strategies and programs in collaboration with sales and technical teams. Responsibilities are typically within the marketing function as a generalist or in a combination of disciplines. 
</v>
      </c>
      <c r="Q314" s="39" t="str">
        <f>_xlfn.XLOOKUP(E314,'[1]2022 GI Position Descriptions'!E:E,'[1]2022 GI Position Descriptions'!G:G)</f>
        <v>Designs, develops and implements marketing programs and/or pricing strategies to support the organization's products, services or market sector | Designs, develops and implements sales programs to meet the organization's business objectives | Plans, directs and coordinates the efforts of marketing, sales, buying and merchandising toward the accomplishment of objectives</v>
      </c>
      <c r="R314" s="22" t="str">
        <f>IF(LEFT(J314,1)="E","EX",LEFT(J314,1))</f>
        <v>P</v>
      </c>
      <c r="S314" s="22" t="str">
        <f>_xlfn.XLOOKUP($R314,'[1]Career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14" s="22" t="str">
        <f>J314</f>
        <v>P4</v>
      </c>
      <c r="U314" s="40" t="str">
        <f t="shared" si="9"/>
        <v>P4</v>
      </c>
      <c r="V314" s="22" t="str">
        <f>_xlfn.XLOOKUP(T314,'[1]Career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314" s="41" t="str">
        <f>J314&amp;"-"&amp;G314</f>
        <v>P4-13</v>
      </c>
      <c r="X314" s="42" t="str">
        <f>G314</f>
        <v>13</v>
      </c>
      <c r="Y314" s="22" t="str">
        <f>_xlfn.XLOOKUP(W314,'[1]Career Bands &amp; Levels'!A:A,'[1]Career Bands &amp; Levels'!C:C,"No Grade Differentiator")</f>
        <v xml:space="preserve">●	Guides others in resolving complex issues in specialized area based on existing solutions and procedures		
●	Serves as an expert within own discipline		
●	May lead function teams or projects and serves as a best practices/quality resource		
●	Trains/mentors junior staff		</v>
      </c>
      <c r="Z314" s="43" t="str">
        <f>IFERROR(O314&amp;" - "&amp;G314,"--")</f>
        <v>Senior Expert Business Development - 13</v>
      </c>
      <c r="AA314" s="44" t="str">
        <f>_xlfn.XLOOKUP($H314,'[1]SIG Qualifications Input'!$D:$D,'[1]SIG Qualifications Input'!$H:$H)</f>
        <v>University degree or equivalent and 8-10 years of work experience or equivalent, 
Experience in functionally leading (sub-)projects / teams</v>
      </c>
    </row>
    <row r="315" spans="1:27" ht="169" thickBot="1" x14ac:dyDescent="0.2">
      <c r="A315" s="34" t="str">
        <f>_xlfn.XLOOKUP(C315,'[1]SIG Job Families &amp; Descriptions'!F:F,'[1]SIG Job Families &amp; Descriptions'!B:B)</f>
        <v>Marketing</v>
      </c>
      <c r="B315" s="34" t="str">
        <f>_xlfn.XLOOKUP(C315,'[1]SIG Job Families &amp; Descriptions'!F:F,'[1]SIG Job Families &amp; Descriptions'!D:D)</f>
        <v>General Marketing</v>
      </c>
      <c r="C315" s="34" t="s">
        <v>89</v>
      </c>
      <c r="D315" s="30" t="str">
        <f t="shared" si="8"/>
        <v>AMJ</v>
      </c>
      <c r="E315" s="31" t="str">
        <f>_xlfn.XLOOKUP(C315,'[1]SIG Job Families &amp; Descriptions'!F:F,'[1]SIG Job Families &amp; Descriptions'!A:A)</f>
        <v>AMJ000</v>
      </c>
      <c r="F315" s="32" t="s">
        <v>32</v>
      </c>
      <c r="G315" s="33" t="s">
        <v>31</v>
      </c>
      <c r="H315" s="34" t="str">
        <f>F315&amp;"-"&amp;G315</f>
        <v>Professional-14</v>
      </c>
      <c r="I315" s="35" t="str">
        <f>IF(ISERROR(_xlfn.XLOOKUP(H315,'[1]SIG Level Structure'!D:D,'[1]SIG Level Structure'!D:D)),"0","1")</f>
        <v>1</v>
      </c>
      <c r="J315" s="36" t="str">
        <f>_xlfn.XLOOKUP($H315,'[1]SIG Level Structure'!$D:$D,'[1]SIG Level Structure'!F:F)</f>
        <v>P4</v>
      </c>
      <c r="K315" s="37" t="str">
        <f>E315&amp;"-"&amp;J315&amp;"-"&amp;G315</f>
        <v>AMJ000-P4-14</v>
      </c>
      <c r="L315" s="37" t="str">
        <f>IFERROR(D315&amp;"-"&amp;LEFT(J315,1),"--")</f>
        <v>AMJ-P</v>
      </c>
      <c r="M315" s="37" t="str">
        <f>VLOOKUP(L315,'[1]Compatible JC'!$A:$A,1,FALSE)</f>
        <v>AMJ-P</v>
      </c>
      <c r="N315" s="37" t="str">
        <f>IFERROR(_xlfn.XLOOKUP(H315,'[1]SIG Level Structure'!D:D,'[1]SIG Level Structure'!C:C),"--")</f>
        <v>Senior Expert</v>
      </c>
      <c r="O315" s="38" t="str">
        <f>IFERROR(TRIM(N315&amp;" "&amp;C315),"--")</f>
        <v>Senior Expert Business Development</v>
      </c>
      <c r="P315" s="22" t="str">
        <f>_xlfn.XLOOKUP(E315,'[1]SIG Job Families &amp; Descriptions'!A:A,'[1]SIG Job Families &amp; Descriptions'!G:G)</f>
        <v xml:space="preserve">Designs, develops and implements marketing programs and/or pricing strategies to support the organization's products, services or market sector. Uses specific marketing strategies and media (e.g., print, broadcast, digital) to launch and position products and services in a sector. Identifies and implements marketing strategies and programs in collaboration with sales and technical teams. Responsibilities are typically within the marketing function as a generalist or in a combination of disciplines. 
</v>
      </c>
      <c r="Q315" s="39" t="str">
        <f>_xlfn.XLOOKUP(E315,'[1]2022 GI Position Descriptions'!E:E,'[1]2022 GI Position Descriptions'!G:G)</f>
        <v>Designs, develops and implements marketing programs and/or pricing strategies to support the organization's products, services or market sector | Designs, develops and implements sales programs to meet the organization's business objectives | Plans, directs and coordinates the efforts of marketing, sales, buying and merchandising toward the accomplishment of objectives</v>
      </c>
      <c r="R315" s="22" t="str">
        <f>IF(LEFT(J315,1)="E","EX",LEFT(J315,1))</f>
        <v>P</v>
      </c>
      <c r="S315" s="22" t="str">
        <f>_xlfn.XLOOKUP($R315,'[1]Career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15" s="22" t="str">
        <f>J315</f>
        <v>P4</v>
      </c>
      <c r="U315" s="40" t="str">
        <f t="shared" si="9"/>
        <v>P4</v>
      </c>
      <c r="V315" s="22" t="str">
        <f>_xlfn.XLOOKUP(T315,'[1]Career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315" s="41" t="str">
        <f>J315&amp;"-"&amp;G315</f>
        <v>P4-14</v>
      </c>
      <c r="X315" s="42" t="str">
        <f>G315</f>
        <v>14</v>
      </c>
      <c r="Y315" s="22" t="str">
        <f>_xlfn.XLOOKUP(W315,'[1]Career Bands &amp; Levels'!A:A,'[1]Career Bands &amp; Levels'!C:C,"No Grade Differentiator")</f>
        <v xml:space="preserve">●	Guides others in resolving complex issues in own specialized area and solves complex problems with implications on cross-functional business processes and outcomes		
●	Serves as an advisor and applies knowledge of strategies that can be deployed within own function and discipline		
●	Applies working knowledge of the theories and concepts in other disciplines		
●	May lead teams or projects with broad visibility		</v>
      </c>
      <c r="Z315" s="43" t="str">
        <f>IFERROR(O315&amp;" - "&amp;G315,"--")</f>
        <v>Senior Expert Business Development - 14</v>
      </c>
      <c r="AA315" s="44" t="str">
        <f>_xlfn.XLOOKUP($H315,'[1]SIG Qualifications Input'!$D:$D,'[1]SIG Qualifications Input'!$H:$H)</f>
        <v>University degree or equivalent and 8-10 years of work experience or equivalent, 
Experience in functionally leading (sub-)projects / teams</v>
      </c>
    </row>
    <row r="316" spans="1:27" ht="141" thickBot="1" x14ac:dyDescent="0.2">
      <c r="A316" s="34" t="str">
        <f>_xlfn.XLOOKUP(C316,'[1]SIG Job Families &amp; Descriptions'!F:F,'[1]SIG Job Families &amp; Descriptions'!B:B)</f>
        <v>Operations</v>
      </c>
      <c r="B316" s="34" t="str">
        <f>_xlfn.XLOOKUP(C316,'[1]SIG Job Families &amp; Descriptions'!F:F,'[1]SIG Job Families &amp; Descriptions'!D:D)</f>
        <v>General Operations</v>
      </c>
      <c r="C316" s="34" t="s">
        <v>93</v>
      </c>
      <c r="D316" s="30" t="str">
        <f t="shared" si="8"/>
        <v>AGA</v>
      </c>
      <c r="E316" s="31" t="str">
        <f>_xlfn.XLOOKUP(C316,'[1]SIG Job Families &amp; Descriptions'!F:F,'[1]SIG Job Families &amp; Descriptions'!A:A)</f>
        <v>AGA036</v>
      </c>
      <c r="F316" s="32" t="s">
        <v>29</v>
      </c>
      <c r="G316" s="33" t="s">
        <v>45</v>
      </c>
      <c r="H316" s="34" t="str">
        <f>F316&amp;"-"&amp;G316</f>
        <v>Management-17</v>
      </c>
      <c r="I316" s="35" t="str">
        <f>IF(ISERROR(_xlfn.XLOOKUP(H316,'[1]SIG Level Structure'!D:D,'[1]SIG Level Structure'!D:D)),"0","1")</f>
        <v>1</v>
      </c>
      <c r="J316" s="36" t="str">
        <f>_xlfn.XLOOKUP($H316,'[1]SIG Level Structure'!$D:$D,'[1]SIG Level Structure'!F:F)</f>
        <v>EX</v>
      </c>
      <c r="K316" s="37" t="str">
        <f>E316&amp;"-"&amp;J316&amp;"-"&amp;G316</f>
        <v>AGA036-EX-17</v>
      </c>
      <c r="L316" s="37" t="str">
        <f>IFERROR(D316&amp;"-"&amp;LEFT(J316,1),"--")</f>
        <v>AGA-E</v>
      </c>
      <c r="M316" s="37" t="str">
        <f>VLOOKUP(L316,'[1]Compatible JC'!$A:$A,1,FALSE)</f>
        <v>AGA-E</v>
      </c>
      <c r="N316" s="37" t="str">
        <f>IFERROR(_xlfn.XLOOKUP(H316,'[1]SIG Level Structure'!D:D,'[1]SIG Level Structure'!C:C),"--")</f>
        <v>Group Manager</v>
      </c>
      <c r="O316" s="38" t="str">
        <f>IFERROR(TRIM(N316&amp;" "&amp;C316),"--")</f>
        <v>Group Manager General Operations</v>
      </c>
      <c r="P316" s="22" t="str">
        <f>_xlfn.XLOOKUP(E316,'[1]SIG Job Families &amp; Descriptions'!A:A,'[1]SIG Job Families &amp; Descriptions'!G:G)</f>
        <v>Manages, directs and coordinates all or a major segment of the organization's operations in a manufacturing environment/industry, typically including assembly, machinery, processing and/or packaging. Oversees functions that support manufacturing operations, including engineering, supply chain/logistics and purchasing. May formulate policies, forecast requirements for manpower, technology and facilities and develop quality standards.</v>
      </c>
      <c r="Q316" s="39" t="str">
        <f>_xlfn.XLOOKUP(E316,'[1]2022 GI Position Descriptions'!E:E,'[1]2022 GI Position Descriptions'!G:G)</f>
        <v>Manages, directs and coordinates all or a major segment of the organization's operations in a manufacturing environment/industry, typically including assembly, machinery, processing and/or packaging | Oversees functions that support manufacturing operations, including engineering, supply chain/logistics and purchasing | May formulate policies, forecast requirements for manpower, technology and facilities and develop quality standards</v>
      </c>
      <c r="R316" s="22" t="str">
        <f>IF(LEFT(J316,1)="E","EX",LEFT(J316,1))</f>
        <v>EX</v>
      </c>
      <c r="S316" s="22" t="str">
        <f>_xlfn.XLOOKUP($R316,'[1]Career Bands &amp; Levels'!A:A,'[1]Career Bands &amp; Levels'!C:C)</f>
        <v>● Holds management accountability for a business, division, major geography, corporate function or major corporate sub-function
● Develops, establishes and approves long-term vision and strategy for the area managed
● May be a board or executive committee member or have a comparable level of influence</v>
      </c>
      <c r="T316" s="22" t="str">
        <f>J316</f>
        <v>EX</v>
      </c>
      <c r="U316" s="40" t="str">
        <f t="shared" si="9"/>
        <v>EX</v>
      </c>
      <c r="V316" s="22" t="str">
        <f>_xlfn.XLOOKUP(T316,'[1]Career Bands &amp; Levels'!A:A,'[1]Career Bands &amp; Levels'!C:C)</f>
        <v>● Holds management accountability for a business, division, major geography, corporate function or major corporate sub-function
● Develops, establishes and approves long-term vision and strategy for the area managed
● May be a board or executive committee member or have a comparable level of influence</v>
      </c>
      <c r="W316" s="41" t="str">
        <f>J316&amp;"-"&amp;G316</f>
        <v>EX-17</v>
      </c>
      <c r="X316" s="42" t="str">
        <f>G316</f>
        <v>17</v>
      </c>
      <c r="Y316" s="22" t="str">
        <f>_xlfn.XLOOKUP(W316,'[1]Career Bands &amp; Levels'!A:A,'[1]Career Bands &amp; Levels'!C:C,"No Grade Differentiator")</f>
        <v>● Typically reports to the head of a subregion, country, division or function
● In large organizations (Global Grade 20 to 22), heads an infrastructure function with indirect impact on business performance</v>
      </c>
      <c r="Z316" s="43" t="str">
        <f>IFERROR(O316&amp;" - "&amp;G316,"--")</f>
        <v>Group Manager General Operations - 17</v>
      </c>
      <c r="AA316" s="44" t="str">
        <f>_xlfn.XLOOKUP($H316,'[1]SIG Qualifications Input'!$D:$D,'[1]SIG Qualifications Input'!$H:$H)</f>
        <v>University degree or equivalent and 10-15 years of work experience or equivalent
Profound experience in management of a global function or major region including setting the respective strategy</v>
      </c>
    </row>
    <row r="317" spans="1:27" ht="183" thickBot="1" x14ac:dyDescent="0.2">
      <c r="A317" s="34" t="str">
        <f>_xlfn.XLOOKUP(C317,'[1]SIG Job Families &amp; Descriptions'!F:F,'[1]SIG Job Families &amp; Descriptions'!B:B)</f>
        <v>Operations</v>
      </c>
      <c r="B317" s="34" t="str">
        <f>_xlfn.XLOOKUP(C317,'[1]SIG Job Families &amp; Descriptions'!F:F,'[1]SIG Job Families &amp; Descriptions'!D:D)</f>
        <v>General Operations</v>
      </c>
      <c r="C317" s="34" t="s">
        <v>93</v>
      </c>
      <c r="D317" s="30" t="str">
        <f t="shared" si="8"/>
        <v>AGA</v>
      </c>
      <c r="E317" s="31" t="str">
        <f>_xlfn.XLOOKUP(C317,'[1]SIG Job Families &amp; Descriptions'!F:F,'[1]SIG Job Families &amp; Descriptions'!A:A)</f>
        <v>AGA036</v>
      </c>
      <c r="F317" s="32" t="s">
        <v>29</v>
      </c>
      <c r="G317" s="33" t="s">
        <v>40</v>
      </c>
      <c r="H317" s="34" t="str">
        <f>F317&amp;"-"&amp;G317</f>
        <v>Management-16</v>
      </c>
      <c r="I317" s="35" t="str">
        <f>IF(ISERROR(_xlfn.XLOOKUP(H317,'[1]SIG Level Structure'!D:D,'[1]SIG Level Structure'!D:D)),"0","1")</f>
        <v>1</v>
      </c>
      <c r="J317" s="36" t="str">
        <f>_xlfn.XLOOKUP($H317,'[1]SIG Level Structure'!$D:$D,'[1]SIG Level Structure'!F:F)</f>
        <v>M4</v>
      </c>
      <c r="K317" s="37" t="str">
        <f>E317&amp;"-"&amp;J317&amp;"-"&amp;G317</f>
        <v>AGA036-M4-16</v>
      </c>
      <c r="L317" s="37" t="str">
        <f>IFERROR(D317&amp;"-"&amp;LEFT(J317,1),"--")</f>
        <v>AGA-M</v>
      </c>
      <c r="M317" s="37" t="str">
        <f>VLOOKUP(L317,'[1]Compatible JC'!$A:$A,1,FALSE)</f>
        <v>AGA-M</v>
      </c>
      <c r="N317" s="37" t="str">
        <f>IFERROR(_xlfn.XLOOKUP(H317,'[1]SIG Level Structure'!D:D,'[1]SIG Level Structure'!C:C),"--")</f>
        <v>Group Manager</v>
      </c>
      <c r="O317" s="38" t="str">
        <f>IFERROR(TRIM(N317&amp;" "&amp;C317),"--")</f>
        <v>Group Manager General Operations</v>
      </c>
      <c r="P317" s="22" t="str">
        <f>_xlfn.XLOOKUP(E317,'[1]SIG Job Families &amp; Descriptions'!A:A,'[1]SIG Job Families &amp; Descriptions'!G:G)</f>
        <v>Manages, directs and coordinates all or a major segment of the organization's operations in a manufacturing environment/industry, typically including assembly, machinery, processing and/or packaging. Oversees functions that support manufacturing operations, including engineering, supply chain/logistics and purchasing. May formulate policies, forecast requirements for manpower, technology and facilities and develop quality standards.</v>
      </c>
      <c r="Q317" s="39" t="str">
        <f>_xlfn.XLOOKUP(E317,'[1]2022 GI Position Descriptions'!E:E,'[1]2022 GI Position Descriptions'!G:G)</f>
        <v>Manages, directs and coordinates all or a major segment of the organization's operations in a manufacturing environment/industry, typically including assembly, machinery, processing and/or packaging | Oversees functions that support manufacturing operations, including engineering, supply chain/logistics and purchasing | May formulate policies, forecast requirements for manpower, technology and facilities and develop quality standards</v>
      </c>
      <c r="R317" s="22" t="str">
        <f>IF(LEFT(J317,1)="E","EX",LEFT(J317,1))</f>
        <v>M</v>
      </c>
      <c r="S317" s="22" t="str">
        <f>_xlfn.XLOOKUP($R317,'[1]Career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317" s="22" t="str">
        <f>J317</f>
        <v>M4</v>
      </c>
      <c r="U317" s="40" t="str">
        <f t="shared" si="9"/>
        <v>M4</v>
      </c>
      <c r="V317" s="22" t="str">
        <f>_xlfn.XLOOKUP(T317,'[1]Career Bands &amp; Levels'!A:A,'[1]Career Bands &amp; Levels'!C:C)</f>
        <v xml:space="preserve">●	Provides leadership and direction through Senior Managers and Managers		
●	Has accountability for the performance and results of:		
	●	A large, strategically important discipline in an extremely large market; and/or	
	●	Related disciplines or a medium-sized function in a large market or medium-sized division; and/or	
	●	A medium-sized discipline or department in a major region	
●	Adapts and executes functional or departmental business plans and contributes to the development of functional or departmental strategies		
●	Decisions are guided by functional or major operational segment strategies and priorities		</v>
      </c>
      <c r="W317" s="41" t="str">
        <f>J317&amp;"-"&amp;G317</f>
        <v>M4-16</v>
      </c>
      <c r="X317" s="42" t="str">
        <f>G317</f>
        <v>16</v>
      </c>
      <c r="Y317" s="22" t="str">
        <f>_xlfn.XLOOKUP(W317,'[1]Career Bands &amp; Levels'!A:A,'[1]Career Bands &amp; Levels'!C:C,"No Grade Differentiator")</f>
        <v>No Grade Differentiator</v>
      </c>
      <c r="Z317" s="43" t="str">
        <f>IFERROR(O317&amp;" - "&amp;G317,"--")</f>
        <v>Group Manager General Operations - 16</v>
      </c>
      <c r="AA317" s="44" t="str">
        <f>_xlfn.XLOOKUP($H317,'[1]SIG Qualifications Input'!$D:$D,'[1]SIG Qualifications Input'!$H:$H)</f>
        <v>University degree or equivalent and 10-15 years of work experience or equivalent
Profound experience in management of a global function or major region including setting the respective strategy</v>
      </c>
    </row>
    <row r="318" spans="1:27" ht="183" thickBot="1" x14ac:dyDescent="0.2">
      <c r="A318" s="34" t="str">
        <f>_xlfn.XLOOKUP(C318,'[1]SIG Job Families &amp; Descriptions'!F:F,'[1]SIG Job Families &amp; Descriptions'!B:B)</f>
        <v>Operations</v>
      </c>
      <c r="B318" s="34" t="str">
        <f>_xlfn.XLOOKUP(C318,'[1]SIG Job Families &amp; Descriptions'!F:F,'[1]SIG Job Families &amp; Descriptions'!D:D)</f>
        <v>General Operations</v>
      </c>
      <c r="C318" s="34" t="s">
        <v>93</v>
      </c>
      <c r="D318" s="30" t="str">
        <f t="shared" si="8"/>
        <v>AGA</v>
      </c>
      <c r="E318" s="31" t="str">
        <f>_xlfn.XLOOKUP(C318,'[1]SIG Job Families &amp; Descriptions'!F:F,'[1]SIG Job Families &amp; Descriptions'!A:A)</f>
        <v>AGA036</v>
      </c>
      <c r="F318" s="32" t="s">
        <v>29</v>
      </c>
      <c r="G318" s="33" t="s">
        <v>30</v>
      </c>
      <c r="H318" s="34" t="str">
        <f>F318&amp;"-"&amp;G318</f>
        <v>Management-15</v>
      </c>
      <c r="I318" s="35" t="str">
        <f>IF(ISERROR(_xlfn.XLOOKUP(H318,'[1]SIG Level Structure'!D:D,'[1]SIG Level Structure'!D:D)),"0","1")</f>
        <v>1</v>
      </c>
      <c r="J318" s="36" t="str">
        <f>_xlfn.XLOOKUP($H318,'[1]SIG Level Structure'!$D:$D,'[1]SIG Level Structure'!F:F)</f>
        <v>M3</v>
      </c>
      <c r="K318" s="37" t="str">
        <f>E318&amp;"-"&amp;J318&amp;"-"&amp;G318</f>
        <v>AGA036-M3-15</v>
      </c>
      <c r="L318" s="37" t="str">
        <f>IFERROR(D318&amp;"-"&amp;LEFT(J318,1),"--")</f>
        <v>AGA-M</v>
      </c>
      <c r="M318" s="37" t="str">
        <f>VLOOKUP(L318,'[1]Compatible JC'!$A:$A,1,FALSE)</f>
        <v>AGA-M</v>
      </c>
      <c r="N318" s="37" t="str">
        <f>IFERROR(_xlfn.XLOOKUP(H318,'[1]SIG Level Structure'!D:D,'[1]SIG Level Structure'!C:C),"--")</f>
        <v>Senior Manager</v>
      </c>
      <c r="O318" s="38" t="str">
        <f>IFERROR(TRIM(N318&amp;" "&amp;C318),"--")</f>
        <v>Senior Manager General Operations</v>
      </c>
      <c r="P318" s="22" t="str">
        <f>_xlfn.XLOOKUP(E318,'[1]SIG Job Families &amp; Descriptions'!A:A,'[1]SIG Job Families &amp; Descriptions'!G:G)</f>
        <v>Manages, directs and coordinates all or a major segment of the organization's operations in a manufacturing environment/industry, typically including assembly, machinery, processing and/or packaging. Oversees functions that support manufacturing operations, including engineering, supply chain/logistics and purchasing. May formulate policies, forecast requirements for manpower, technology and facilities and develop quality standards.</v>
      </c>
      <c r="Q318" s="39" t="str">
        <f>_xlfn.XLOOKUP(E318,'[1]2022 GI Position Descriptions'!E:E,'[1]2022 GI Position Descriptions'!G:G)</f>
        <v>Manages, directs and coordinates all or a major segment of the organization's operations in a manufacturing environment/industry, typically including assembly, machinery, processing and/or packaging | Oversees functions that support manufacturing operations, including engineering, supply chain/logistics and purchasing | May formulate policies, forecast requirements for manpower, technology and facilities and develop quality standards</v>
      </c>
      <c r="R318" s="22" t="str">
        <f>IF(LEFT(J318,1)="E","EX",LEFT(J318,1))</f>
        <v>M</v>
      </c>
      <c r="S318" s="22" t="str">
        <f>_xlfn.XLOOKUP($R318,'[1]Career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318" s="22" t="str">
        <f>J318</f>
        <v>M3</v>
      </c>
      <c r="U318" s="40" t="str">
        <f t="shared" si="9"/>
        <v>M3</v>
      </c>
      <c r="V318" s="22" t="str">
        <f>_xlfn.XLOOKUP(T318,'[1]Career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318" s="41" t="str">
        <f>J318&amp;"-"&amp;G318</f>
        <v>M3-15</v>
      </c>
      <c r="X318" s="42" t="str">
        <f>G318</f>
        <v>15</v>
      </c>
      <c r="Y318" s="22" t="str">
        <f>_xlfn.XLOOKUP(W318,'[1]Career Bands &amp; Levels'!A:A,'[1]Career Bands &amp; Levels'!C:C,"No Grade Differentiator")</f>
        <v xml:space="preserve">●	Looks beyond existing methodologies and own discipline to define and resolve complex problems
●	Develops plans and delivers results in fast-changing businesses and/or regulatory environments
●	Provides input to functional or departmental strategy		
●	Manages large, potentially diverse teams of managers and/or senior professionals		
		</v>
      </c>
      <c r="Z318" s="43" t="str">
        <f>IFERROR(O318&amp;" - "&amp;G318,"--")</f>
        <v>Senior Manager General Operations - 15</v>
      </c>
      <c r="AA318" s="44" t="str">
        <f>_xlfn.XLOOKUP($H318,'[1]SIG Qualifications Input'!$D:$D,'[1]SIG Qualifications Input'!$H:$H)</f>
        <v xml:space="preserve">University degree or equivalent and 10+ years of work experience or equivalent
Profound experience in managing performance and results of diverse activities / multiple teams </v>
      </c>
    </row>
    <row r="319" spans="1:27" ht="183" thickBot="1" x14ac:dyDescent="0.2">
      <c r="A319" s="34" t="str">
        <f>_xlfn.XLOOKUP(C319,'[1]SIG Job Families &amp; Descriptions'!F:F,'[1]SIG Job Families &amp; Descriptions'!B:B)</f>
        <v>Operations</v>
      </c>
      <c r="B319" s="34" t="str">
        <f>_xlfn.XLOOKUP(C319,'[1]SIG Job Families &amp; Descriptions'!F:F,'[1]SIG Job Families &amp; Descriptions'!D:D)</f>
        <v>General Operations</v>
      </c>
      <c r="C319" s="34" t="s">
        <v>93</v>
      </c>
      <c r="D319" s="30" t="str">
        <f t="shared" si="8"/>
        <v>AGA</v>
      </c>
      <c r="E319" s="31" t="str">
        <f>_xlfn.XLOOKUP(C319,'[1]SIG Job Families &amp; Descriptions'!F:F,'[1]SIG Job Families &amp; Descriptions'!A:A)</f>
        <v>AGA036</v>
      </c>
      <c r="F319" s="32" t="s">
        <v>29</v>
      </c>
      <c r="G319" s="33" t="s">
        <v>31</v>
      </c>
      <c r="H319" s="34" t="str">
        <f>F319&amp;"-"&amp;G319</f>
        <v>Management-14</v>
      </c>
      <c r="I319" s="35" t="str">
        <f>IF(ISERROR(_xlfn.XLOOKUP(H319,'[1]SIG Level Structure'!D:D,'[1]SIG Level Structure'!D:D)),"0","1")</f>
        <v>1</v>
      </c>
      <c r="J319" s="36" t="str">
        <f>_xlfn.XLOOKUP($H319,'[1]SIG Level Structure'!$D:$D,'[1]SIG Level Structure'!F:F)</f>
        <v>M3</v>
      </c>
      <c r="K319" s="37" t="str">
        <f>E319&amp;"-"&amp;J319&amp;"-"&amp;G319</f>
        <v>AGA036-M3-14</v>
      </c>
      <c r="L319" s="37" t="str">
        <f>IFERROR(D319&amp;"-"&amp;LEFT(J319,1),"--")</f>
        <v>AGA-M</v>
      </c>
      <c r="M319" s="37" t="str">
        <f>VLOOKUP(L319,'[1]Compatible JC'!$A:$A,1,FALSE)</f>
        <v>AGA-M</v>
      </c>
      <c r="N319" s="37" t="str">
        <f>IFERROR(_xlfn.XLOOKUP(H319,'[1]SIG Level Structure'!D:D,'[1]SIG Level Structure'!C:C),"--")</f>
        <v>Senior Manager</v>
      </c>
      <c r="O319" s="38" t="str">
        <f>IFERROR(TRIM(N319&amp;" "&amp;C319),"--")</f>
        <v>Senior Manager General Operations</v>
      </c>
      <c r="P319" s="22" t="str">
        <f>_xlfn.XLOOKUP(E319,'[1]SIG Job Families &amp; Descriptions'!A:A,'[1]SIG Job Families &amp; Descriptions'!G:G)</f>
        <v>Manages, directs and coordinates all or a major segment of the organization's operations in a manufacturing environment/industry, typically including assembly, machinery, processing and/or packaging. Oversees functions that support manufacturing operations, including engineering, supply chain/logistics and purchasing. May formulate policies, forecast requirements for manpower, technology and facilities and develop quality standards.</v>
      </c>
      <c r="Q319" s="39" t="str">
        <f>_xlfn.XLOOKUP(E319,'[1]2022 GI Position Descriptions'!E:E,'[1]2022 GI Position Descriptions'!G:G)</f>
        <v>Manages, directs and coordinates all or a major segment of the organization's operations in a manufacturing environment/industry, typically including assembly, machinery, processing and/or packaging | Oversees functions that support manufacturing operations, including engineering, supply chain/logistics and purchasing | May formulate policies, forecast requirements for manpower, technology and facilities and develop quality standards</v>
      </c>
      <c r="R319" s="22" t="str">
        <f>IF(LEFT(J319,1)="E","EX",LEFT(J319,1))</f>
        <v>M</v>
      </c>
      <c r="S319" s="22" t="str">
        <f>_xlfn.XLOOKUP($R319,'[1]Career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319" s="22" t="str">
        <f>J319</f>
        <v>M3</v>
      </c>
      <c r="U319" s="40" t="str">
        <f t="shared" si="9"/>
        <v>M3</v>
      </c>
      <c r="V319" s="22" t="str">
        <f>_xlfn.XLOOKUP(T319,'[1]Career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319" s="41" t="str">
        <f>J319&amp;"-"&amp;G319</f>
        <v>M3-14</v>
      </c>
      <c r="X319" s="42" t="str">
        <f>G319</f>
        <v>14</v>
      </c>
      <c r="Y319" s="22" t="str">
        <f>_xlfn.XLOOKUP(W319,'[1]Career Bands &amp; Levels'!A:A,'[1]Career Bands &amp; Levels'!C:C,"No Grade Differentiator")</f>
        <v xml:space="preserve">●	Identifies applications of functional knowledge and existing methodologies to complex problems	
●	Manages large teams of professionals and/or junior managers		
		</v>
      </c>
      <c r="Z319" s="43" t="str">
        <f>IFERROR(O319&amp;" - "&amp;G319,"--")</f>
        <v>Senior Manager General Operations - 14</v>
      </c>
      <c r="AA319" s="44" t="str">
        <f>_xlfn.XLOOKUP($H319,'[1]SIG Qualifications Input'!$D:$D,'[1]SIG Qualifications Input'!$H:$H)</f>
        <v xml:space="preserve">University degree or equivalent and 10+ years of work experience or equivalent
Profound experience in managing performance and results of diverse activities / multiple teams </v>
      </c>
    </row>
    <row r="320" spans="1:27" ht="183" thickBot="1" x14ac:dyDescent="0.2">
      <c r="A320" s="34" t="str">
        <f>_xlfn.XLOOKUP(C320,'[1]SIG Job Families &amp; Descriptions'!F:F,'[1]SIG Job Families &amp; Descriptions'!B:B)</f>
        <v>Operations</v>
      </c>
      <c r="B320" s="34" t="str">
        <f>_xlfn.XLOOKUP(C320,'[1]SIG Job Families &amp; Descriptions'!F:F,'[1]SIG Job Families &amp; Descriptions'!D:D)</f>
        <v>General Operations</v>
      </c>
      <c r="C320" s="34" t="s">
        <v>93</v>
      </c>
      <c r="D320" s="30" t="str">
        <f t="shared" si="8"/>
        <v>AGA</v>
      </c>
      <c r="E320" s="31" t="str">
        <f>_xlfn.XLOOKUP(C320,'[1]SIG Job Families &amp; Descriptions'!F:F,'[1]SIG Job Families &amp; Descriptions'!A:A)</f>
        <v>AGA036</v>
      </c>
      <c r="F320" s="32" t="s">
        <v>29</v>
      </c>
      <c r="G320" s="33" t="s">
        <v>35</v>
      </c>
      <c r="H320" s="34" t="str">
        <f>F320&amp;"-"&amp;G320</f>
        <v>Management-11</v>
      </c>
      <c r="I320" s="35" t="str">
        <f>IF(ISERROR(_xlfn.XLOOKUP(H320,'[1]SIG Level Structure'!D:D,'[1]SIG Level Structure'!D:D)),"0","1")</f>
        <v>1</v>
      </c>
      <c r="J320" s="36" t="str">
        <f>_xlfn.XLOOKUP($H320,'[1]SIG Level Structure'!$D:$D,'[1]SIG Level Structure'!F:F)</f>
        <v>M1</v>
      </c>
      <c r="K320" s="37" t="str">
        <f>E320&amp;"-"&amp;J320&amp;"-"&amp;G320</f>
        <v>AGA036-M1-11</v>
      </c>
      <c r="L320" s="37" t="str">
        <f>IFERROR(D320&amp;"-"&amp;LEFT(J320,1),"--")</f>
        <v>AGA-M</v>
      </c>
      <c r="M320" s="37" t="str">
        <f>VLOOKUP(L320,'[1]Compatible JC'!$A:$A,1,FALSE)</f>
        <v>AGA-M</v>
      </c>
      <c r="N320" s="37" t="str">
        <f>IFERROR(_xlfn.XLOOKUP(H320,'[1]SIG Level Structure'!D:D,'[1]SIG Level Structure'!C:C),"--")</f>
        <v>Supervisor</v>
      </c>
      <c r="O320" s="38" t="str">
        <f>IFERROR(TRIM(N320&amp;" "&amp;C320),"--")</f>
        <v>Supervisor General Operations</v>
      </c>
      <c r="P320" s="22" t="str">
        <f>_xlfn.XLOOKUP(E320,'[1]SIG Job Families &amp; Descriptions'!A:A,'[1]SIG Job Families &amp; Descriptions'!G:G)</f>
        <v>Manages, directs and coordinates all or a major segment of the organization's operations in a manufacturing environment/industry, typically including assembly, machinery, processing and/or packaging. Oversees functions that support manufacturing operations, including engineering, supply chain/logistics and purchasing. May formulate policies, forecast requirements for manpower, technology and facilities and develop quality standards.</v>
      </c>
      <c r="Q320" s="39" t="str">
        <f>_xlfn.XLOOKUP(E320,'[1]2022 GI Position Descriptions'!E:E,'[1]2022 GI Position Descriptions'!G:G)</f>
        <v>Manages, directs and coordinates all or a major segment of the organization's operations in a manufacturing environment/industry, typically including assembly, machinery, processing and/or packaging | Oversees functions that support manufacturing operations, including engineering, supply chain/logistics and purchasing | May formulate policies, forecast requirements for manpower, technology and facilities and develop quality standards</v>
      </c>
      <c r="R320" s="22" t="str">
        <f>IF(LEFT(J320,1)="E","EX",LEFT(J320,1))</f>
        <v>M</v>
      </c>
      <c r="S320" s="22" t="str">
        <f>_xlfn.XLOOKUP($R320,'[1]Career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320" s="22" t="str">
        <f>J320</f>
        <v>M1</v>
      </c>
      <c r="U320" s="40" t="str">
        <f t="shared" si="9"/>
        <v>M1</v>
      </c>
      <c r="V320" s="22" t="str">
        <f>_xlfn.XLOOKUP(T320,'[1]Career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320" s="41" t="str">
        <f>J320&amp;"-"&amp;G320</f>
        <v>M1-11</v>
      </c>
      <c r="X320" s="42" t="str">
        <f>G320</f>
        <v>11</v>
      </c>
      <c r="Y320" s="22" t="str">
        <f>_xlfn.XLOOKUP(W320,'[1]Career Bands &amp; Levels'!A:A,'[1]Career Bands &amp; Levels'!C:C,"No Grade Differentiator")</f>
        <v xml:space="preserve">●	Accountable for the results of a large and/or moderately complex support or production operations team including subordinate work leaders		
●	Applies acquired expertise to analyze and solve problems without clear precedent		
●	Provides input on resource planning and policy development		
●	Coaches team members on performance, completes employee performance evaluations and recommends pay actions		</v>
      </c>
      <c r="Z320" s="43" t="str">
        <f>IFERROR(O320&amp;" - "&amp;G320,"--")</f>
        <v>Supervisor General Operations - 11</v>
      </c>
      <c r="AA320" s="44" t="str">
        <f>_xlfn.XLOOKUP($H320,'[1]SIG Qualifications Input'!$D:$D,'[1]SIG Qualifications Input'!$H:$H)</f>
        <v>University degree or equivalent and 5-7 years of work experience or equivalent
Experienced in application of management techniques
Experience in operationally managing a mixed-level team</v>
      </c>
    </row>
    <row r="321" spans="1:27" ht="183" thickBot="1" x14ac:dyDescent="0.2">
      <c r="A321" s="34" t="str">
        <f>_xlfn.XLOOKUP(C321,'[1]SIG Job Families &amp; Descriptions'!F:F,'[1]SIG Job Families &amp; Descriptions'!B:B)</f>
        <v>Operations</v>
      </c>
      <c r="B321" s="34" t="str">
        <f>_xlfn.XLOOKUP(C321,'[1]SIG Job Families &amp; Descriptions'!F:F,'[1]SIG Job Families &amp; Descriptions'!D:D)</f>
        <v>General Operations</v>
      </c>
      <c r="C321" s="34" t="s">
        <v>93</v>
      </c>
      <c r="D321" s="30" t="str">
        <f t="shared" si="8"/>
        <v>AGA</v>
      </c>
      <c r="E321" s="31" t="str">
        <f>_xlfn.XLOOKUP(C321,'[1]SIG Job Families &amp; Descriptions'!F:F,'[1]SIG Job Families &amp; Descriptions'!A:A)</f>
        <v>AGA036</v>
      </c>
      <c r="F321" s="32" t="s">
        <v>29</v>
      </c>
      <c r="G321" s="33" t="s">
        <v>36</v>
      </c>
      <c r="H321" s="34" t="str">
        <f>F321&amp;"-"&amp;G321</f>
        <v>Management-10</v>
      </c>
      <c r="I321" s="35" t="str">
        <f>IF(ISERROR(_xlfn.XLOOKUP(H321,'[1]SIG Level Structure'!D:D,'[1]SIG Level Structure'!D:D)),"0","1")</f>
        <v>1</v>
      </c>
      <c r="J321" s="36" t="str">
        <f>_xlfn.XLOOKUP($H321,'[1]SIG Level Structure'!$D:$D,'[1]SIG Level Structure'!F:F)</f>
        <v>M1</v>
      </c>
      <c r="K321" s="37" t="str">
        <f>E321&amp;"-"&amp;J321&amp;"-"&amp;G321</f>
        <v>AGA036-M1-10</v>
      </c>
      <c r="L321" s="37" t="str">
        <f>IFERROR(D321&amp;"-"&amp;LEFT(J321,1),"--")</f>
        <v>AGA-M</v>
      </c>
      <c r="M321" s="37" t="str">
        <f>VLOOKUP(L321,'[1]Compatible JC'!$A:$A,1,FALSE)</f>
        <v>AGA-M</v>
      </c>
      <c r="N321" s="37" t="str">
        <f>IFERROR(_xlfn.XLOOKUP(H321,'[1]SIG Level Structure'!D:D,'[1]SIG Level Structure'!C:C),"--")</f>
        <v>Supervisor</v>
      </c>
      <c r="O321" s="38" t="str">
        <f>IFERROR(TRIM(N321&amp;" "&amp;C321),"--")</f>
        <v>Supervisor General Operations</v>
      </c>
      <c r="P321" s="22" t="str">
        <f>_xlfn.XLOOKUP(E321,'[1]SIG Job Families &amp; Descriptions'!A:A,'[1]SIG Job Families &amp; Descriptions'!G:G)</f>
        <v>Manages, directs and coordinates all or a major segment of the organization's operations in a manufacturing environment/industry, typically including assembly, machinery, processing and/or packaging. Oversees functions that support manufacturing operations, including engineering, supply chain/logistics and purchasing. May formulate policies, forecast requirements for manpower, technology and facilities and develop quality standards.</v>
      </c>
      <c r="Q321" s="39" t="str">
        <f>_xlfn.XLOOKUP(E321,'[1]2022 GI Position Descriptions'!E:E,'[1]2022 GI Position Descriptions'!G:G)</f>
        <v>Manages, directs and coordinates all or a major segment of the organization's operations in a manufacturing environment/industry, typically including assembly, machinery, processing and/or packaging | Oversees functions that support manufacturing operations, including engineering, supply chain/logistics and purchasing | May formulate policies, forecast requirements for manpower, technology and facilities and develop quality standards</v>
      </c>
      <c r="R321" s="22" t="str">
        <f>IF(LEFT(J321,1)="E","EX",LEFT(J321,1))</f>
        <v>M</v>
      </c>
      <c r="S321" s="22" t="str">
        <f>_xlfn.XLOOKUP($R321,'[1]Career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321" s="22" t="str">
        <f>J321</f>
        <v>M1</v>
      </c>
      <c r="U321" s="40" t="str">
        <f t="shared" si="9"/>
        <v>M1</v>
      </c>
      <c r="V321" s="22" t="str">
        <f>_xlfn.XLOOKUP(T321,'[1]Career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321" s="41" t="str">
        <f>J321&amp;"-"&amp;G321</f>
        <v>M1-10</v>
      </c>
      <c r="X321" s="42" t="str">
        <f>G321</f>
        <v>10</v>
      </c>
      <c r="Y321" s="22" t="str">
        <f>_xlfn.XLOOKUP(W321,'[1]Career Bands &amp; Levels'!A:A,'[1]Career Bands &amp; Levels'!C:C,"No Grade Differentiator")</f>
        <v xml:space="preserve">●	Accountable for the results of medium-sized routine support or production operations teams		
●	Solves problems based on practice and precedent		
●	Trains team members and provides input to employee performance evaluations		</v>
      </c>
      <c r="Z321" s="43" t="str">
        <f>IFERROR(O321&amp;" - "&amp;G321,"--")</f>
        <v>Supervisor General Operations - 10</v>
      </c>
      <c r="AA321" s="44" t="str">
        <f>_xlfn.XLOOKUP($H321,'[1]SIG Qualifications Input'!$D:$D,'[1]SIG Qualifications Input'!$H:$H)</f>
        <v>University degree or equivalent and 5-7 years of work experience or equivalent
Experienced in application of management techniques
Experience in operationally managing a mixed-level team</v>
      </c>
    </row>
    <row r="322" spans="1:27" ht="169" thickBot="1" x14ac:dyDescent="0.2">
      <c r="A322" s="34" t="str">
        <f>_xlfn.XLOOKUP(C322,'[1]SIG Job Families &amp; Descriptions'!F:F,'[1]SIG Job Families &amp; Descriptions'!B:B)</f>
        <v>Operations</v>
      </c>
      <c r="B322" s="34" t="str">
        <f>_xlfn.XLOOKUP(C322,'[1]SIG Job Families &amp; Descriptions'!F:F,'[1]SIG Job Families &amp; Descriptions'!D:D)</f>
        <v>General Operations</v>
      </c>
      <c r="C322" s="34" t="s">
        <v>93</v>
      </c>
      <c r="D322" s="30" t="str">
        <f t="shared" si="8"/>
        <v>AGA</v>
      </c>
      <c r="E322" s="31" t="str">
        <f>_xlfn.XLOOKUP(C322,'[1]SIG Job Families &amp; Descriptions'!F:F,'[1]SIG Job Families &amp; Descriptions'!A:A)</f>
        <v>AGA036</v>
      </c>
      <c r="F322" s="32" t="s">
        <v>32</v>
      </c>
      <c r="G322" s="33" t="s">
        <v>36</v>
      </c>
      <c r="H322" s="34" t="str">
        <f>F322&amp;"-"&amp;G322</f>
        <v>Professional-10</v>
      </c>
      <c r="I322" s="35" t="str">
        <f>IF(ISERROR(_xlfn.XLOOKUP(H322,'[1]SIG Level Structure'!D:D,'[1]SIG Level Structure'!D:D)),"0","1")</f>
        <v>1</v>
      </c>
      <c r="J322" s="36" t="str">
        <f>_xlfn.XLOOKUP($H322,'[1]SIG Level Structure'!$D:$D,'[1]SIG Level Structure'!F:F)</f>
        <v>P2</v>
      </c>
      <c r="K322" s="37" t="str">
        <f>E322&amp;"-"&amp;J322&amp;"-"&amp;G322</f>
        <v>AGA036-P2-10</v>
      </c>
      <c r="L322" s="37" t="str">
        <f>IFERROR(D322&amp;"-"&amp;LEFT(J322,1),"--")</f>
        <v>AGA-P</v>
      </c>
      <c r="M322" s="37" t="str">
        <f>VLOOKUP(L322,'[1]Compatible JC'!$A:$A,1,FALSE)</f>
        <v>AGA-P</v>
      </c>
      <c r="N322" s="37" t="str">
        <f>IFERROR(_xlfn.XLOOKUP(H322,'[1]SIG Level Structure'!D:D,'[1]SIG Level Structure'!C:C),"--")</f>
        <v>Senior Specialist</v>
      </c>
      <c r="O322" s="38" t="str">
        <f>IFERROR(TRIM(N322&amp;" "&amp;C322),"--")</f>
        <v>Senior Specialist General Operations</v>
      </c>
      <c r="P322" s="22" t="str">
        <f>_xlfn.XLOOKUP(E322,'[1]SIG Job Families &amp; Descriptions'!A:A,'[1]SIG Job Families &amp; Descriptions'!G:G)</f>
        <v>Manages, directs and coordinates all or a major segment of the organization's operations in a manufacturing environment/industry, typically including assembly, machinery, processing and/or packaging. Oversees functions that support manufacturing operations, including engineering, supply chain/logistics and purchasing. May formulate policies, forecast requirements for manpower, technology and facilities and develop quality standards.</v>
      </c>
      <c r="Q322" s="39" t="str">
        <f>_xlfn.XLOOKUP(E322,'[1]2022 GI Position Descriptions'!E:E,'[1]2022 GI Position Descriptions'!G:G)</f>
        <v>Manages, directs and coordinates all or a major segment of the organization's operations in a manufacturing environment/industry, typically including assembly, machinery, processing and/or packaging | Oversees functions that support manufacturing operations, including engineering, supply chain/logistics and purchasing | May formulate policies, forecast requirements for manpower, technology and facilities and develop quality standards</v>
      </c>
      <c r="R322" s="22" t="str">
        <f>IF(LEFT(J322,1)="E","EX",LEFT(J322,1))</f>
        <v>P</v>
      </c>
      <c r="S322" s="22" t="str">
        <f>_xlfn.XLOOKUP($R322,'[1]Career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22" s="22" t="str">
        <f>J322</f>
        <v>P2</v>
      </c>
      <c r="U322" s="40" t="str">
        <f t="shared" si="9"/>
        <v>P2</v>
      </c>
      <c r="V322" s="22" t="str">
        <f>_xlfn.XLOOKUP(T322,'[1]Career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322" s="41" t="str">
        <f>J322&amp;"-"&amp;G322</f>
        <v>P2-10</v>
      </c>
      <c r="X322" s="42" t="str">
        <f>G322</f>
        <v>10</v>
      </c>
      <c r="Y322" s="22" t="str">
        <f>_xlfn.XLOOKUP(W322,'[1]Career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322" s="43" t="str">
        <f>IFERROR(O322&amp;" - "&amp;G322,"--")</f>
        <v>Senior Specialist General Operations - 10</v>
      </c>
      <c r="AA322" s="44" t="str">
        <f>_xlfn.XLOOKUP($H322,'[1]SIG Qualifications Input'!$D:$D,'[1]SIG Qualifications Input'!$H:$H)</f>
        <v>University degree or equivalent and 2-4 years of work experience or equivalent</v>
      </c>
    </row>
    <row r="323" spans="1:27" ht="169" thickBot="1" x14ac:dyDescent="0.2">
      <c r="A323" s="34" t="str">
        <f>_xlfn.XLOOKUP(C323,'[1]SIG Job Families &amp; Descriptions'!F:F,'[1]SIG Job Families &amp; Descriptions'!B:B)</f>
        <v>Operations</v>
      </c>
      <c r="B323" s="34" t="str">
        <f>_xlfn.XLOOKUP(C323,'[1]SIG Job Families &amp; Descriptions'!F:F,'[1]SIG Job Families &amp; Descriptions'!D:D)</f>
        <v>General Operations</v>
      </c>
      <c r="C323" s="34" t="s">
        <v>93</v>
      </c>
      <c r="D323" s="30" t="str">
        <f t="shared" ref="D323:D386" si="10">LEFT(E323,3)</f>
        <v>AGA</v>
      </c>
      <c r="E323" s="31" t="str">
        <f>_xlfn.XLOOKUP(C323,'[1]SIG Job Families &amp; Descriptions'!F:F,'[1]SIG Job Families &amp; Descriptions'!A:A)</f>
        <v>AGA036</v>
      </c>
      <c r="F323" s="32" t="s">
        <v>32</v>
      </c>
      <c r="G323" s="33" t="s">
        <v>37</v>
      </c>
      <c r="H323" s="34" t="str">
        <f>F323&amp;"-"&amp;G323</f>
        <v>Professional-09</v>
      </c>
      <c r="I323" s="35" t="str">
        <f>IF(ISERROR(_xlfn.XLOOKUP(H323,'[1]SIG Level Structure'!D:D,'[1]SIG Level Structure'!D:D)),"0","1")</f>
        <v>1</v>
      </c>
      <c r="J323" s="36" t="str">
        <f>_xlfn.XLOOKUP($H323,'[1]SIG Level Structure'!$D:$D,'[1]SIG Level Structure'!F:F)</f>
        <v>P2</v>
      </c>
      <c r="K323" s="37" t="str">
        <f>E323&amp;"-"&amp;J323&amp;"-"&amp;G323</f>
        <v>AGA036-P2-09</v>
      </c>
      <c r="L323" s="37" t="str">
        <f>IFERROR(D323&amp;"-"&amp;LEFT(J323,1),"--")</f>
        <v>AGA-P</v>
      </c>
      <c r="M323" s="37" t="str">
        <f>VLOOKUP(L323,'[1]Compatible JC'!$A:$A,1,FALSE)</f>
        <v>AGA-P</v>
      </c>
      <c r="N323" s="37" t="str">
        <f>IFERROR(_xlfn.XLOOKUP(H323,'[1]SIG Level Structure'!D:D,'[1]SIG Level Structure'!C:C),"--")</f>
        <v>Senior Specialist</v>
      </c>
      <c r="O323" s="38" t="str">
        <f>IFERROR(TRIM(N323&amp;" "&amp;C323),"--")</f>
        <v>Senior Specialist General Operations</v>
      </c>
      <c r="P323" s="22" t="str">
        <f>_xlfn.XLOOKUP(E323,'[1]SIG Job Families &amp; Descriptions'!A:A,'[1]SIG Job Families &amp; Descriptions'!G:G)</f>
        <v>Manages, directs and coordinates all or a major segment of the organization's operations in a manufacturing environment/industry, typically including assembly, machinery, processing and/or packaging. Oversees functions that support manufacturing operations, including engineering, supply chain/logistics and purchasing. May formulate policies, forecast requirements for manpower, technology and facilities and develop quality standards.</v>
      </c>
      <c r="Q323" s="39" t="str">
        <f>_xlfn.XLOOKUP(E323,'[1]2022 GI Position Descriptions'!E:E,'[1]2022 GI Position Descriptions'!G:G)</f>
        <v>Manages, directs and coordinates all or a major segment of the organization's operations in a manufacturing environment/industry, typically including assembly, machinery, processing and/or packaging | Oversees functions that support manufacturing operations, including engineering, supply chain/logistics and purchasing | May formulate policies, forecast requirements for manpower, technology and facilities and develop quality standards</v>
      </c>
      <c r="R323" s="22" t="str">
        <f>IF(LEFT(J323,1)="E","EX",LEFT(J323,1))</f>
        <v>P</v>
      </c>
      <c r="S323" s="22" t="str">
        <f>_xlfn.XLOOKUP($R323,'[1]Career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23" s="22" t="str">
        <f>J323</f>
        <v>P2</v>
      </c>
      <c r="U323" s="40" t="str">
        <f t="shared" ref="U323:U386" si="11">T323</f>
        <v>P2</v>
      </c>
      <c r="V323" s="22" t="str">
        <f>_xlfn.XLOOKUP(T323,'[1]Career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323" s="41" t="str">
        <f>J323&amp;"-"&amp;G323</f>
        <v>P2-09</v>
      </c>
      <c r="X323" s="42" t="str">
        <f>G323</f>
        <v>09</v>
      </c>
      <c r="Y323" s="22" t="str">
        <f>_xlfn.XLOOKUP(W323,'[1]Career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323" s="43" t="str">
        <f>IFERROR(O323&amp;" - "&amp;G323,"--")</f>
        <v>Senior Specialist General Operations - 09</v>
      </c>
      <c r="AA323" s="44" t="str">
        <f>_xlfn.XLOOKUP($H323,'[1]SIG Qualifications Input'!$D:$D,'[1]SIG Qualifications Input'!$H:$H)</f>
        <v>University degree or equivalent and 2-4 years of work experience or equivalent</v>
      </c>
    </row>
    <row r="324" spans="1:27" ht="169" thickBot="1" x14ac:dyDescent="0.2">
      <c r="A324" s="34" t="str">
        <f>_xlfn.XLOOKUP(C324,'[1]SIG Job Families &amp; Descriptions'!F:F,'[1]SIG Job Families &amp; Descriptions'!B:B)</f>
        <v>Operations</v>
      </c>
      <c r="B324" s="34" t="str">
        <f>_xlfn.XLOOKUP(C324,'[1]SIG Job Families &amp; Descriptions'!F:F,'[1]SIG Job Families &amp; Descriptions'!D:D)</f>
        <v>General Operations</v>
      </c>
      <c r="C324" s="34" t="s">
        <v>93</v>
      </c>
      <c r="D324" s="30" t="str">
        <f t="shared" si="10"/>
        <v>AGA</v>
      </c>
      <c r="E324" s="31" t="str">
        <f>_xlfn.XLOOKUP(C324,'[1]SIG Job Families &amp; Descriptions'!F:F,'[1]SIG Job Families &amp; Descriptions'!A:A)</f>
        <v>AGA036</v>
      </c>
      <c r="F324" s="32" t="s">
        <v>32</v>
      </c>
      <c r="G324" s="33" t="s">
        <v>43</v>
      </c>
      <c r="H324" s="34" t="str">
        <f>F324&amp;"-"&amp;G324</f>
        <v>Professional-08</v>
      </c>
      <c r="I324" s="35" t="str">
        <f>IF(ISERROR(_xlfn.XLOOKUP(H324,'[1]SIG Level Structure'!D:D,'[1]SIG Level Structure'!D:D)),"0","1")</f>
        <v>1</v>
      </c>
      <c r="J324" s="36" t="str">
        <f>_xlfn.XLOOKUP($H324,'[1]SIG Level Structure'!$D:$D,'[1]SIG Level Structure'!F:F)</f>
        <v>P1</v>
      </c>
      <c r="K324" s="37" t="str">
        <f>E324&amp;"-"&amp;J324&amp;"-"&amp;G324</f>
        <v>AGA036-P1-08</v>
      </c>
      <c r="L324" s="37" t="str">
        <f>IFERROR(D324&amp;"-"&amp;LEFT(J324,1),"--")</f>
        <v>AGA-P</v>
      </c>
      <c r="M324" s="37" t="str">
        <f>VLOOKUP(L324,'[1]Compatible JC'!$A:$A,1,FALSE)</f>
        <v>AGA-P</v>
      </c>
      <c r="N324" s="37" t="str">
        <f>IFERROR(_xlfn.XLOOKUP(H324,'[1]SIG Level Structure'!D:D,'[1]SIG Level Structure'!C:C),"--")</f>
        <v>Specialist</v>
      </c>
      <c r="O324" s="38" t="str">
        <f>IFERROR(TRIM(N324&amp;" "&amp;C324),"--")</f>
        <v>Specialist General Operations</v>
      </c>
      <c r="P324" s="22" t="str">
        <f>_xlfn.XLOOKUP(E324,'[1]SIG Job Families &amp; Descriptions'!A:A,'[1]SIG Job Families &amp; Descriptions'!G:G)</f>
        <v>Manages, directs and coordinates all or a major segment of the organization's operations in a manufacturing environment/industry, typically including assembly, machinery, processing and/or packaging. Oversees functions that support manufacturing operations, including engineering, supply chain/logistics and purchasing. May formulate policies, forecast requirements for manpower, technology and facilities and develop quality standards.</v>
      </c>
      <c r="Q324" s="39" t="str">
        <f>_xlfn.XLOOKUP(E324,'[1]2022 GI Position Descriptions'!E:E,'[1]2022 GI Position Descriptions'!G:G)</f>
        <v>Manages, directs and coordinates all or a major segment of the organization's operations in a manufacturing environment/industry, typically including assembly, machinery, processing and/or packaging | Oversees functions that support manufacturing operations, including engineering, supply chain/logistics and purchasing | May formulate policies, forecast requirements for manpower, technology and facilities and develop quality standards</v>
      </c>
      <c r="R324" s="22" t="str">
        <f>IF(LEFT(J324,1)="E","EX",LEFT(J324,1))</f>
        <v>P</v>
      </c>
      <c r="S324" s="22" t="str">
        <f>_xlfn.XLOOKUP($R324,'[1]Career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24" s="22" t="str">
        <f>J324</f>
        <v>P1</v>
      </c>
      <c r="U324" s="40" t="str">
        <f t="shared" si="11"/>
        <v>P1</v>
      </c>
      <c r="V324" s="22" t="str">
        <f>_xlfn.XLOOKUP(T324,'[1]Career Bands &amp; Levels'!A:A,'[1]Career Bands &amp; Levels'!C:C)</f>
        <v xml:space="preserve">●	Performs routine assignments in the entry level of the Professional Career Band		
●	Typically requires a college or university degree or the equivalent work experience and has conceptual knowledge of fundamental theories, principles and practices 		
●	Has no discretion to vary from established procedures by performing structured work assignments		
●	Uses existing procedures to solve routine or standard problems		
●	Receives instruction, guidance and direction from more senior level roles		</v>
      </c>
      <c r="W324" s="41" t="str">
        <f>J324&amp;"-"&amp;G324</f>
        <v>P1-08</v>
      </c>
      <c r="X324" s="42" t="str">
        <f>G324</f>
        <v>08</v>
      </c>
      <c r="Y324" s="22" t="str">
        <f>_xlfn.XLOOKUP(W324,'[1]Career Bands &amp; Levels'!A:A,'[1]Career Bands &amp; Levels'!C:C,"No Grade Differentiator")</f>
        <v>No Grade Differentiator</v>
      </c>
      <c r="Z324" s="43" t="str">
        <f>IFERROR(O324&amp;" - "&amp;G324,"--")</f>
        <v>Specialist General Operations - 08</v>
      </c>
      <c r="AA324" s="44" t="str">
        <f>_xlfn.XLOOKUP($H324,'[1]SIG Qualifications Input'!$D:$D,'[1]SIG Qualifications Input'!$H:$H)</f>
        <v>University degree or equivalent and 0-1 year of work experience or equivalent</v>
      </c>
    </row>
    <row r="325" spans="1:27" ht="141" thickBot="1" x14ac:dyDescent="0.2">
      <c r="A325" s="34" t="str">
        <f>_xlfn.XLOOKUP(C325,'[1]SIG Job Families &amp; Descriptions'!F:F,'[1]SIG Job Families &amp; Descriptions'!B:B)</f>
        <v>Operations</v>
      </c>
      <c r="B325" s="34" t="str">
        <f>_xlfn.XLOOKUP(C325,'[1]SIG Job Families &amp; Descriptions'!F:F,'[1]SIG Job Families &amp; Descriptions'!D:D)</f>
        <v>General Operations</v>
      </c>
      <c r="C325" s="34" t="s">
        <v>93</v>
      </c>
      <c r="D325" s="30" t="str">
        <f t="shared" si="10"/>
        <v>AGA</v>
      </c>
      <c r="E325" s="31" t="str">
        <f>_xlfn.XLOOKUP(C325,'[1]SIG Job Families &amp; Descriptions'!F:F,'[1]SIG Job Families &amp; Descriptions'!A:A)</f>
        <v>AGA036</v>
      </c>
      <c r="F325" s="32" t="s">
        <v>50</v>
      </c>
      <c r="G325" s="33" t="s">
        <v>43</v>
      </c>
      <c r="H325" s="34" t="str">
        <f>F325&amp;"-"&amp;G325</f>
        <v>Operations-08</v>
      </c>
      <c r="I325" s="35" t="str">
        <f>IF(ISERROR(_xlfn.XLOOKUP(H325,'[1]SIG Level Structure'!D:D,'[1]SIG Level Structure'!D:D)),"0","1")</f>
        <v>1</v>
      </c>
      <c r="J325" s="36" t="str">
        <f>_xlfn.XLOOKUP($H325,'[1]SIG Level Structure'!$D:$D,'[1]SIG Level Structure'!F:F)</f>
        <v>W4</v>
      </c>
      <c r="K325" s="37" t="str">
        <f>E325&amp;"-"&amp;J325&amp;"-"&amp;G325</f>
        <v>AGA036-W4-08</v>
      </c>
      <c r="L325" s="37" t="str">
        <f>IFERROR(D325&amp;"-"&amp;LEFT(J325,1),"--")</f>
        <v>AGA-W</v>
      </c>
      <c r="M325" s="37" t="e">
        <f>VLOOKUP(L325,'[1]Compatible JC'!$A:$A,1,FALSE)</f>
        <v>#N/A</v>
      </c>
      <c r="N325" s="37" t="str">
        <f>IFERROR(_xlfn.XLOOKUP(H325,'[1]SIG Level Structure'!D:D,'[1]SIG Level Structure'!C:C),"--")</f>
        <v>Senior Operator</v>
      </c>
      <c r="O325" s="38" t="str">
        <f>IFERROR(TRIM(N325&amp;" "&amp;C325),"--")</f>
        <v>Senior Operator General Operations</v>
      </c>
      <c r="P325" s="22" t="str">
        <f>_xlfn.XLOOKUP(E325,'[1]SIG Job Families &amp; Descriptions'!A:A,'[1]SIG Job Families &amp; Descriptions'!G:G)</f>
        <v>Manages, directs and coordinates all or a major segment of the organization's operations in a manufacturing environment/industry, typically including assembly, machinery, processing and/or packaging. Oversees functions that support manufacturing operations, including engineering, supply chain/logistics and purchasing. May formulate policies, forecast requirements for manpower, technology and facilities and develop quality standards.</v>
      </c>
      <c r="Q325" s="39" t="str">
        <f>_xlfn.XLOOKUP(E325,'[1]2022 GI Position Descriptions'!E:E,'[1]2022 GI Position Descriptions'!G:G)</f>
        <v>Manages, directs and coordinates all or a major segment of the organization's operations in a manufacturing environment/industry, typically including assembly, machinery, processing and/or packaging | Oversees functions that support manufacturing operations, including engineering, supply chain/logistics and purchasing | May formulate policies, forecast requirements for manpower, technology and facilities and develop quality standards</v>
      </c>
      <c r="R325" s="22" t="str">
        <f>IF(LEFT(J325,1)="E","EX",LEFT(J325,1))</f>
        <v>W</v>
      </c>
      <c r="S325" s="22" t="str">
        <f>_xlfn.XLOOKUP($R325,'[1]Career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325" s="22" t="str">
        <f>J325</f>
        <v>W4</v>
      </c>
      <c r="U325" s="40" t="str">
        <f t="shared" si="11"/>
        <v>W4</v>
      </c>
      <c r="V325" s="22" t="str">
        <f>_xlfn.XLOOKUP(T325,'[1]Career Bands &amp; Levels'!A:A,'[1]Career Bands &amp; Levels'!C:C)</f>
        <v xml:space="preserve">●	Has advanced skills, typically gained through a combination of job-related training and considerable work experience		
●	May act as a lead, coordinating the work of others, but is not a supervisor		
●	Works autonomously within established procedures and practices		
●	Has developed a specialized level of skill to perform assigned tasks		</v>
      </c>
      <c r="W325" s="41" t="str">
        <f>J325&amp;"-"&amp;G325</f>
        <v>W4-08</v>
      </c>
      <c r="X325" s="42" t="str">
        <f>G325</f>
        <v>08</v>
      </c>
      <c r="Y325" s="22" t="str">
        <f>_xlfn.XLOOKUP(W325,'[1]Career Bands &amp; Levels'!A:A,'[1]Career Bands &amp; Levels'!C:C,"No Grade Differentiator")</f>
        <v xml:space="preserve">●	Performs a variety of the most complex tasks and/or may lead one or more teams		
●	Supports the delivery of new solutions complex problems where precedent may not exist		</v>
      </c>
      <c r="Z325" s="43" t="str">
        <f>IFERROR(O325&amp;" - "&amp;G325,"--")</f>
        <v>Senior Operator General Operations - 08</v>
      </c>
      <c r="AA325" s="44" t="str">
        <f>_xlfn.XLOOKUP($H325,'[1]SIG Qualifications Input'!$D:$D,'[1]SIG Qualifications Input'!$H:$H)</f>
        <v>Vocational training in e.g. manual or technical  field or equivalent work experience. 4-7 years of experience, possibly further internal trainings and/or external advanced training</v>
      </c>
    </row>
    <row r="326" spans="1:27" ht="141" thickBot="1" x14ac:dyDescent="0.2">
      <c r="A326" s="34" t="str">
        <f>_xlfn.XLOOKUP(C326,'[1]SIG Job Families &amp; Descriptions'!F:F,'[1]SIG Job Families &amp; Descriptions'!B:B)</f>
        <v>Operations</v>
      </c>
      <c r="B326" s="34" t="str">
        <f>_xlfn.XLOOKUP(C326,'[1]SIG Job Families &amp; Descriptions'!F:F,'[1]SIG Job Families &amp; Descriptions'!D:D)</f>
        <v>General Operations</v>
      </c>
      <c r="C326" s="34" t="s">
        <v>93</v>
      </c>
      <c r="D326" s="30" t="str">
        <f t="shared" si="10"/>
        <v>AGA</v>
      </c>
      <c r="E326" s="31" t="str">
        <f>_xlfn.XLOOKUP(C326,'[1]SIG Job Families &amp; Descriptions'!F:F,'[1]SIG Job Families &amp; Descriptions'!A:A)</f>
        <v>AGA036</v>
      </c>
      <c r="F326" s="32" t="s">
        <v>50</v>
      </c>
      <c r="G326" s="33" t="s">
        <v>52</v>
      </c>
      <c r="H326" s="34" t="str">
        <f>F326&amp;"-"&amp;G326</f>
        <v>Operations-07</v>
      </c>
      <c r="I326" s="35" t="str">
        <f>IF(ISERROR(_xlfn.XLOOKUP(H326,'[1]SIG Level Structure'!D:D,'[1]SIG Level Structure'!D:D)),"0","1")</f>
        <v>1</v>
      </c>
      <c r="J326" s="36" t="str">
        <f>_xlfn.XLOOKUP($H326,'[1]SIG Level Structure'!$D:$D,'[1]SIG Level Structure'!F:F)</f>
        <v>W4</v>
      </c>
      <c r="K326" s="37" t="str">
        <f>E326&amp;"-"&amp;J326&amp;"-"&amp;G326</f>
        <v>AGA036-W4-07</v>
      </c>
      <c r="L326" s="37" t="str">
        <f>IFERROR(D326&amp;"-"&amp;LEFT(J326,1),"--")</f>
        <v>AGA-W</v>
      </c>
      <c r="M326" s="37" t="e">
        <f>VLOOKUP(L326,'[1]Compatible JC'!$A:$A,1,FALSE)</f>
        <v>#N/A</v>
      </c>
      <c r="N326" s="37" t="str">
        <f>IFERROR(_xlfn.XLOOKUP(H326,'[1]SIG Level Structure'!D:D,'[1]SIG Level Structure'!C:C),"--")</f>
        <v>Senior Operator</v>
      </c>
      <c r="O326" s="38" t="str">
        <f>IFERROR(TRIM(N326&amp;" "&amp;C326),"--")</f>
        <v>Senior Operator General Operations</v>
      </c>
      <c r="P326" s="22" t="str">
        <f>_xlfn.XLOOKUP(E326,'[1]SIG Job Families &amp; Descriptions'!A:A,'[1]SIG Job Families &amp; Descriptions'!G:G)</f>
        <v>Manages, directs and coordinates all or a major segment of the organization's operations in a manufacturing environment/industry, typically including assembly, machinery, processing and/or packaging. Oversees functions that support manufacturing operations, including engineering, supply chain/logistics and purchasing. May formulate policies, forecast requirements for manpower, technology and facilities and develop quality standards.</v>
      </c>
      <c r="Q326" s="39" t="str">
        <f>_xlfn.XLOOKUP(E326,'[1]2022 GI Position Descriptions'!E:E,'[1]2022 GI Position Descriptions'!G:G)</f>
        <v>Manages, directs and coordinates all or a major segment of the organization's operations in a manufacturing environment/industry, typically including assembly, machinery, processing and/or packaging | Oversees functions that support manufacturing operations, including engineering, supply chain/logistics and purchasing | May formulate policies, forecast requirements for manpower, technology and facilities and develop quality standards</v>
      </c>
      <c r="R326" s="22" t="str">
        <f>IF(LEFT(J326,1)="E","EX",LEFT(J326,1))</f>
        <v>W</v>
      </c>
      <c r="S326" s="22" t="str">
        <f>_xlfn.XLOOKUP($R326,'[1]Career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326" s="22" t="str">
        <f>J326</f>
        <v>W4</v>
      </c>
      <c r="U326" s="40" t="str">
        <f t="shared" si="11"/>
        <v>W4</v>
      </c>
      <c r="V326" s="22" t="str">
        <f>_xlfn.XLOOKUP(T326,'[1]Career Bands &amp; Levels'!A:A,'[1]Career Bands &amp; Levels'!C:C)</f>
        <v xml:space="preserve">●	Has advanced skills, typically gained through a combination of job-related training and considerable work experience		
●	May act as a lead, coordinating the work of others, but is not a supervisor		
●	Works autonomously within established procedures and practices		
●	Has developed a specialized level of skill to perform assigned tasks		</v>
      </c>
      <c r="W326" s="41" t="str">
        <f>J326&amp;"-"&amp;G326</f>
        <v>W4-07</v>
      </c>
      <c r="X326" s="42" t="str">
        <f>G326</f>
        <v>07</v>
      </c>
      <c r="Y326" s="22" t="str">
        <f>_xlfn.XLOOKUP(W326,'[1]Career Bands &amp; Levels'!A:A,'[1]Career Bands &amp; Levels'!C:C,"No Grade Differentiator")</f>
        <v xml:space="preserve">●	Performs a variety of complex tasks and/or may lead a team in the performance of a variety of tasks that are often routine		
●	May support the development of solutions to complex problems of a recurring nature		</v>
      </c>
      <c r="Z326" s="43" t="str">
        <f>IFERROR(O326&amp;" - "&amp;G326,"--")</f>
        <v>Senior Operator General Operations - 07</v>
      </c>
      <c r="AA326" s="44" t="str">
        <f>_xlfn.XLOOKUP($H326,'[1]SIG Qualifications Input'!$D:$D,'[1]SIG Qualifications Input'!$H:$H)</f>
        <v>Vocational training in e.g. manual or technical  field or equivalent work experience. 4-7 years of experience, possibly further internal trainings and/or external advanced training</v>
      </c>
    </row>
    <row r="327" spans="1:27" ht="141" thickBot="1" x14ac:dyDescent="0.2">
      <c r="A327" s="34" t="str">
        <f>_xlfn.XLOOKUP(C327,'[1]SIG Job Families &amp; Descriptions'!F:F,'[1]SIG Job Families &amp; Descriptions'!B:B)</f>
        <v>Operations</v>
      </c>
      <c r="B327" s="34" t="str">
        <f>_xlfn.XLOOKUP(C327,'[1]SIG Job Families &amp; Descriptions'!F:F,'[1]SIG Job Families &amp; Descriptions'!D:D)</f>
        <v>General Operations</v>
      </c>
      <c r="C327" s="34" t="s">
        <v>93</v>
      </c>
      <c r="D327" s="30" t="str">
        <f t="shared" si="10"/>
        <v>AGA</v>
      </c>
      <c r="E327" s="31" t="str">
        <f>_xlfn.XLOOKUP(C327,'[1]SIG Job Families &amp; Descriptions'!F:F,'[1]SIG Job Families &amp; Descriptions'!A:A)</f>
        <v>AGA036</v>
      </c>
      <c r="F327" s="32" t="s">
        <v>50</v>
      </c>
      <c r="G327" s="33" t="s">
        <v>53</v>
      </c>
      <c r="H327" s="34" t="str">
        <f>F327&amp;"-"&amp;G327</f>
        <v>Operations-06</v>
      </c>
      <c r="I327" s="35" t="str">
        <f>IF(ISERROR(_xlfn.XLOOKUP(H327,'[1]SIG Level Structure'!D:D,'[1]SIG Level Structure'!D:D)),"0","1")</f>
        <v>1</v>
      </c>
      <c r="J327" s="36" t="str">
        <f>_xlfn.XLOOKUP($H327,'[1]SIG Level Structure'!$D:$D,'[1]SIG Level Structure'!F:F)</f>
        <v>W3</v>
      </c>
      <c r="K327" s="37" t="str">
        <f>E327&amp;"-"&amp;J327&amp;"-"&amp;G327</f>
        <v>AGA036-W3-06</v>
      </c>
      <c r="L327" s="37" t="str">
        <f>IFERROR(D327&amp;"-"&amp;LEFT(J327,1),"--")</f>
        <v>AGA-W</v>
      </c>
      <c r="M327" s="37" t="e">
        <f>VLOOKUP(L327,'[1]Compatible JC'!$A:$A,1,FALSE)</f>
        <v>#N/A</v>
      </c>
      <c r="N327" s="37" t="str">
        <f>IFERROR(_xlfn.XLOOKUP(H327,'[1]SIG Level Structure'!D:D,'[1]SIG Level Structure'!C:C),"--")</f>
        <v>Operator</v>
      </c>
      <c r="O327" s="38" t="str">
        <f>IFERROR(TRIM(N327&amp;" "&amp;C327),"--")</f>
        <v>Operator General Operations</v>
      </c>
      <c r="P327" s="22" t="str">
        <f>_xlfn.XLOOKUP(E327,'[1]SIG Job Families &amp; Descriptions'!A:A,'[1]SIG Job Families &amp; Descriptions'!G:G)</f>
        <v>Manages, directs and coordinates all or a major segment of the organization's operations in a manufacturing environment/industry, typically including assembly, machinery, processing and/or packaging. Oversees functions that support manufacturing operations, including engineering, supply chain/logistics and purchasing. May formulate policies, forecast requirements for manpower, technology and facilities and develop quality standards.</v>
      </c>
      <c r="Q327" s="39" t="str">
        <f>_xlfn.XLOOKUP(E327,'[1]2022 GI Position Descriptions'!E:E,'[1]2022 GI Position Descriptions'!G:G)</f>
        <v>Manages, directs and coordinates all or a major segment of the organization's operations in a manufacturing environment/industry, typically including assembly, machinery, processing and/or packaging | Oversees functions that support manufacturing operations, including engineering, supply chain/logistics and purchasing | May formulate policies, forecast requirements for manpower, technology and facilities and develop quality standards</v>
      </c>
      <c r="R327" s="22" t="str">
        <f>IF(LEFT(J327,1)="E","EX",LEFT(J327,1))</f>
        <v>W</v>
      </c>
      <c r="S327" s="22" t="str">
        <f>_xlfn.XLOOKUP($R327,'[1]Career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327" s="22" t="str">
        <f>J327</f>
        <v>W3</v>
      </c>
      <c r="U327" s="40" t="str">
        <f t="shared" si="11"/>
        <v>W3</v>
      </c>
      <c r="V327" s="22" t="str">
        <f>_xlfn.XLOOKUP(T327,'[1]Career Bands &amp; Levels'!A:A,'[1]Career Bands &amp; Levels'!C:C)</f>
        <v xml:space="preserve">●	Has proficiency through job-related training and considerable work experience		
●	Completes work with a limited degree of supervision; regularly provides guidance to others with less experience		
●	May act as an informal resource for colleagues with less experience		</v>
      </c>
      <c r="W327" s="41" t="str">
        <f>J327&amp;"-"&amp;G327</f>
        <v>W3-06</v>
      </c>
      <c r="X327" s="42" t="str">
        <f>G327</f>
        <v>06</v>
      </c>
      <c r="Y327" s="22" t="str">
        <f>_xlfn.XLOOKUP(W327,'[1]Career Bands &amp; Levels'!A:A,'[1]Career Bands &amp; Levels'!C:C,"No Grade Differentiator")</f>
        <v>No Grade Differentiator</v>
      </c>
      <c r="Z327" s="43" t="str">
        <f>IFERROR(O327&amp;" - "&amp;G327,"--")</f>
        <v>Operator General Operations - 06</v>
      </c>
      <c r="AA327" s="44" t="str">
        <f>_xlfn.XLOOKUP($H327,'[1]SIG Qualifications Input'!$D:$D,'[1]SIG Qualifications Input'!$H:$H)</f>
        <v>Vocational training in e.g. manual or technical  field or equivalent work experience. 0-4 years of experience</v>
      </c>
    </row>
    <row r="328" spans="1:27" ht="141" thickBot="1" x14ac:dyDescent="0.2">
      <c r="A328" s="34" t="str">
        <f>_xlfn.XLOOKUP(C328,'[1]SIG Job Families &amp; Descriptions'!F:F,'[1]SIG Job Families &amp; Descriptions'!B:B)</f>
        <v>Operations</v>
      </c>
      <c r="B328" s="34" t="str">
        <f>_xlfn.XLOOKUP(C328,'[1]SIG Job Families &amp; Descriptions'!F:F,'[1]SIG Job Families &amp; Descriptions'!D:D)</f>
        <v>General Operations</v>
      </c>
      <c r="C328" s="34" t="s">
        <v>93</v>
      </c>
      <c r="D328" s="30" t="str">
        <f t="shared" si="10"/>
        <v>AGA</v>
      </c>
      <c r="E328" s="31" t="str">
        <f>_xlfn.XLOOKUP(C328,'[1]SIG Job Families &amp; Descriptions'!F:F,'[1]SIG Job Families &amp; Descriptions'!A:A)</f>
        <v>AGA036</v>
      </c>
      <c r="F328" s="32" t="s">
        <v>50</v>
      </c>
      <c r="G328" s="33" t="s">
        <v>54</v>
      </c>
      <c r="H328" s="34" t="str">
        <f>F328&amp;"-"&amp;G328</f>
        <v>Operations-05</v>
      </c>
      <c r="I328" s="35" t="str">
        <f>IF(ISERROR(_xlfn.XLOOKUP(H328,'[1]SIG Level Structure'!D:D,'[1]SIG Level Structure'!D:D)),"0","1")</f>
        <v>1</v>
      </c>
      <c r="J328" s="36" t="str">
        <f>_xlfn.XLOOKUP($H328,'[1]SIG Level Structure'!$D:$D,'[1]SIG Level Structure'!F:F)</f>
        <v>W2</v>
      </c>
      <c r="K328" s="37" t="str">
        <f>E328&amp;"-"&amp;J328&amp;"-"&amp;G328</f>
        <v>AGA036-W2-05</v>
      </c>
      <c r="L328" s="37" t="str">
        <f>IFERROR(D328&amp;"-"&amp;LEFT(J328,1),"--")</f>
        <v>AGA-W</v>
      </c>
      <c r="M328" s="37" t="e">
        <f>VLOOKUP(L328,'[1]Compatible JC'!$A:$A,1,FALSE)</f>
        <v>#N/A</v>
      </c>
      <c r="N328" s="37" t="str">
        <f>IFERROR(_xlfn.XLOOKUP(H328,'[1]SIG Level Structure'!D:D,'[1]SIG Level Structure'!C:C),"--")</f>
        <v>Operator</v>
      </c>
      <c r="O328" s="38" t="str">
        <f>IFERROR(TRIM(N328&amp;" "&amp;C328),"--")</f>
        <v>Operator General Operations</v>
      </c>
      <c r="P328" s="22" t="str">
        <f>_xlfn.XLOOKUP(E328,'[1]SIG Job Families &amp; Descriptions'!A:A,'[1]SIG Job Families &amp; Descriptions'!G:G)</f>
        <v>Manages, directs and coordinates all or a major segment of the organization's operations in a manufacturing environment/industry, typically including assembly, machinery, processing and/or packaging. Oversees functions that support manufacturing operations, including engineering, supply chain/logistics and purchasing. May formulate policies, forecast requirements for manpower, technology and facilities and develop quality standards.</v>
      </c>
      <c r="Q328" s="39" t="str">
        <f>_xlfn.XLOOKUP(E328,'[1]2022 GI Position Descriptions'!E:E,'[1]2022 GI Position Descriptions'!G:G)</f>
        <v>Manages, directs and coordinates all or a major segment of the organization's operations in a manufacturing environment/industry, typically including assembly, machinery, processing and/or packaging | Oversees functions that support manufacturing operations, including engineering, supply chain/logistics and purchasing | May formulate policies, forecast requirements for manpower, technology and facilities and develop quality standards</v>
      </c>
      <c r="R328" s="22" t="str">
        <f>IF(LEFT(J328,1)="E","EX",LEFT(J328,1))</f>
        <v>W</v>
      </c>
      <c r="S328" s="22" t="str">
        <f>_xlfn.XLOOKUP($R328,'[1]Career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328" s="22" t="str">
        <f>J328</f>
        <v>W2</v>
      </c>
      <c r="U328" s="40" t="str">
        <f t="shared" si="11"/>
        <v>W2</v>
      </c>
      <c r="V328" s="22" t="str">
        <f>_xlfn.XLOOKUP(T328,'[1]Career Bands &amp; Levels'!A:A,'[1]Career Bands &amp; Levels'!C:C)</f>
        <v xml:space="preserve">●	Has skills developed through formal training or work experience		
●	Works within established procedures and guidelines with limited ability to modify methods and approach		
●	Completes assigned tasks with a moderate degree of supervision		</v>
      </c>
      <c r="W328" s="41" t="str">
        <f>J328&amp;"-"&amp;G328</f>
        <v>W2-05</v>
      </c>
      <c r="X328" s="42" t="str">
        <f>G328</f>
        <v>05</v>
      </c>
      <c r="Y328" s="22" t="str">
        <f>_xlfn.XLOOKUP(W328,'[1]Career Bands &amp; Levels'!A:A,'[1]Career Bands &amp; Levels'!C:C,"No Grade Differentiator")</f>
        <v xml:space="preserve">●	Performs the full range of established procedures, and will typically be considered skilled through work experience		
●	Resolves routine issues without supervisory approval		</v>
      </c>
      <c r="Z328" s="43" t="str">
        <f>IFERROR(O328&amp;" - "&amp;G328,"--")</f>
        <v>Operator General Operations - 05</v>
      </c>
      <c r="AA328" s="44" t="str">
        <f>_xlfn.XLOOKUP($H328,'[1]SIG Qualifications Input'!$D:$D,'[1]SIG Qualifications Input'!$H:$H)</f>
        <v>Vocational training in e.g. manual or technical  field or equivalent work experience. 0-4 years of experience</v>
      </c>
    </row>
    <row r="329" spans="1:27" ht="141" thickBot="1" x14ac:dyDescent="0.2">
      <c r="A329" s="34" t="str">
        <f>_xlfn.XLOOKUP(C329,'[1]SIG Job Families &amp; Descriptions'!F:F,'[1]SIG Job Families &amp; Descriptions'!B:B)</f>
        <v>Operations</v>
      </c>
      <c r="B329" s="34" t="str">
        <f>_xlfn.XLOOKUP(C329,'[1]SIG Job Families &amp; Descriptions'!F:F,'[1]SIG Job Families &amp; Descriptions'!D:D)</f>
        <v>General Operations</v>
      </c>
      <c r="C329" s="34" t="s">
        <v>93</v>
      </c>
      <c r="D329" s="30" t="str">
        <f t="shared" si="10"/>
        <v>AGA</v>
      </c>
      <c r="E329" s="31" t="str">
        <f>_xlfn.XLOOKUP(C329,'[1]SIG Job Families &amp; Descriptions'!F:F,'[1]SIG Job Families &amp; Descriptions'!A:A)</f>
        <v>AGA036</v>
      </c>
      <c r="F329" s="32" t="s">
        <v>50</v>
      </c>
      <c r="G329" s="33" t="s">
        <v>55</v>
      </c>
      <c r="H329" s="34" t="str">
        <f>F329&amp;"-"&amp;G329</f>
        <v>Operations-04</v>
      </c>
      <c r="I329" s="35" t="str">
        <f>IF(ISERROR(_xlfn.XLOOKUP(H329,'[1]SIG Level Structure'!D:D,'[1]SIG Level Structure'!D:D)),"0","1")</f>
        <v>1</v>
      </c>
      <c r="J329" s="36" t="str">
        <f>_xlfn.XLOOKUP($H329,'[1]SIG Level Structure'!$D:$D,'[1]SIG Level Structure'!F:F)</f>
        <v>W2</v>
      </c>
      <c r="K329" s="37" t="str">
        <f>E329&amp;"-"&amp;J329&amp;"-"&amp;G329</f>
        <v>AGA036-W2-04</v>
      </c>
      <c r="L329" s="37" t="str">
        <f>IFERROR(D329&amp;"-"&amp;LEFT(J329,1),"--")</f>
        <v>AGA-W</v>
      </c>
      <c r="M329" s="37" t="e">
        <f>VLOOKUP(L329,'[1]Compatible JC'!$A:$A,1,FALSE)</f>
        <v>#N/A</v>
      </c>
      <c r="N329" s="37" t="str">
        <f>IFERROR(_xlfn.XLOOKUP(H329,'[1]SIG Level Structure'!D:D,'[1]SIG Level Structure'!C:C),"--")</f>
        <v>Operator</v>
      </c>
      <c r="O329" s="38" t="str">
        <f>IFERROR(TRIM(N329&amp;" "&amp;C329),"--")</f>
        <v>Operator General Operations</v>
      </c>
      <c r="P329" s="22" t="str">
        <f>_xlfn.XLOOKUP(E329,'[1]SIG Job Families &amp; Descriptions'!A:A,'[1]SIG Job Families &amp; Descriptions'!G:G)</f>
        <v>Manages, directs and coordinates all or a major segment of the organization's operations in a manufacturing environment/industry, typically including assembly, machinery, processing and/or packaging. Oversees functions that support manufacturing operations, including engineering, supply chain/logistics and purchasing. May formulate policies, forecast requirements for manpower, technology and facilities and develop quality standards.</v>
      </c>
      <c r="Q329" s="39" t="str">
        <f>_xlfn.XLOOKUP(E329,'[1]2022 GI Position Descriptions'!E:E,'[1]2022 GI Position Descriptions'!G:G)</f>
        <v>Manages, directs and coordinates all or a major segment of the organization's operations in a manufacturing environment/industry, typically including assembly, machinery, processing and/or packaging | Oversees functions that support manufacturing operations, including engineering, supply chain/logistics and purchasing | May formulate policies, forecast requirements for manpower, technology and facilities and develop quality standards</v>
      </c>
      <c r="R329" s="22" t="str">
        <f>IF(LEFT(J329,1)="E","EX",LEFT(J329,1))</f>
        <v>W</v>
      </c>
      <c r="S329" s="22" t="str">
        <f>_xlfn.XLOOKUP($R329,'[1]Career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329" s="22" t="str">
        <f>J329</f>
        <v>W2</v>
      </c>
      <c r="U329" s="40" t="str">
        <f t="shared" si="11"/>
        <v>W2</v>
      </c>
      <c r="V329" s="22" t="str">
        <f>_xlfn.XLOOKUP(T329,'[1]Career Bands &amp; Levels'!A:A,'[1]Career Bands &amp; Levels'!C:C)</f>
        <v xml:space="preserve">●	Has skills developed through formal training or work experience		
●	Works within established procedures and guidelines with limited ability to modify methods and approach		
●	Completes assigned tasks with a moderate degree of supervision		</v>
      </c>
      <c r="W329" s="41" t="str">
        <f>J329&amp;"-"&amp;G329</f>
        <v>W2-04</v>
      </c>
      <c r="X329" s="42" t="str">
        <f>G329</f>
        <v>04</v>
      </c>
      <c r="Y329" s="22" t="str">
        <f>_xlfn.XLOOKUP(W329,'[1]Career Bands &amp; Levels'!A:A,'[1]Career Bands &amp; Levels'!C:C,"No Grade Differentiator")</f>
        <v xml:space="preserve">●	Performs most established procedures and will typically be considered semi-skilled through work experience		
●	Resolves routine issues with senior staff or supervisory guidance and approval		</v>
      </c>
      <c r="Z329" s="43" t="str">
        <f>IFERROR(O329&amp;" - "&amp;G329,"--")</f>
        <v>Operator General Operations - 04</v>
      </c>
      <c r="AA329" s="44" t="str">
        <f>_xlfn.XLOOKUP($H329,'[1]SIG Qualifications Input'!$D:$D,'[1]SIG Qualifications Input'!$H:$H)</f>
        <v>Vocational training in e.g. manual or technical  field or equivalent work experience. 0-4 years of experience</v>
      </c>
    </row>
    <row r="330" spans="1:27" ht="183" thickBot="1" x14ac:dyDescent="0.2">
      <c r="A330" s="34" t="str">
        <f>_xlfn.XLOOKUP(C330,'[1]SIG Job Families &amp; Descriptions'!F:F,'[1]SIG Job Families &amp; Descriptions'!B:B)</f>
        <v>Operations</v>
      </c>
      <c r="B330" s="34" t="str">
        <f>_xlfn.XLOOKUP(C330,'[1]SIG Job Families &amp; Descriptions'!F:F,'[1]SIG Job Families &amp; Descriptions'!D:D)</f>
        <v>General Operations</v>
      </c>
      <c r="C330" s="34" t="s">
        <v>94</v>
      </c>
      <c r="D330" s="30" t="str">
        <f t="shared" si="10"/>
        <v>AOM</v>
      </c>
      <c r="E330" s="31" t="str">
        <f>_xlfn.XLOOKUP(C330,'[1]SIG Job Families &amp; Descriptions'!F:F,'[1]SIG Job Families &amp; Descriptions'!A:A)</f>
        <v>AOM000</v>
      </c>
      <c r="F330" s="32" t="s">
        <v>50</v>
      </c>
      <c r="G330" s="33" t="s">
        <v>53</v>
      </c>
      <c r="H330" s="34" t="str">
        <f>F330&amp;"-"&amp;G330</f>
        <v>Operations-06</v>
      </c>
      <c r="I330" s="35" t="str">
        <f>IF(ISERROR(_xlfn.XLOOKUP(H330,'[1]SIG Level Structure'!D:D,'[1]SIG Level Structure'!D:D)),"0","1")</f>
        <v>1</v>
      </c>
      <c r="J330" s="36" t="str">
        <f>_xlfn.XLOOKUP($H330,'[1]SIG Level Structure'!$D:$D,'[1]SIG Level Structure'!F:F)</f>
        <v>W3</v>
      </c>
      <c r="K330" s="37" t="str">
        <f>E330&amp;"-"&amp;J330&amp;"-"&amp;G330</f>
        <v>AOM000-W3-06</v>
      </c>
      <c r="L330" s="37" t="str">
        <f>IFERROR(D330&amp;"-"&amp;LEFT(J330,1),"--")</f>
        <v>AOM-W</v>
      </c>
      <c r="M330" s="37" t="str">
        <f>VLOOKUP(L330,'[1]Compatible JC'!$A:$A,1,FALSE)</f>
        <v>AOM-W</v>
      </c>
      <c r="N330" s="37" t="str">
        <f>IFERROR(_xlfn.XLOOKUP(H330,'[1]SIG Level Structure'!D:D,'[1]SIG Level Structure'!C:C),"--")</f>
        <v>Operator</v>
      </c>
      <c r="O330" s="38" t="str">
        <f>IFERROR(TRIM(N330&amp;" "&amp;C330),"--")</f>
        <v>Operator Cleaning</v>
      </c>
      <c r="P330" s="22" t="str">
        <f>_xlfn.XLOOKUP(E330,'[1]SIG Job Families &amp; Descriptions'!A:A,'[1]SIG Job Families &amp; Descriptions'!G:G)</f>
        <v>Manages, directs and coordinates all or a major segment of the organization's operations in a manufacturing environment/industry, typically including assembly, machinery, processing and/or packaging. Oversees functions that support manufacturing operations, including engineering, supply chain/logistics and purchasing. May formulate policies, forecast requirements for manpower, technology and facilities and develop quality standards.</v>
      </c>
      <c r="Q330" s="39" t="str">
        <f>_xlfn.XLOOKUP(E330,'[1]2022 GI Position Descriptions'!E:E,'[1]2022 GI Position Descriptions'!G:G)</f>
        <v>Manufactures sufficient quantities of quality products at or below budgeted production costs in order to meet demand | Follows established procedures for operating various manufacturing equipment | Sets up equipment feeding, speed and temperature for optimal performance | Selects and measures raw materials and parts to specifications to prepare for production processing | Resolves issues related to the organization's production, machinery, processing and/or packaging operations | Responsibilities are within the Manufacturing/Operations Function as a generalist or in a combination of Disciplines</v>
      </c>
      <c r="R330" s="22" t="str">
        <f>IF(LEFT(J330,1)="E","EX",LEFT(J330,1))</f>
        <v>W</v>
      </c>
      <c r="S330" s="22" t="str">
        <f>_xlfn.XLOOKUP($R330,'[1]Career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330" s="22" t="str">
        <f>J330</f>
        <v>W3</v>
      </c>
      <c r="U330" s="40" t="str">
        <f t="shared" si="11"/>
        <v>W3</v>
      </c>
      <c r="V330" s="22" t="str">
        <f>_xlfn.XLOOKUP(T330,'[1]Career Bands &amp; Levels'!A:A,'[1]Career Bands &amp; Levels'!C:C)</f>
        <v xml:space="preserve">●	Has proficiency through job-related training and considerable work experience		
●	Completes work with a limited degree of supervision; regularly provides guidance to others with less experience		
●	May act as an informal resource for colleagues with less experience		</v>
      </c>
      <c r="W330" s="41" t="str">
        <f>J330&amp;"-"&amp;G330</f>
        <v>W3-06</v>
      </c>
      <c r="X330" s="42" t="str">
        <f>G330</f>
        <v>06</v>
      </c>
      <c r="Y330" s="22" t="str">
        <f>_xlfn.XLOOKUP(W330,'[1]Career Bands &amp; Levels'!A:A,'[1]Career Bands &amp; Levels'!C:C,"No Grade Differentiator")</f>
        <v>No Grade Differentiator</v>
      </c>
      <c r="Z330" s="43" t="str">
        <f>IFERROR(O330&amp;" - "&amp;G330,"--")</f>
        <v>Operator Cleaning - 06</v>
      </c>
      <c r="AA330" s="44" t="str">
        <f>_xlfn.XLOOKUP($H330,'[1]SIG Qualifications Input'!$D:$D,'[1]SIG Qualifications Input'!$H:$H)</f>
        <v>Vocational training in e.g. manual or technical  field or equivalent work experience. 0-4 years of experience</v>
      </c>
    </row>
    <row r="331" spans="1:27" ht="183" thickBot="1" x14ac:dyDescent="0.2">
      <c r="A331" s="34" t="str">
        <f>_xlfn.XLOOKUP(C331,'[1]SIG Job Families &amp; Descriptions'!F:F,'[1]SIG Job Families &amp; Descriptions'!B:B)</f>
        <v>Operations</v>
      </c>
      <c r="B331" s="34" t="str">
        <f>_xlfn.XLOOKUP(C331,'[1]SIG Job Families &amp; Descriptions'!F:F,'[1]SIG Job Families &amp; Descriptions'!D:D)</f>
        <v>General Operations</v>
      </c>
      <c r="C331" s="34" t="s">
        <v>94</v>
      </c>
      <c r="D331" s="30" t="str">
        <f t="shared" si="10"/>
        <v>AOM</v>
      </c>
      <c r="E331" s="31" t="str">
        <f>_xlfn.XLOOKUP(C331,'[1]SIG Job Families &amp; Descriptions'!F:F,'[1]SIG Job Families &amp; Descriptions'!A:A)</f>
        <v>AOM000</v>
      </c>
      <c r="F331" s="32" t="s">
        <v>50</v>
      </c>
      <c r="G331" s="33" t="s">
        <v>54</v>
      </c>
      <c r="H331" s="34" t="str">
        <f>F331&amp;"-"&amp;G331</f>
        <v>Operations-05</v>
      </c>
      <c r="I331" s="35" t="str">
        <f>IF(ISERROR(_xlfn.XLOOKUP(H331,'[1]SIG Level Structure'!D:D,'[1]SIG Level Structure'!D:D)),"0","1")</f>
        <v>1</v>
      </c>
      <c r="J331" s="36" t="str">
        <f>_xlfn.XLOOKUP($H331,'[1]SIG Level Structure'!$D:$D,'[1]SIG Level Structure'!F:F)</f>
        <v>W2</v>
      </c>
      <c r="K331" s="37" t="str">
        <f>E331&amp;"-"&amp;J331&amp;"-"&amp;G331</f>
        <v>AOM000-W2-05</v>
      </c>
      <c r="L331" s="37" t="str">
        <f>IFERROR(D331&amp;"-"&amp;LEFT(J331,1),"--")</f>
        <v>AOM-W</v>
      </c>
      <c r="M331" s="37" t="str">
        <f>VLOOKUP(L331,'[1]Compatible JC'!$A:$A,1,FALSE)</f>
        <v>AOM-W</v>
      </c>
      <c r="N331" s="37" t="str">
        <f>IFERROR(_xlfn.XLOOKUP(H331,'[1]SIG Level Structure'!D:D,'[1]SIG Level Structure'!C:C),"--")</f>
        <v>Operator</v>
      </c>
      <c r="O331" s="38" t="str">
        <f>IFERROR(TRIM(N331&amp;" "&amp;C331),"--")</f>
        <v>Operator Cleaning</v>
      </c>
      <c r="P331" s="22" t="str">
        <f>_xlfn.XLOOKUP(E331,'[1]SIG Job Families &amp; Descriptions'!A:A,'[1]SIG Job Families &amp; Descriptions'!G:G)</f>
        <v>Manages, directs and coordinates all or a major segment of the organization's operations in a manufacturing environment/industry, typically including assembly, machinery, processing and/or packaging. Oversees functions that support manufacturing operations, including engineering, supply chain/logistics and purchasing. May formulate policies, forecast requirements for manpower, technology and facilities and develop quality standards.</v>
      </c>
      <c r="Q331" s="39" t="str">
        <f>_xlfn.XLOOKUP(E331,'[1]2022 GI Position Descriptions'!E:E,'[1]2022 GI Position Descriptions'!G:G)</f>
        <v>Manufactures sufficient quantities of quality products at or below budgeted production costs in order to meet demand | Follows established procedures for operating various manufacturing equipment | Sets up equipment feeding, speed and temperature for optimal performance | Selects and measures raw materials and parts to specifications to prepare for production processing | Resolves issues related to the organization's production, machinery, processing and/or packaging operations | Responsibilities are within the Manufacturing/Operations Function as a generalist or in a combination of Disciplines</v>
      </c>
      <c r="R331" s="22" t="str">
        <f>IF(LEFT(J331,1)="E","EX",LEFT(J331,1))</f>
        <v>W</v>
      </c>
      <c r="S331" s="22" t="str">
        <f>_xlfn.XLOOKUP($R331,'[1]Career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331" s="22" t="str">
        <f>J331</f>
        <v>W2</v>
      </c>
      <c r="U331" s="40" t="str">
        <f t="shared" si="11"/>
        <v>W2</v>
      </c>
      <c r="V331" s="22" t="str">
        <f>_xlfn.XLOOKUP(T331,'[1]Career Bands &amp; Levels'!A:A,'[1]Career Bands &amp; Levels'!C:C)</f>
        <v xml:space="preserve">●	Has skills developed through formal training or work experience		
●	Works within established procedures and guidelines with limited ability to modify methods and approach		
●	Completes assigned tasks with a moderate degree of supervision		</v>
      </c>
      <c r="W331" s="41" t="str">
        <f>J331&amp;"-"&amp;G331</f>
        <v>W2-05</v>
      </c>
      <c r="X331" s="42" t="str">
        <f>G331</f>
        <v>05</v>
      </c>
      <c r="Y331" s="22" t="str">
        <f>_xlfn.XLOOKUP(W331,'[1]Career Bands &amp; Levels'!A:A,'[1]Career Bands &amp; Levels'!C:C,"No Grade Differentiator")</f>
        <v xml:space="preserve">●	Performs the full range of established procedures, and will typically be considered skilled through work experience		
●	Resolves routine issues without supervisory approval		</v>
      </c>
      <c r="Z331" s="43" t="str">
        <f>IFERROR(O331&amp;" - "&amp;G331,"--")</f>
        <v>Operator Cleaning - 05</v>
      </c>
      <c r="AA331" s="44" t="str">
        <f>_xlfn.XLOOKUP($H331,'[1]SIG Qualifications Input'!$D:$D,'[1]SIG Qualifications Input'!$H:$H)</f>
        <v>Vocational training in e.g. manual or technical  field or equivalent work experience. 0-4 years of experience</v>
      </c>
    </row>
    <row r="332" spans="1:27" ht="183" thickBot="1" x14ac:dyDescent="0.2">
      <c r="A332" s="34" t="str">
        <f>_xlfn.XLOOKUP(C332,'[1]SIG Job Families &amp; Descriptions'!F:F,'[1]SIG Job Families &amp; Descriptions'!B:B)</f>
        <v>Operations</v>
      </c>
      <c r="B332" s="34" t="str">
        <f>_xlfn.XLOOKUP(C332,'[1]SIG Job Families &amp; Descriptions'!F:F,'[1]SIG Job Families &amp; Descriptions'!D:D)</f>
        <v>General Operations</v>
      </c>
      <c r="C332" s="34" t="s">
        <v>94</v>
      </c>
      <c r="D332" s="30" t="str">
        <f t="shared" si="10"/>
        <v>AOM</v>
      </c>
      <c r="E332" s="31" t="str">
        <f>_xlfn.XLOOKUP(C332,'[1]SIG Job Families &amp; Descriptions'!F:F,'[1]SIG Job Families &amp; Descriptions'!A:A)</f>
        <v>AOM000</v>
      </c>
      <c r="F332" s="32" t="s">
        <v>50</v>
      </c>
      <c r="G332" s="33" t="s">
        <v>55</v>
      </c>
      <c r="H332" s="34" t="str">
        <f>F332&amp;"-"&amp;G332</f>
        <v>Operations-04</v>
      </c>
      <c r="I332" s="35" t="str">
        <f>IF(ISERROR(_xlfn.XLOOKUP(H332,'[1]SIG Level Structure'!D:D,'[1]SIG Level Structure'!D:D)),"0","1")</f>
        <v>1</v>
      </c>
      <c r="J332" s="36" t="str">
        <f>_xlfn.XLOOKUP($H332,'[1]SIG Level Structure'!$D:$D,'[1]SIG Level Structure'!F:F)</f>
        <v>W2</v>
      </c>
      <c r="K332" s="37" t="str">
        <f>E332&amp;"-"&amp;J332&amp;"-"&amp;G332</f>
        <v>AOM000-W2-04</v>
      </c>
      <c r="L332" s="37" t="str">
        <f>IFERROR(D332&amp;"-"&amp;LEFT(J332,1),"--")</f>
        <v>AOM-W</v>
      </c>
      <c r="M332" s="37" t="str">
        <f>VLOOKUP(L332,'[1]Compatible JC'!$A:$A,1,FALSE)</f>
        <v>AOM-W</v>
      </c>
      <c r="N332" s="37" t="str">
        <f>IFERROR(_xlfn.XLOOKUP(H332,'[1]SIG Level Structure'!D:D,'[1]SIG Level Structure'!C:C),"--")</f>
        <v>Operator</v>
      </c>
      <c r="O332" s="38" t="str">
        <f>IFERROR(TRIM(N332&amp;" "&amp;C332),"--")</f>
        <v>Operator Cleaning</v>
      </c>
      <c r="P332" s="22" t="str">
        <f>_xlfn.XLOOKUP(E332,'[1]SIG Job Families &amp; Descriptions'!A:A,'[1]SIG Job Families &amp; Descriptions'!G:G)</f>
        <v>Manages, directs and coordinates all or a major segment of the organization's operations in a manufacturing environment/industry, typically including assembly, machinery, processing and/or packaging. Oversees functions that support manufacturing operations, including engineering, supply chain/logistics and purchasing. May formulate policies, forecast requirements for manpower, technology and facilities and develop quality standards.</v>
      </c>
      <c r="Q332" s="39" t="str">
        <f>_xlfn.XLOOKUP(E332,'[1]2022 GI Position Descriptions'!E:E,'[1]2022 GI Position Descriptions'!G:G)</f>
        <v>Manufactures sufficient quantities of quality products at or below budgeted production costs in order to meet demand | Follows established procedures for operating various manufacturing equipment | Sets up equipment feeding, speed and temperature for optimal performance | Selects and measures raw materials and parts to specifications to prepare for production processing | Resolves issues related to the organization's production, machinery, processing and/or packaging operations | Responsibilities are within the Manufacturing/Operations Function as a generalist or in a combination of Disciplines</v>
      </c>
      <c r="R332" s="22" t="str">
        <f>IF(LEFT(J332,1)="E","EX",LEFT(J332,1))</f>
        <v>W</v>
      </c>
      <c r="S332" s="22" t="str">
        <f>_xlfn.XLOOKUP($R332,'[1]Career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332" s="22" t="str">
        <f>J332</f>
        <v>W2</v>
      </c>
      <c r="U332" s="40" t="str">
        <f t="shared" si="11"/>
        <v>W2</v>
      </c>
      <c r="V332" s="22" t="str">
        <f>_xlfn.XLOOKUP(T332,'[1]Career Bands &amp; Levels'!A:A,'[1]Career Bands &amp; Levels'!C:C)</f>
        <v xml:space="preserve">●	Has skills developed through formal training or work experience		
●	Works within established procedures and guidelines with limited ability to modify methods and approach		
●	Completes assigned tasks with a moderate degree of supervision		</v>
      </c>
      <c r="W332" s="41" t="str">
        <f>J332&amp;"-"&amp;G332</f>
        <v>W2-04</v>
      </c>
      <c r="X332" s="42" t="str">
        <f>G332</f>
        <v>04</v>
      </c>
      <c r="Y332" s="22" t="str">
        <f>_xlfn.XLOOKUP(W332,'[1]Career Bands &amp; Levels'!A:A,'[1]Career Bands &amp; Levels'!C:C,"No Grade Differentiator")</f>
        <v xml:space="preserve">●	Performs most established procedures and will typically be considered semi-skilled through work experience		
●	Resolves routine issues with senior staff or supervisory guidance and approval		</v>
      </c>
      <c r="Z332" s="43" t="str">
        <f>IFERROR(O332&amp;" - "&amp;G332,"--")</f>
        <v>Operator Cleaning - 04</v>
      </c>
      <c r="AA332" s="44" t="str">
        <f>_xlfn.XLOOKUP($H332,'[1]SIG Qualifications Input'!$D:$D,'[1]SIG Qualifications Input'!$H:$H)</f>
        <v>Vocational training in e.g. manual or technical  field or equivalent work experience. 0-4 years of experience</v>
      </c>
    </row>
    <row r="333" spans="1:27" ht="183" thickBot="1" x14ac:dyDescent="0.2">
      <c r="A333" s="34" t="str">
        <f>_xlfn.XLOOKUP(C333,'[1]SIG Job Families &amp; Descriptions'!F:F,'[1]SIG Job Families &amp; Descriptions'!B:B)</f>
        <v>Operations</v>
      </c>
      <c r="B333" s="34" t="str">
        <f>_xlfn.XLOOKUP(C333,'[1]SIG Job Families &amp; Descriptions'!F:F,'[1]SIG Job Families &amp; Descriptions'!D:D)</f>
        <v>General Operations</v>
      </c>
      <c r="C333" s="34" t="s">
        <v>94</v>
      </c>
      <c r="D333" s="30" t="str">
        <f t="shared" si="10"/>
        <v>AOM</v>
      </c>
      <c r="E333" s="31" t="str">
        <f>_xlfn.XLOOKUP(C333,'[1]SIG Job Families &amp; Descriptions'!F:F,'[1]SIG Job Families &amp; Descriptions'!A:A)</f>
        <v>AOM000</v>
      </c>
      <c r="F333" s="32" t="s">
        <v>50</v>
      </c>
      <c r="G333" s="33" t="s">
        <v>66</v>
      </c>
      <c r="H333" s="34" t="str">
        <f>F333&amp;"-"&amp;G333</f>
        <v>Operations-03</v>
      </c>
      <c r="I333" s="35" t="str">
        <f>IF(ISERROR(_xlfn.XLOOKUP(H333,'[1]SIG Level Structure'!D:D,'[1]SIG Level Structure'!D:D)),"0","1")</f>
        <v>1</v>
      </c>
      <c r="J333" s="36" t="str">
        <f>_xlfn.XLOOKUP($H333,'[1]SIG Level Structure'!$D:$D,'[1]SIG Level Structure'!F:F)</f>
        <v>W1</v>
      </c>
      <c r="K333" s="37" t="str">
        <f>E333&amp;"-"&amp;J333&amp;"-"&amp;G333</f>
        <v>AOM000-W1-03</v>
      </c>
      <c r="L333" s="37" t="str">
        <f>IFERROR(D333&amp;"-"&amp;LEFT(J333,1),"--")</f>
        <v>AOM-W</v>
      </c>
      <c r="M333" s="37" t="str">
        <f>VLOOKUP(L333,'[1]Compatible JC'!$A:$A,1,FALSE)</f>
        <v>AOM-W</v>
      </c>
      <c r="N333" s="37" t="str">
        <f>IFERROR(_xlfn.XLOOKUP(H333,'[1]SIG Level Structure'!D:D,'[1]SIG Level Structure'!C:C),"--")</f>
        <v>Worker</v>
      </c>
      <c r="O333" s="38" t="str">
        <f>IFERROR(TRIM(N333&amp;" "&amp;C333),"--")</f>
        <v>Worker Cleaning</v>
      </c>
      <c r="P333" s="22" t="str">
        <f>_xlfn.XLOOKUP(E333,'[1]SIG Job Families &amp; Descriptions'!A:A,'[1]SIG Job Families &amp; Descriptions'!G:G)</f>
        <v>Manages, directs and coordinates all or a major segment of the organization's operations in a manufacturing environment/industry, typically including assembly, machinery, processing and/or packaging. Oversees functions that support manufacturing operations, including engineering, supply chain/logistics and purchasing. May formulate policies, forecast requirements for manpower, technology and facilities and develop quality standards.</v>
      </c>
      <c r="Q333" s="39" t="str">
        <f>_xlfn.XLOOKUP(E333,'[1]2022 GI Position Descriptions'!E:E,'[1]2022 GI Position Descriptions'!G:G)</f>
        <v>Manufactures sufficient quantities of quality products at or below budgeted production costs in order to meet demand | Follows established procedures for operating various manufacturing equipment | Sets up equipment feeding, speed and temperature for optimal performance | Selects and measures raw materials and parts to specifications to prepare for production processing | Resolves issues related to the organization's production, machinery, processing and/or packaging operations | Responsibilities are within the Manufacturing/Operations Function as a generalist or in a combination of Disciplines</v>
      </c>
      <c r="R333" s="22" t="str">
        <f>IF(LEFT(J333,1)="E","EX",LEFT(J333,1))</f>
        <v>W</v>
      </c>
      <c r="S333" s="22" t="str">
        <f>_xlfn.XLOOKUP($R333,'[1]Career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333" s="22" t="str">
        <f>J333</f>
        <v>W1</v>
      </c>
      <c r="U333" s="40" t="str">
        <f t="shared" si="11"/>
        <v>W1</v>
      </c>
      <c r="V333" s="22" t="str">
        <f>_xlfn.XLOOKUP(T333,'[1]Career Bands &amp; Levels'!A:A,'[1]Career Bands &amp; Levels'!C:C)</f>
        <v xml:space="preserve">●	Has little or no prior relevant training or work experience		
●	Works under close supervision with little autonomy		
●	Works with clearly defined methods and tasks that are described in detail		</v>
      </c>
      <c r="W333" s="41" t="str">
        <f>J333&amp;"-"&amp;G333</f>
        <v>W1-03</v>
      </c>
      <c r="X333" s="42" t="str">
        <f>G333</f>
        <v>03</v>
      </c>
      <c r="Y333" s="22" t="str">
        <f>_xlfn.XLOOKUP(W333,'[1]Career Bands &amp; Levels'!A:A,'[1]Career Bands &amp; Levels'!C:C,"No Grade Differentiator")</f>
        <v xml:space="preserve">●	Has limited prior relevant training or work experience		
●	Contributes directly to specific unskilled tasks or processes		
●	Has limited discretion to vary from established procedures		</v>
      </c>
      <c r="Z333" s="43" t="str">
        <f>IFERROR(O333&amp;" - "&amp;G333,"--")</f>
        <v>Worker Cleaning - 03</v>
      </c>
      <c r="AA333" s="44" t="str">
        <f>_xlfn.XLOOKUP($H333,'[1]SIG Qualifications Input'!$D:$D,'[1]SIG Qualifications Input'!$H:$H)</f>
        <v>Training time up to 6 weeks - 6 months, No formal training required</v>
      </c>
    </row>
    <row r="334" spans="1:27" ht="183" thickBot="1" x14ac:dyDescent="0.2">
      <c r="A334" s="34" t="str">
        <f>_xlfn.XLOOKUP(C334,'[1]SIG Job Families &amp; Descriptions'!F:F,'[1]SIG Job Families &amp; Descriptions'!B:B)</f>
        <v>Operations</v>
      </c>
      <c r="B334" s="34" t="str">
        <f>_xlfn.XLOOKUP(C334,'[1]SIG Job Families &amp; Descriptions'!F:F,'[1]SIG Job Families &amp; Descriptions'!D:D)</f>
        <v>General Operations</v>
      </c>
      <c r="C334" s="34" t="s">
        <v>94</v>
      </c>
      <c r="D334" s="30" t="str">
        <f t="shared" si="10"/>
        <v>AOM</v>
      </c>
      <c r="E334" s="31" t="str">
        <f>_xlfn.XLOOKUP(C334,'[1]SIG Job Families &amp; Descriptions'!F:F,'[1]SIG Job Families &amp; Descriptions'!A:A)</f>
        <v>AOM000</v>
      </c>
      <c r="F334" s="32" t="s">
        <v>50</v>
      </c>
      <c r="G334" s="33" t="s">
        <v>67</v>
      </c>
      <c r="H334" s="34" t="str">
        <f>F334&amp;"-"&amp;G334</f>
        <v>Operations-02</v>
      </c>
      <c r="I334" s="35" t="str">
        <f>IF(ISERROR(_xlfn.XLOOKUP(H334,'[1]SIG Level Structure'!D:D,'[1]SIG Level Structure'!D:D)),"0","1")</f>
        <v>1</v>
      </c>
      <c r="J334" s="36" t="str">
        <f>_xlfn.XLOOKUP($H334,'[1]SIG Level Structure'!$D:$D,'[1]SIG Level Structure'!F:F)</f>
        <v>W1</v>
      </c>
      <c r="K334" s="37" t="str">
        <f>E334&amp;"-"&amp;J334&amp;"-"&amp;G334</f>
        <v>AOM000-W1-02</v>
      </c>
      <c r="L334" s="37" t="str">
        <f>IFERROR(D334&amp;"-"&amp;LEFT(J334,1),"--")</f>
        <v>AOM-W</v>
      </c>
      <c r="M334" s="37" t="str">
        <f>VLOOKUP(L334,'[1]Compatible JC'!$A:$A,1,FALSE)</f>
        <v>AOM-W</v>
      </c>
      <c r="N334" s="37" t="str">
        <f>IFERROR(_xlfn.XLOOKUP(H334,'[1]SIG Level Structure'!D:D,'[1]SIG Level Structure'!C:C),"--")</f>
        <v>Worker</v>
      </c>
      <c r="O334" s="38" t="str">
        <f>IFERROR(TRIM(N334&amp;" "&amp;C334),"--")</f>
        <v>Worker Cleaning</v>
      </c>
      <c r="P334" s="22" t="str">
        <f>_xlfn.XLOOKUP(E334,'[1]SIG Job Families &amp; Descriptions'!A:A,'[1]SIG Job Families &amp; Descriptions'!G:G)</f>
        <v>Manages, directs and coordinates all or a major segment of the organization's operations in a manufacturing environment/industry, typically including assembly, machinery, processing and/or packaging. Oversees functions that support manufacturing operations, including engineering, supply chain/logistics and purchasing. May formulate policies, forecast requirements for manpower, technology and facilities and develop quality standards.</v>
      </c>
      <c r="Q334" s="39" t="str">
        <f>_xlfn.XLOOKUP(E334,'[1]2022 GI Position Descriptions'!E:E,'[1]2022 GI Position Descriptions'!G:G)</f>
        <v>Manufactures sufficient quantities of quality products at or below budgeted production costs in order to meet demand | Follows established procedures for operating various manufacturing equipment | Sets up equipment feeding, speed and temperature for optimal performance | Selects and measures raw materials and parts to specifications to prepare for production processing | Resolves issues related to the organization's production, machinery, processing and/or packaging operations | Responsibilities are within the Manufacturing/Operations Function as a generalist or in a combination of Disciplines</v>
      </c>
      <c r="R334" s="22" t="str">
        <f>IF(LEFT(J334,1)="E","EX",LEFT(J334,1))</f>
        <v>W</v>
      </c>
      <c r="S334" s="22" t="str">
        <f>_xlfn.XLOOKUP($R334,'[1]Career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334" s="22" t="str">
        <f>J334</f>
        <v>W1</v>
      </c>
      <c r="U334" s="40" t="str">
        <f t="shared" si="11"/>
        <v>W1</v>
      </c>
      <c r="V334" s="22" t="str">
        <f>_xlfn.XLOOKUP(T334,'[1]Career Bands &amp; Levels'!A:A,'[1]Career Bands &amp; Levels'!C:C)</f>
        <v xml:space="preserve">●	Has little or no prior relevant training or work experience		
●	Works under close supervision with little autonomy		
●	Works with clearly defined methods and tasks that are described in detail		</v>
      </c>
      <c r="W334" s="41" t="str">
        <f>J334&amp;"-"&amp;G334</f>
        <v>W1-02</v>
      </c>
      <c r="X334" s="42" t="str">
        <f>G334</f>
        <v>02</v>
      </c>
      <c r="Y334" s="22" t="str">
        <f>_xlfn.XLOOKUP(W334,'[1]Career Bands &amp; Levels'!A:A,'[1]Career Bands &amp; Levels'!C:C,"No Grade Differentiator")</f>
        <v xml:space="preserve">●	Has no prior relevant training or work experience		
●	Contributes indirectly to specific unskilled tasks or processes		
●	Has no discretion to vary from established procedures		</v>
      </c>
      <c r="Z334" s="43" t="str">
        <f>IFERROR(O334&amp;" - "&amp;G334,"--")</f>
        <v>Worker Cleaning - 02</v>
      </c>
      <c r="AA334" s="44" t="str">
        <f>_xlfn.XLOOKUP($H334,'[1]SIG Qualifications Input'!$D:$D,'[1]SIG Qualifications Input'!$H:$H)</f>
        <v>Training time up to 6 weeks - 6 months, No formal training required</v>
      </c>
    </row>
    <row r="335" spans="1:27" ht="183" thickBot="1" x14ac:dyDescent="0.2">
      <c r="A335" s="34" t="str">
        <f>_xlfn.XLOOKUP(C335,'[1]SIG Job Families &amp; Descriptions'!F:F,'[1]SIG Job Families &amp; Descriptions'!B:B)</f>
        <v>Operations</v>
      </c>
      <c r="B335" s="34" t="str">
        <f>_xlfn.XLOOKUP(C335,'[1]SIG Job Families &amp; Descriptions'!F:F,'[1]SIG Job Families &amp; Descriptions'!D:D)</f>
        <v>Production Planning &amp; Control</v>
      </c>
      <c r="C335" s="34" t="s">
        <v>95</v>
      </c>
      <c r="D335" s="30" t="str">
        <f t="shared" si="10"/>
        <v>AOM</v>
      </c>
      <c r="E335" s="31" t="str">
        <f>_xlfn.XLOOKUP(C335,'[1]SIG Job Families &amp; Descriptions'!F:F,'[1]SIG Job Families &amp; Descriptions'!A:A)</f>
        <v>AOM010</v>
      </c>
      <c r="F335" s="32" t="s">
        <v>29</v>
      </c>
      <c r="G335" s="33" t="s">
        <v>33</v>
      </c>
      <c r="H335" s="34" t="str">
        <f>F335&amp;"-"&amp;G335</f>
        <v>Management-13</v>
      </c>
      <c r="I335" s="35" t="str">
        <f>IF(ISERROR(_xlfn.XLOOKUP(H335,'[1]SIG Level Structure'!D:D,'[1]SIG Level Structure'!D:D)),"0","1")</f>
        <v>1</v>
      </c>
      <c r="J335" s="36" t="str">
        <f>_xlfn.XLOOKUP($H335,'[1]SIG Level Structure'!$D:$D,'[1]SIG Level Structure'!F:F)</f>
        <v>M2</v>
      </c>
      <c r="K335" s="37" t="str">
        <f>E335&amp;"-"&amp;J335&amp;"-"&amp;G335</f>
        <v>AOM010-M2-13</v>
      </c>
      <c r="L335" s="37" t="str">
        <f>IFERROR(D335&amp;"-"&amp;LEFT(J335,1),"--")</f>
        <v>AOM-M</v>
      </c>
      <c r="M335" s="37" t="str">
        <f>VLOOKUP(L335,'[1]Compatible JC'!$A:$A,1,FALSE)</f>
        <v>AOM-M</v>
      </c>
      <c r="N335" s="37" t="str">
        <f>IFERROR(_xlfn.XLOOKUP(H335,'[1]SIG Level Structure'!D:D,'[1]SIG Level Structure'!C:C),"--")</f>
        <v>Manager</v>
      </c>
      <c r="O335" s="38" t="str">
        <f>IFERROR(TRIM(N335&amp;" "&amp;C335),"--")</f>
        <v>Manager Production Planning &amp; Control</v>
      </c>
      <c r="P335" s="22" t="str">
        <f>_xlfn.XLOOKUP(E335,'[1]SIG Job Families &amp; Descriptions'!A:A,'[1]SIG Job Families &amp; Descriptions'!G:G)</f>
        <v xml:space="preserve">Plans and prepares manufacturing production schedules and departmental workflows to establish sequence and lead time of each production operation to meet shipping dates according to sales forecasts or customer orders. Expedites operations that delay schedules and alters schedules to meet unforeseen conditions; includes estimating. Analyzes plant capacity and production requisition data to determine manufacturing processes and required resources; prepares production reports. </v>
      </c>
      <c r="Q335" s="39" t="str">
        <f>_xlfn.XLOOKUP(E335,'[1]2022 GI Position Descriptions'!E:E,'[1]2022 GI Position Descriptions'!G:G)</f>
        <v>Plans and prepares manufacturing production schedules and departmental workflows to establish sequence and lead time of each production operation to meet shipping dates according to sales forecasts or customer orders | Expedites operations that delay schedules and alters schedules to meet unforeseen conditions; includes estimating | Analyzes plant capacity and production requisition data to determine manufacturing processes and required resources; prepares production reports</v>
      </c>
      <c r="R335" s="22" t="str">
        <f>IF(LEFT(J335,1)="E","EX",LEFT(J335,1))</f>
        <v>M</v>
      </c>
      <c r="S335" s="22" t="str">
        <f>_xlfn.XLOOKUP($R335,'[1]Career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335" s="22" t="str">
        <f>J335</f>
        <v>M2</v>
      </c>
      <c r="U335" s="40" t="str">
        <f t="shared" si="11"/>
        <v>M2</v>
      </c>
      <c r="V335" s="22" t="str">
        <f>_xlfn.XLOOKUP(T335,'[1]Career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335" s="41" t="str">
        <f>J335&amp;"-"&amp;G335</f>
        <v>M2-13</v>
      </c>
      <c r="X335" s="42" t="str">
        <f>G335</f>
        <v>13</v>
      </c>
      <c r="Y335" s="22" t="str">
        <f>_xlfn.XLOOKUP(W335,'[1]Career Bands &amp; Levels'!A:A,'[1]Career Bands &amp; Levels'!C:C,"No Grade Differentiator")</f>
        <v>●	Accountable for the budget, performance and results of a medium-sized team or multiple small teams of employees		
●	Exercises full management authority, including performance reviews, pay decisions, recruitment, discipline, termination and other personnel actions		
●	Addresses issues with impact beyond own team based on knowledge of related disciplines</v>
      </c>
      <c r="Z335" s="43" t="str">
        <f>IFERROR(O335&amp;" - "&amp;G335,"--")</f>
        <v>Manager Production Planning &amp; Control - 13</v>
      </c>
      <c r="AA335" s="44" t="str">
        <f>_xlfn.XLOOKUP($H335,'[1]SIG Qualifications Input'!$D:$D,'[1]SIG Qualifications Input'!$H:$H)</f>
        <v>University degree or equivalent and 7-10 years of work experience or equivalent
Experience in managing mixed-level team(s) of professionals and subordinate managers</v>
      </c>
    </row>
    <row r="336" spans="1:27" ht="183" thickBot="1" x14ac:dyDescent="0.2">
      <c r="A336" s="34" t="str">
        <f>_xlfn.XLOOKUP(C336,'[1]SIG Job Families &amp; Descriptions'!F:F,'[1]SIG Job Families &amp; Descriptions'!B:B)</f>
        <v>Operations</v>
      </c>
      <c r="B336" s="34" t="str">
        <f>_xlfn.XLOOKUP(C336,'[1]SIG Job Families &amp; Descriptions'!F:F,'[1]SIG Job Families &amp; Descriptions'!D:D)</f>
        <v>Production Planning &amp; Control</v>
      </c>
      <c r="C336" s="34" t="s">
        <v>95</v>
      </c>
      <c r="D336" s="30" t="str">
        <f t="shared" si="10"/>
        <v>AOM</v>
      </c>
      <c r="E336" s="31" t="str">
        <f>_xlfn.XLOOKUP(C336,'[1]SIG Job Families &amp; Descriptions'!F:F,'[1]SIG Job Families &amp; Descriptions'!A:A)</f>
        <v>AOM010</v>
      </c>
      <c r="F336" s="32" t="s">
        <v>29</v>
      </c>
      <c r="G336" s="33" t="s">
        <v>34</v>
      </c>
      <c r="H336" s="34" t="str">
        <f>F336&amp;"-"&amp;G336</f>
        <v>Management-12</v>
      </c>
      <c r="I336" s="35" t="str">
        <f>IF(ISERROR(_xlfn.XLOOKUP(H336,'[1]SIG Level Structure'!D:D,'[1]SIG Level Structure'!D:D)),"0","1")</f>
        <v>1</v>
      </c>
      <c r="J336" s="36" t="str">
        <f>_xlfn.XLOOKUP($H336,'[1]SIG Level Structure'!$D:$D,'[1]SIG Level Structure'!F:F)</f>
        <v>M2</v>
      </c>
      <c r="K336" s="37" t="str">
        <f>E336&amp;"-"&amp;J336&amp;"-"&amp;G336</f>
        <v>AOM010-M2-12</v>
      </c>
      <c r="L336" s="37" t="str">
        <f>IFERROR(D336&amp;"-"&amp;LEFT(J336,1),"--")</f>
        <v>AOM-M</v>
      </c>
      <c r="M336" s="37" t="str">
        <f>VLOOKUP(L336,'[1]Compatible JC'!$A:$A,1,FALSE)</f>
        <v>AOM-M</v>
      </c>
      <c r="N336" s="37" t="str">
        <f>IFERROR(_xlfn.XLOOKUP(H336,'[1]SIG Level Structure'!D:D,'[1]SIG Level Structure'!C:C),"--")</f>
        <v>Manager</v>
      </c>
      <c r="O336" s="38" t="str">
        <f>IFERROR(TRIM(N336&amp;" "&amp;C336),"--")</f>
        <v>Manager Production Planning &amp; Control</v>
      </c>
      <c r="P336" s="22" t="str">
        <f>_xlfn.XLOOKUP(E336,'[1]SIG Job Families &amp; Descriptions'!A:A,'[1]SIG Job Families &amp; Descriptions'!G:G)</f>
        <v xml:space="preserve">Plans and prepares manufacturing production schedules and departmental workflows to establish sequence and lead time of each production operation to meet shipping dates according to sales forecasts or customer orders. Expedites operations that delay schedules and alters schedules to meet unforeseen conditions; includes estimating. Analyzes plant capacity and production requisition data to determine manufacturing processes and required resources; prepares production reports. </v>
      </c>
      <c r="Q336" s="39" t="str">
        <f>_xlfn.XLOOKUP(E336,'[1]2022 GI Position Descriptions'!E:E,'[1]2022 GI Position Descriptions'!G:G)</f>
        <v>Plans and prepares manufacturing production schedules and departmental workflows to establish sequence and lead time of each production operation to meet shipping dates according to sales forecasts or customer orders | Expedites operations that delay schedules and alters schedules to meet unforeseen conditions; includes estimating | Analyzes plant capacity and production requisition data to determine manufacturing processes and required resources; prepares production reports</v>
      </c>
      <c r="R336" s="22" t="str">
        <f>IF(LEFT(J336,1)="E","EX",LEFT(J336,1))</f>
        <v>M</v>
      </c>
      <c r="S336" s="22" t="str">
        <f>_xlfn.XLOOKUP($R336,'[1]Career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336" s="22" t="str">
        <f>J336</f>
        <v>M2</v>
      </c>
      <c r="U336" s="40" t="str">
        <f t="shared" si="11"/>
        <v>M2</v>
      </c>
      <c r="V336" s="22" t="str">
        <f>_xlfn.XLOOKUP(T336,'[1]Career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336" s="41" t="str">
        <f>J336&amp;"-"&amp;G336</f>
        <v>M2-12</v>
      </c>
      <c r="X336" s="42" t="str">
        <f>G336</f>
        <v>12</v>
      </c>
      <c r="Y336" s="22" t="str">
        <f>_xlfn.XLOOKUP(W336,'[1]Career Bands &amp; Levels'!A:A,'[1]Career Bands &amp; Levels'!C:C,"No Grade Differentiator")</f>
        <v xml:space="preserve">●	Accountable for results of a small team of employees		
●	Exercises limited management authority; sets employee performance objectives, conducts performance reviews and recommends pay actions		
●	Defines team operating standards and ensures essential procedures are followed based on knowledge of own discipline		</v>
      </c>
      <c r="Z336" s="43" t="str">
        <f>IFERROR(O336&amp;" - "&amp;G336,"--")</f>
        <v>Manager Production Planning &amp; Control - 12</v>
      </c>
      <c r="AA336" s="44" t="str">
        <f>_xlfn.XLOOKUP($H336,'[1]SIG Qualifications Input'!$D:$D,'[1]SIG Qualifications Input'!$H:$H)</f>
        <v>University degree or equivalent and 7-10 years of work experience or equivalent
Experience in managing mixed-level team(s) of professionals and subordinate managers</v>
      </c>
    </row>
    <row r="337" spans="1:27" ht="183" thickBot="1" x14ac:dyDescent="0.2">
      <c r="A337" s="34" t="str">
        <f>_xlfn.XLOOKUP(C337,'[1]SIG Job Families &amp; Descriptions'!F:F,'[1]SIG Job Families &amp; Descriptions'!B:B)</f>
        <v>Operations</v>
      </c>
      <c r="B337" s="34" t="str">
        <f>_xlfn.XLOOKUP(C337,'[1]SIG Job Families &amp; Descriptions'!F:F,'[1]SIG Job Families &amp; Descriptions'!D:D)</f>
        <v>Production Planning &amp; Control</v>
      </c>
      <c r="C337" s="34" t="s">
        <v>95</v>
      </c>
      <c r="D337" s="30" t="str">
        <f t="shared" si="10"/>
        <v>AOM</v>
      </c>
      <c r="E337" s="31" t="str">
        <f>_xlfn.XLOOKUP(C337,'[1]SIG Job Families &amp; Descriptions'!F:F,'[1]SIG Job Families &amp; Descriptions'!A:A)</f>
        <v>AOM010</v>
      </c>
      <c r="F337" s="32" t="s">
        <v>29</v>
      </c>
      <c r="G337" s="33" t="s">
        <v>35</v>
      </c>
      <c r="H337" s="34" t="str">
        <f>F337&amp;"-"&amp;G337</f>
        <v>Management-11</v>
      </c>
      <c r="I337" s="35" t="str">
        <f>IF(ISERROR(_xlfn.XLOOKUP(H337,'[1]SIG Level Structure'!D:D,'[1]SIG Level Structure'!D:D)),"0","1")</f>
        <v>1</v>
      </c>
      <c r="J337" s="36" t="str">
        <f>_xlfn.XLOOKUP($H337,'[1]SIG Level Structure'!$D:$D,'[1]SIG Level Structure'!F:F)</f>
        <v>M1</v>
      </c>
      <c r="K337" s="37" t="str">
        <f>E337&amp;"-"&amp;J337&amp;"-"&amp;G337</f>
        <v>AOM010-M1-11</v>
      </c>
      <c r="L337" s="37" t="str">
        <f>IFERROR(D337&amp;"-"&amp;LEFT(J337,1),"--")</f>
        <v>AOM-M</v>
      </c>
      <c r="M337" s="37" t="str">
        <f>VLOOKUP(L337,'[1]Compatible JC'!$A:$A,1,FALSE)</f>
        <v>AOM-M</v>
      </c>
      <c r="N337" s="37" t="str">
        <f>IFERROR(_xlfn.XLOOKUP(H337,'[1]SIG Level Structure'!D:D,'[1]SIG Level Structure'!C:C),"--")</f>
        <v>Supervisor</v>
      </c>
      <c r="O337" s="38" t="str">
        <f>IFERROR(TRIM(N337&amp;" "&amp;C337),"--")</f>
        <v>Supervisor Production Planning &amp; Control</v>
      </c>
      <c r="P337" s="22" t="str">
        <f>_xlfn.XLOOKUP(E337,'[1]SIG Job Families &amp; Descriptions'!A:A,'[1]SIG Job Families &amp; Descriptions'!G:G)</f>
        <v xml:space="preserve">Plans and prepares manufacturing production schedules and departmental workflows to establish sequence and lead time of each production operation to meet shipping dates according to sales forecasts or customer orders. Expedites operations that delay schedules and alters schedules to meet unforeseen conditions; includes estimating. Analyzes plant capacity and production requisition data to determine manufacturing processes and required resources; prepares production reports. </v>
      </c>
      <c r="Q337" s="39" t="str">
        <f>_xlfn.XLOOKUP(E337,'[1]2022 GI Position Descriptions'!E:E,'[1]2022 GI Position Descriptions'!G:G)</f>
        <v>Plans and prepares manufacturing production schedules and departmental workflows to establish sequence and lead time of each production operation to meet shipping dates according to sales forecasts or customer orders | Expedites operations that delay schedules and alters schedules to meet unforeseen conditions; includes estimating | Analyzes plant capacity and production requisition data to determine manufacturing processes and required resources; prepares production reports</v>
      </c>
      <c r="R337" s="22" t="str">
        <f>IF(LEFT(J337,1)="E","EX",LEFT(J337,1))</f>
        <v>M</v>
      </c>
      <c r="S337" s="22" t="str">
        <f>_xlfn.XLOOKUP($R337,'[1]Career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337" s="22" t="str">
        <f>J337</f>
        <v>M1</v>
      </c>
      <c r="U337" s="40" t="str">
        <f t="shared" si="11"/>
        <v>M1</v>
      </c>
      <c r="V337" s="22" t="str">
        <f>_xlfn.XLOOKUP(T337,'[1]Career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337" s="41" t="str">
        <f>J337&amp;"-"&amp;G337</f>
        <v>M1-11</v>
      </c>
      <c r="X337" s="42" t="str">
        <f>G337</f>
        <v>11</v>
      </c>
      <c r="Y337" s="22" t="str">
        <f>_xlfn.XLOOKUP(W337,'[1]Career Bands &amp; Levels'!A:A,'[1]Career Bands &amp; Levels'!C:C,"No Grade Differentiator")</f>
        <v xml:space="preserve">●	Accountable for the results of a large and/or moderately complex support or production operations team including subordinate work leaders		
●	Applies acquired expertise to analyze and solve problems without clear precedent		
●	Provides input on resource planning and policy development		
●	Coaches team members on performance, completes employee performance evaluations and recommends pay actions		</v>
      </c>
      <c r="Z337" s="43" t="str">
        <f>IFERROR(O337&amp;" - "&amp;G337,"--")</f>
        <v>Supervisor Production Planning &amp; Control - 11</v>
      </c>
      <c r="AA337" s="44" t="str">
        <f>_xlfn.XLOOKUP($H337,'[1]SIG Qualifications Input'!$D:$D,'[1]SIG Qualifications Input'!$H:$H)</f>
        <v>University degree or equivalent and 5-7 years of work experience or equivalent
Experienced in application of management techniques
Experience in operationally managing a mixed-level team</v>
      </c>
    </row>
    <row r="338" spans="1:27" ht="183" thickBot="1" x14ac:dyDescent="0.2">
      <c r="A338" s="34" t="str">
        <f>_xlfn.XLOOKUP(C338,'[1]SIG Job Families &amp; Descriptions'!F:F,'[1]SIG Job Families &amp; Descriptions'!B:B)</f>
        <v>Operations</v>
      </c>
      <c r="B338" s="34" t="str">
        <f>_xlfn.XLOOKUP(C338,'[1]SIG Job Families &amp; Descriptions'!F:F,'[1]SIG Job Families &amp; Descriptions'!D:D)</f>
        <v>Production Planning &amp; Control</v>
      </c>
      <c r="C338" s="34" t="s">
        <v>95</v>
      </c>
      <c r="D338" s="30" t="str">
        <f t="shared" si="10"/>
        <v>AOM</v>
      </c>
      <c r="E338" s="31" t="str">
        <f>_xlfn.XLOOKUP(C338,'[1]SIG Job Families &amp; Descriptions'!F:F,'[1]SIG Job Families &amp; Descriptions'!A:A)</f>
        <v>AOM010</v>
      </c>
      <c r="F338" s="32" t="s">
        <v>29</v>
      </c>
      <c r="G338" s="33" t="s">
        <v>36</v>
      </c>
      <c r="H338" s="34" t="str">
        <f>F338&amp;"-"&amp;G338</f>
        <v>Management-10</v>
      </c>
      <c r="I338" s="35" t="str">
        <f>IF(ISERROR(_xlfn.XLOOKUP(H338,'[1]SIG Level Structure'!D:D,'[1]SIG Level Structure'!D:D)),"0","1")</f>
        <v>1</v>
      </c>
      <c r="J338" s="36" t="str">
        <f>_xlfn.XLOOKUP($H338,'[1]SIG Level Structure'!$D:$D,'[1]SIG Level Structure'!F:F)</f>
        <v>M1</v>
      </c>
      <c r="K338" s="37" t="str">
        <f>E338&amp;"-"&amp;J338&amp;"-"&amp;G338</f>
        <v>AOM010-M1-10</v>
      </c>
      <c r="L338" s="37" t="str">
        <f>IFERROR(D338&amp;"-"&amp;LEFT(J338,1),"--")</f>
        <v>AOM-M</v>
      </c>
      <c r="M338" s="37" t="str">
        <f>VLOOKUP(L338,'[1]Compatible JC'!$A:$A,1,FALSE)</f>
        <v>AOM-M</v>
      </c>
      <c r="N338" s="37" t="str">
        <f>IFERROR(_xlfn.XLOOKUP(H338,'[1]SIG Level Structure'!D:D,'[1]SIG Level Structure'!C:C),"--")</f>
        <v>Supervisor</v>
      </c>
      <c r="O338" s="38" t="str">
        <f>IFERROR(TRIM(N338&amp;" "&amp;C338),"--")</f>
        <v>Supervisor Production Planning &amp; Control</v>
      </c>
      <c r="P338" s="22" t="str">
        <f>_xlfn.XLOOKUP(E338,'[1]SIG Job Families &amp; Descriptions'!A:A,'[1]SIG Job Families &amp; Descriptions'!G:G)</f>
        <v xml:space="preserve">Plans and prepares manufacturing production schedules and departmental workflows to establish sequence and lead time of each production operation to meet shipping dates according to sales forecasts or customer orders. Expedites operations that delay schedules and alters schedules to meet unforeseen conditions; includes estimating. Analyzes plant capacity and production requisition data to determine manufacturing processes and required resources; prepares production reports. </v>
      </c>
      <c r="Q338" s="39" t="str">
        <f>_xlfn.XLOOKUP(E338,'[1]2022 GI Position Descriptions'!E:E,'[1]2022 GI Position Descriptions'!G:G)</f>
        <v>Plans and prepares manufacturing production schedules and departmental workflows to establish sequence and lead time of each production operation to meet shipping dates according to sales forecasts or customer orders | Expedites operations that delay schedules and alters schedules to meet unforeseen conditions; includes estimating | Analyzes plant capacity and production requisition data to determine manufacturing processes and required resources; prepares production reports</v>
      </c>
      <c r="R338" s="22" t="str">
        <f>IF(LEFT(J338,1)="E","EX",LEFT(J338,1))</f>
        <v>M</v>
      </c>
      <c r="S338" s="22" t="str">
        <f>_xlfn.XLOOKUP($R338,'[1]Career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338" s="22" t="str">
        <f>J338</f>
        <v>M1</v>
      </c>
      <c r="U338" s="40" t="str">
        <f t="shared" si="11"/>
        <v>M1</v>
      </c>
      <c r="V338" s="22" t="str">
        <f>_xlfn.XLOOKUP(T338,'[1]Career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338" s="41" t="str">
        <f>J338&amp;"-"&amp;G338</f>
        <v>M1-10</v>
      </c>
      <c r="X338" s="42" t="str">
        <f>G338</f>
        <v>10</v>
      </c>
      <c r="Y338" s="22" t="str">
        <f>_xlfn.XLOOKUP(W338,'[1]Career Bands &amp; Levels'!A:A,'[1]Career Bands &amp; Levels'!C:C,"No Grade Differentiator")</f>
        <v xml:space="preserve">●	Accountable for the results of medium-sized routine support or production operations teams		
●	Solves problems based on practice and precedent		
●	Trains team members and provides input to employee performance evaluations		</v>
      </c>
      <c r="Z338" s="43" t="str">
        <f>IFERROR(O338&amp;" - "&amp;G338,"--")</f>
        <v>Supervisor Production Planning &amp; Control - 10</v>
      </c>
      <c r="AA338" s="44" t="str">
        <f>_xlfn.XLOOKUP($H338,'[1]SIG Qualifications Input'!$D:$D,'[1]SIG Qualifications Input'!$H:$H)</f>
        <v>University degree or equivalent and 5-7 years of work experience or equivalent
Experienced in application of management techniques
Experience in operationally managing a mixed-level team</v>
      </c>
    </row>
    <row r="339" spans="1:27" ht="169" thickBot="1" x14ac:dyDescent="0.2">
      <c r="A339" s="34" t="str">
        <f>_xlfn.XLOOKUP(C339,'[1]SIG Job Families &amp; Descriptions'!F:F,'[1]SIG Job Families &amp; Descriptions'!B:B)</f>
        <v>Operations</v>
      </c>
      <c r="B339" s="34" t="str">
        <f>_xlfn.XLOOKUP(C339,'[1]SIG Job Families &amp; Descriptions'!F:F,'[1]SIG Job Families &amp; Descriptions'!D:D)</f>
        <v>Production Planning &amp; Control</v>
      </c>
      <c r="C339" s="34" t="s">
        <v>95</v>
      </c>
      <c r="D339" s="30" t="str">
        <f t="shared" si="10"/>
        <v>AOM</v>
      </c>
      <c r="E339" s="31" t="str">
        <f>_xlfn.XLOOKUP(C339,'[1]SIG Job Families &amp; Descriptions'!F:F,'[1]SIG Job Families &amp; Descriptions'!A:A)</f>
        <v>AOM010</v>
      </c>
      <c r="F339" s="32" t="s">
        <v>32</v>
      </c>
      <c r="G339" s="33" t="s">
        <v>34</v>
      </c>
      <c r="H339" s="34" t="str">
        <f>F339&amp;"-"&amp;G339</f>
        <v>Professional-12</v>
      </c>
      <c r="I339" s="35" t="str">
        <f>IF(ISERROR(_xlfn.XLOOKUP(H339,'[1]SIG Level Structure'!D:D,'[1]SIG Level Structure'!D:D)),"0","1")</f>
        <v>1</v>
      </c>
      <c r="J339" s="36" t="str">
        <f>_xlfn.XLOOKUP($H339,'[1]SIG Level Structure'!$D:$D,'[1]SIG Level Structure'!F:F)</f>
        <v>P3</v>
      </c>
      <c r="K339" s="37" t="str">
        <f>E339&amp;"-"&amp;J339&amp;"-"&amp;G339</f>
        <v>AOM010-P3-12</v>
      </c>
      <c r="L339" s="37" t="str">
        <f>IFERROR(D339&amp;"-"&amp;LEFT(J339,1),"--")</f>
        <v>AOM-P</v>
      </c>
      <c r="M339" s="37" t="str">
        <f>VLOOKUP(L339,'[1]Compatible JC'!$A:$A,1,FALSE)</f>
        <v>AOM-P</v>
      </c>
      <c r="N339" s="37" t="str">
        <f>IFERROR(_xlfn.XLOOKUP(H339,'[1]SIG Level Structure'!D:D,'[1]SIG Level Structure'!C:C),"--")</f>
        <v>Expert</v>
      </c>
      <c r="O339" s="38" t="str">
        <f>IFERROR(TRIM(N339&amp;" "&amp;C339),"--")</f>
        <v>Expert Production Planning &amp; Control</v>
      </c>
      <c r="P339" s="22" t="str">
        <f>_xlfn.XLOOKUP(E339,'[1]SIG Job Families &amp; Descriptions'!A:A,'[1]SIG Job Families &amp; Descriptions'!G:G)</f>
        <v xml:space="preserve">Plans and prepares manufacturing production schedules and departmental workflows to establish sequence and lead time of each production operation to meet shipping dates according to sales forecasts or customer orders. Expedites operations that delay schedules and alters schedules to meet unforeseen conditions; includes estimating. Analyzes plant capacity and production requisition data to determine manufacturing processes and required resources; prepares production reports. </v>
      </c>
      <c r="Q339" s="39" t="str">
        <f>_xlfn.XLOOKUP(E339,'[1]2022 GI Position Descriptions'!E:E,'[1]2022 GI Position Descriptions'!G:G)</f>
        <v>Plans and prepares manufacturing production schedules and departmental workflows to establish sequence and lead time of each production operation to meet shipping dates according to sales forecasts or customer orders | Expedites operations that delay schedules and alters schedules to meet unforeseen conditions; includes estimating | Analyzes plant capacity and production requisition data to determine manufacturing processes and required resources; prepares production reports</v>
      </c>
      <c r="R339" s="22" t="str">
        <f>IF(LEFT(J339,1)="E","EX",LEFT(J339,1))</f>
        <v>P</v>
      </c>
      <c r="S339" s="22" t="str">
        <f>_xlfn.XLOOKUP($R339,'[1]Career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39" s="22" t="str">
        <f>J339</f>
        <v>P3</v>
      </c>
      <c r="U339" s="40" t="str">
        <f t="shared" si="11"/>
        <v>P3</v>
      </c>
      <c r="V339" s="22" t="str">
        <f>_xlfn.XLOOKUP(T339,'[1]Career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339" s="41" t="str">
        <f>J339&amp;"-"&amp;G339</f>
        <v>P3-12</v>
      </c>
      <c r="X339" s="42" t="str">
        <f>G339</f>
        <v>12</v>
      </c>
      <c r="Y339" s="22" t="str">
        <f>_xlfn.XLOOKUP(W339,'[1]Career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339" s="43" t="str">
        <f>IFERROR(O339&amp;" - "&amp;G339,"--")</f>
        <v>Expert Production Planning &amp; Control - 12</v>
      </c>
      <c r="AA339" s="44" t="str">
        <f>_xlfn.XLOOKUP($H339,'[1]SIG Qualifications Input'!$D:$D,'[1]SIG Qualifications Input'!$H:$H)</f>
        <v>University degree or equivalent and 4-8 years of work experience or equivalent, 
Initial experience in functionally leading (sub-) projects</v>
      </c>
    </row>
    <row r="340" spans="1:27" ht="169" thickBot="1" x14ac:dyDescent="0.2">
      <c r="A340" s="34" t="str">
        <f>_xlfn.XLOOKUP(C340,'[1]SIG Job Families &amp; Descriptions'!F:F,'[1]SIG Job Families &amp; Descriptions'!B:B)</f>
        <v>Operations</v>
      </c>
      <c r="B340" s="34" t="str">
        <f>_xlfn.XLOOKUP(C340,'[1]SIG Job Families &amp; Descriptions'!F:F,'[1]SIG Job Families &amp; Descriptions'!D:D)</f>
        <v>Production Planning &amp; Control</v>
      </c>
      <c r="C340" s="34" t="s">
        <v>95</v>
      </c>
      <c r="D340" s="30" t="str">
        <f t="shared" si="10"/>
        <v>AOM</v>
      </c>
      <c r="E340" s="31" t="str">
        <f>_xlfn.XLOOKUP(C340,'[1]SIG Job Families &amp; Descriptions'!F:F,'[1]SIG Job Families &amp; Descriptions'!A:A)</f>
        <v>AOM010</v>
      </c>
      <c r="F340" s="32" t="s">
        <v>32</v>
      </c>
      <c r="G340" s="33" t="s">
        <v>35</v>
      </c>
      <c r="H340" s="34" t="str">
        <f>F340&amp;"-"&amp;G340</f>
        <v>Professional-11</v>
      </c>
      <c r="I340" s="35" t="str">
        <f>IF(ISERROR(_xlfn.XLOOKUP(H340,'[1]SIG Level Structure'!D:D,'[1]SIG Level Structure'!D:D)),"0","1")</f>
        <v>1</v>
      </c>
      <c r="J340" s="36" t="str">
        <f>_xlfn.XLOOKUP($H340,'[1]SIG Level Structure'!$D:$D,'[1]SIG Level Structure'!F:F)</f>
        <v>P3</v>
      </c>
      <c r="K340" s="37" t="str">
        <f>E340&amp;"-"&amp;J340&amp;"-"&amp;G340</f>
        <v>AOM010-P3-11</v>
      </c>
      <c r="L340" s="37" t="str">
        <f>IFERROR(D340&amp;"-"&amp;LEFT(J340,1),"--")</f>
        <v>AOM-P</v>
      </c>
      <c r="M340" s="37" t="str">
        <f>VLOOKUP(L340,'[1]Compatible JC'!$A:$A,1,FALSE)</f>
        <v>AOM-P</v>
      </c>
      <c r="N340" s="37" t="str">
        <f>IFERROR(_xlfn.XLOOKUP(H340,'[1]SIG Level Structure'!D:D,'[1]SIG Level Structure'!C:C),"--")</f>
        <v>Expert</v>
      </c>
      <c r="O340" s="38" t="str">
        <f>IFERROR(TRIM(N340&amp;" "&amp;C340),"--")</f>
        <v>Expert Production Planning &amp; Control</v>
      </c>
      <c r="P340" s="22" t="str">
        <f>_xlfn.XLOOKUP(E340,'[1]SIG Job Families &amp; Descriptions'!A:A,'[1]SIG Job Families &amp; Descriptions'!G:G)</f>
        <v xml:space="preserve">Plans and prepares manufacturing production schedules and departmental workflows to establish sequence and lead time of each production operation to meet shipping dates according to sales forecasts or customer orders. Expedites operations that delay schedules and alters schedules to meet unforeseen conditions; includes estimating. Analyzes plant capacity and production requisition data to determine manufacturing processes and required resources; prepares production reports. </v>
      </c>
      <c r="Q340" s="39" t="str">
        <f>_xlfn.XLOOKUP(E340,'[1]2022 GI Position Descriptions'!E:E,'[1]2022 GI Position Descriptions'!G:G)</f>
        <v>Plans and prepares manufacturing production schedules and departmental workflows to establish sequence and lead time of each production operation to meet shipping dates according to sales forecasts or customer orders | Expedites operations that delay schedules and alters schedules to meet unforeseen conditions; includes estimating | Analyzes plant capacity and production requisition data to determine manufacturing processes and required resources; prepares production reports</v>
      </c>
      <c r="R340" s="22" t="str">
        <f>IF(LEFT(J340,1)="E","EX",LEFT(J340,1))</f>
        <v>P</v>
      </c>
      <c r="S340" s="22" t="str">
        <f>_xlfn.XLOOKUP($R340,'[1]Career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40" s="22" t="str">
        <f>J340</f>
        <v>P3</v>
      </c>
      <c r="U340" s="40" t="str">
        <f t="shared" si="11"/>
        <v>P3</v>
      </c>
      <c r="V340" s="22" t="str">
        <f>_xlfn.XLOOKUP(T340,'[1]Career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340" s="41" t="str">
        <f>J340&amp;"-"&amp;G340</f>
        <v>P3-11</v>
      </c>
      <c r="X340" s="42" t="str">
        <f>G340</f>
        <v>11</v>
      </c>
      <c r="Y340" s="22" t="str">
        <f>_xlfn.XLOOKUP(W340,'[1]Career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340" s="43" t="str">
        <f>IFERROR(O340&amp;" - "&amp;G340,"--")</f>
        <v>Expert Production Planning &amp; Control - 11</v>
      </c>
      <c r="AA340" s="44" t="str">
        <f>_xlfn.XLOOKUP($H340,'[1]SIG Qualifications Input'!$D:$D,'[1]SIG Qualifications Input'!$H:$H)</f>
        <v>University degree or equivalent and 4-8 years of work experience or equivalent, 
Initial experience in functionally leading (sub-) projects</v>
      </c>
    </row>
    <row r="341" spans="1:27" ht="169" thickBot="1" x14ac:dyDescent="0.2">
      <c r="A341" s="34" t="str">
        <f>_xlfn.XLOOKUP(C341,'[1]SIG Job Families &amp; Descriptions'!F:F,'[1]SIG Job Families &amp; Descriptions'!B:B)</f>
        <v>Operations</v>
      </c>
      <c r="B341" s="34" t="str">
        <f>_xlfn.XLOOKUP(C341,'[1]SIG Job Families &amp; Descriptions'!F:F,'[1]SIG Job Families &amp; Descriptions'!D:D)</f>
        <v>Production Planning &amp; Control</v>
      </c>
      <c r="C341" s="34" t="s">
        <v>95</v>
      </c>
      <c r="D341" s="30" t="str">
        <f t="shared" si="10"/>
        <v>AOM</v>
      </c>
      <c r="E341" s="31" t="str">
        <f>_xlfn.XLOOKUP(C341,'[1]SIG Job Families &amp; Descriptions'!F:F,'[1]SIG Job Families &amp; Descriptions'!A:A)</f>
        <v>AOM010</v>
      </c>
      <c r="F341" s="32" t="s">
        <v>32</v>
      </c>
      <c r="G341" s="33" t="s">
        <v>36</v>
      </c>
      <c r="H341" s="34" t="str">
        <f>F341&amp;"-"&amp;G341</f>
        <v>Professional-10</v>
      </c>
      <c r="I341" s="35" t="str">
        <f>IF(ISERROR(_xlfn.XLOOKUP(H341,'[1]SIG Level Structure'!D:D,'[1]SIG Level Structure'!D:D)),"0","1")</f>
        <v>1</v>
      </c>
      <c r="J341" s="36" t="str">
        <f>_xlfn.XLOOKUP($H341,'[1]SIG Level Structure'!$D:$D,'[1]SIG Level Structure'!F:F)</f>
        <v>P2</v>
      </c>
      <c r="K341" s="37" t="str">
        <f>E341&amp;"-"&amp;J341&amp;"-"&amp;G341</f>
        <v>AOM010-P2-10</v>
      </c>
      <c r="L341" s="37" t="str">
        <f>IFERROR(D341&amp;"-"&amp;LEFT(J341,1),"--")</f>
        <v>AOM-P</v>
      </c>
      <c r="M341" s="37" t="str">
        <f>VLOOKUP(L341,'[1]Compatible JC'!$A:$A,1,FALSE)</f>
        <v>AOM-P</v>
      </c>
      <c r="N341" s="37" t="str">
        <f>IFERROR(_xlfn.XLOOKUP(H341,'[1]SIG Level Structure'!D:D,'[1]SIG Level Structure'!C:C),"--")</f>
        <v>Senior Specialist</v>
      </c>
      <c r="O341" s="38" t="str">
        <f>IFERROR(TRIM(N341&amp;" "&amp;C341),"--")</f>
        <v>Senior Specialist Production Planning &amp; Control</v>
      </c>
      <c r="P341" s="22" t="str">
        <f>_xlfn.XLOOKUP(E341,'[1]SIG Job Families &amp; Descriptions'!A:A,'[1]SIG Job Families &amp; Descriptions'!G:G)</f>
        <v xml:space="preserve">Plans and prepares manufacturing production schedules and departmental workflows to establish sequence and lead time of each production operation to meet shipping dates according to sales forecasts or customer orders. Expedites operations that delay schedules and alters schedules to meet unforeseen conditions; includes estimating. Analyzes plant capacity and production requisition data to determine manufacturing processes and required resources; prepares production reports. </v>
      </c>
      <c r="Q341" s="39" t="str">
        <f>_xlfn.XLOOKUP(E341,'[1]2022 GI Position Descriptions'!E:E,'[1]2022 GI Position Descriptions'!G:G)</f>
        <v>Plans and prepares manufacturing production schedules and departmental workflows to establish sequence and lead time of each production operation to meet shipping dates according to sales forecasts or customer orders | Expedites operations that delay schedules and alters schedules to meet unforeseen conditions; includes estimating | Analyzes plant capacity and production requisition data to determine manufacturing processes and required resources; prepares production reports</v>
      </c>
      <c r="R341" s="22" t="str">
        <f>IF(LEFT(J341,1)="E","EX",LEFT(J341,1))</f>
        <v>P</v>
      </c>
      <c r="S341" s="22" t="str">
        <f>_xlfn.XLOOKUP($R341,'[1]Career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41" s="22" t="str">
        <f>J341</f>
        <v>P2</v>
      </c>
      <c r="U341" s="40" t="str">
        <f t="shared" si="11"/>
        <v>P2</v>
      </c>
      <c r="V341" s="22" t="str">
        <f>_xlfn.XLOOKUP(T341,'[1]Career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341" s="41" t="str">
        <f>J341&amp;"-"&amp;G341</f>
        <v>P2-10</v>
      </c>
      <c r="X341" s="42" t="str">
        <f>G341</f>
        <v>10</v>
      </c>
      <c r="Y341" s="22" t="str">
        <f>_xlfn.XLOOKUP(W341,'[1]Career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341" s="43" t="str">
        <f>IFERROR(O341&amp;" - "&amp;G341,"--")</f>
        <v>Senior Specialist Production Planning &amp; Control - 10</v>
      </c>
      <c r="AA341" s="44" t="str">
        <f>_xlfn.XLOOKUP($H341,'[1]SIG Qualifications Input'!$D:$D,'[1]SIG Qualifications Input'!$H:$H)</f>
        <v>University degree or equivalent and 2-4 years of work experience or equivalent</v>
      </c>
    </row>
    <row r="342" spans="1:27" ht="169" thickBot="1" x14ac:dyDescent="0.2">
      <c r="A342" s="34" t="str">
        <f>_xlfn.XLOOKUP(C342,'[1]SIG Job Families &amp; Descriptions'!F:F,'[1]SIG Job Families &amp; Descriptions'!B:B)</f>
        <v>Operations</v>
      </c>
      <c r="B342" s="34" t="str">
        <f>_xlfn.XLOOKUP(C342,'[1]SIG Job Families &amp; Descriptions'!F:F,'[1]SIG Job Families &amp; Descriptions'!D:D)</f>
        <v>Production Planning &amp; Control</v>
      </c>
      <c r="C342" s="34" t="s">
        <v>95</v>
      </c>
      <c r="D342" s="30" t="str">
        <f t="shared" si="10"/>
        <v>AOM</v>
      </c>
      <c r="E342" s="31" t="str">
        <f>_xlfn.XLOOKUP(C342,'[1]SIG Job Families &amp; Descriptions'!F:F,'[1]SIG Job Families &amp; Descriptions'!A:A)</f>
        <v>AOM010</v>
      </c>
      <c r="F342" s="32" t="s">
        <v>32</v>
      </c>
      <c r="G342" s="33" t="s">
        <v>37</v>
      </c>
      <c r="H342" s="34" t="str">
        <f>F342&amp;"-"&amp;G342</f>
        <v>Professional-09</v>
      </c>
      <c r="I342" s="35" t="str">
        <f>IF(ISERROR(_xlfn.XLOOKUP(H342,'[1]SIG Level Structure'!D:D,'[1]SIG Level Structure'!D:D)),"0","1")</f>
        <v>1</v>
      </c>
      <c r="J342" s="36" t="str">
        <f>_xlfn.XLOOKUP($H342,'[1]SIG Level Structure'!$D:$D,'[1]SIG Level Structure'!F:F)</f>
        <v>P2</v>
      </c>
      <c r="K342" s="37" t="str">
        <f>E342&amp;"-"&amp;J342&amp;"-"&amp;G342</f>
        <v>AOM010-P2-09</v>
      </c>
      <c r="L342" s="37" t="str">
        <f>IFERROR(D342&amp;"-"&amp;LEFT(J342,1),"--")</f>
        <v>AOM-P</v>
      </c>
      <c r="M342" s="37" t="str">
        <f>VLOOKUP(L342,'[1]Compatible JC'!$A:$A,1,FALSE)</f>
        <v>AOM-P</v>
      </c>
      <c r="N342" s="37" t="str">
        <f>IFERROR(_xlfn.XLOOKUP(H342,'[1]SIG Level Structure'!D:D,'[1]SIG Level Structure'!C:C),"--")</f>
        <v>Senior Specialist</v>
      </c>
      <c r="O342" s="38" t="str">
        <f>IFERROR(TRIM(N342&amp;" "&amp;C342),"--")</f>
        <v>Senior Specialist Production Planning &amp; Control</v>
      </c>
      <c r="P342" s="22" t="str">
        <f>_xlfn.XLOOKUP(E342,'[1]SIG Job Families &amp; Descriptions'!A:A,'[1]SIG Job Families &amp; Descriptions'!G:G)</f>
        <v xml:space="preserve">Plans and prepares manufacturing production schedules and departmental workflows to establish sequence and lead time of each production operation to meet shipping dates according to sales forecasts or customer orders. Expedites operations that delay schedules and alters schedules to meet unforeseen conditions; includes estimating. Analyzes plant capacity and production requisition data to determine manufacturing processes and required resources; prepares production reports. </v>
      </c>
      <c r="Q342" s="39" t="str">
        <f>_xlfn.XLOOKUP(E342,'[1]2022 GI Position Descriptions'!E:E,'[1]2022 GI Position Descriptions'!G:G)</f>
        <v>Plans and prepares manufacturing production schedules and departmental workflows to establish sequence and lead time of each production operation to meet shipping dates according to sales forecasts or customer orders | Expedites operations that delay schedules and alters schedules to meet unforeseen conditions; includes estimating | Analyzes plant capacity and production requisition data to determine manufacturing processes and required resources; prepares production reports</v>
      </c>
      <c r="R342" s="22" t="str">
        <f>IF(LEFT(J342,1)="E","EX",LEFT(J342,1))</f>
        <v>P</v>
      </c>
      <c r="S342" s="22" t="str">
        <f>_xlfn.XLOOKUP($R342,'[1]Career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42" s="22" t="str">
        <f>J342</f>
        <v>P2</v>
      </c>
      <c r="U342" s="40" t="str">
        <f t="shared" si="11"/>
        <v>P2</v>
      </c>
      <c r="V342" s="22" t="str">
        <f>_xlfn.XLOOKUP(T342,'[1]Career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342" s="41" t="str">
        <f>J342&amp;"-"&amp;G342</f>
        <v>P2-09</v>
      </c>
      <c r="X342" s="42" t="str">
        <f>G342</f>
        <v>09</v>
      </c>
      <c r="Y342" s="22" t="str">
        <f>_xlfn.XLOOKUP(W342,'[1]Career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342" s="43" t="str">
        <f>IFERROR(O342&amp;" - "&amp;G342,"--")</f>
        <v>Senior Specialist Production Planning &amp; Control - 09</v>
      </c>
      <c r="AA342" s="44" t="str">
        <f>_xlfn.XLOOKUP($H342,'[1]SIG Qualifications Input'!$D:$D,'[1]SIG Qualifications Input'!$H:$H)</f>
        <v>University degree or equivalent and 2-4 years of work experience or equivalent</v>
      </c>
    </row>
    <row r="343" spans="1:27" ht="183" thickBot="1" x14ac:dyDescent="0.2">
      <c r="A343" s="34" t="str">
        <f>_xlfn.XLOOKUP(C343,'[1]SIG Job Families &amp; Descriptions'!F:F,'[1]SIG Job Families &amp; Descriptions'!B:B)</f>
        <v>Operations</v>
      </c>
      <c r="B343" s="34" t="str">
        <f>_xlfn.XLOOKUP(C343,'[1]SIG Job Families &amp; Descriptions'!F:F,'[1]SIG Job Families &amp; Descriptions'!D:D)</f>
        <v>Plant/ Production Site Management</v>
      </c>
      <c r="C343" s="34" t="s">
        <v>96</v>
      </c>
      <c r="D343" s="30" t="str">
        <f t="shared" si="10"/>
        <v>AOM</v>
      </c>
      <c r="E343" s="31" t="str">
        <f>_xlfn.XLOOKUP(C343,'[1]SIG Job Families &amp; Descriptions'!F:F,'[1]SIG Job Families &amp; Descriptions'!A:A)</f>
        <v>AOM105</v>
      </c>
      <c r="F343" s="32" t="s">
        <v>29</v>
      </c>
      <c r="G343" s="33" t="s">
        <v>33</v>
      </c>
      <c r="H343" s="34" t="str">
        <f>F343&amp;"-"&amp;G343</f>
        <v>Management-13</v>
      </c>
      <c r="I343" s="35" t="str">
        <f>IF(ISERROR(_xlfn.XLOOKUP(H343,'[1]SIG Level Structure'!D:D,'[1]SIG Level Structure'!D:D)),"0","1")</f>
        <v>1</v>
      </c>
      <c r="J343" s="36" t="str">
        <f>_xlfn.XLOOKUP($H343,'[1]SIG Level Structure'!$D:$D,'[1]SIG Level Structure'!F:F)</f>
        <v>M2</v>
      </c>
      <c r="K343" s="37" t="str">
        <f>E343&amp;"-"&amp;J343&amp;"-"&amp;G343</f>
        <v>AOM105-M2-13</v>
      </c>
      <c r="L343" s="37" t="str">
        <f>IFERROR(D343&amp;"-"&amp;LEFT(J343,1),"--")</f>
        <v>AOM-M</v>
      </c>
      <c r="M343" s="37" t="str">
        <f>VLOOKUP(L343,'[1]Compatible JC'!$A:$A,1,FALSE)</f>
        <v>AOM-M</v>
      </c>
      <c r="N343" s="37" t="str">
        <f>IFERROR(_xlfn.XLOOKUP(H343,'[1]SIG Level Structure'!D:D,'[1]SIG Level Structure'!C:C),"--")</f>
        <v>Manager</v>
      </c>
      <c r="O343" s="38" t="str">
        <f>IFERROR(TRIM(N343&amp;" "&amp;C343),"--")</f>
        <v>Manager Plant/ Production Site Management</v>
      </c>
      <c r="P343" s="22" t="str">
        <f>_xlfn.XLOOKUP(E343,'[1]SIG Job Families &amp; Descriptions'!A:A,'[1]SIG Job Families &amp; Descriptions'!G:G)</f>
        <v xml:space="preserve">Has overall responsibility for a single manufacturing facility. Directs all aspects of production activity at the assigned plant to ensure that the desired quantities and quality of products are manufactured on schedule in a safe manner at minimum cost. May be responsible for Accounting, Human Resources and other staff functions.
</v>
      </c>
      <c r="Q343" s="39" t="str">
        <f>_xlfn.XLOOKUP(E343,'[1]2022 GI Position Descriptions'!E:E,'[1]2022 GI Position Descriptions'!G:G)</f>
        <v>Has overall responsibility for a single manufacturing facility | Directs all aspects of production activity at the assigned plant to ensure that the desired quantities and quality of products are manufactured on schedule in a safe manner at minimum cost | May be responsible for Accounting, Human Resources and other staff functions</v>
      </c>
      <c r="R343" s="22" t="str">
        <f>IF(LEFT(J343,1)="E","EX",LEFT(J343,1))</f>
        <v>M</v>
      </c>
      <c r="S343" s="22" t="str">
        <f>_xlfn.XLOOKUP($R343,'[1]Career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343" s="22" t="str">
        <f>J343</f>
        <v>M2</v>
      </c>
      <c r="U343" s="40" t="str">
        <f t="shared" si="11"/>
        <v>M2</v>
      </c>
      <c r="V343" s="22" t="str">
        <f>_xlfn.XLOOKUP(T343,'[1]Career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343" s="41" t="str">
        <f>J343&amp;"-"&amp;G343</f>
        <v>M2-13</v>
      </c>
      <c r="X343" s="42" t="str">
        <f>G343</f>
        <v>13</v>
      </c>
      <c r="Y343" s="22" t="str">
        <f>_xlfn.XLOOKUP(W343,'[1]Career Bands &amp; Levels'!A:A,'[1]Career Bands &amp; Levels'!C:C,"No Grade Differentiator")</f>
        <v>●	Accountable for the budget, performance and results of a medium-sized team or multiple small teams of employees		
●	Exercises full management authority, including performance reviews, pay decisions, recruitment, discipline, termination and other personnel actions		
●	Addresses issues with impact beyond own team based on knowledge of related disciplines</v>
      </c>
      <c r="Z343" s="43" t="str">
        <f>IFERROR(O343&amp;" - "&amp;G343,"--")</f>
        <v>Manager Plant/ Production Site Management - 13</v>
      </c>
      <c r="AA343" s="44" t="str">
        <f>_xlfn.XLOOKUP($H343,'[1]SIG Qualifications Input'!$D:$D,'[1]SIG Qualifications Input'!$H:$H)</f>
        <v>University degree or equivalent and 7-10 years of work experience or equivalent
Experience in managing mixed-level team(s) of professionals and subordinate managers</v>
      </c>
    </row>
    <row r="344" spans="1:27" ht="183" thickBot="1" x14ac:dyDescent="0.2">
      <c r="A344" s="34" t="str">
        <f>_xlfn.XLOOKUP(C344,'[1]SIG Job Families &amp; Descriptions'!F:F,'[1]SIG Job Families &amp; Descriptions'!B:B)</f>
        <v>Operations</v>
      </c>
      <c r="B344" s="34" t="str">
        <f>_xlfn.XLOOKUP(C344,'[1]SIG Job Families &amp; Descriptions'!F:F,'[1]SIG Job Families &amp; Descriptions'!D:D)</f>
        <v>Plant/ Production Site Management</v>
      </c>
      <c r="C344" s="34" t="s">
        <v>96</v>
      </c>
      <c r="D344" s="30" t="str">
        <f t="shared" si="10"/>
        <v>AOM</v>
      </c>
      <c r="E344" s="31" t="str">
        <f>_xlfn.XLOOKUP(C344,'[1]SIG Job Families &amp; Descriptions'!F:F,'[1]SIG Job Families &amp; Descriptions'!A:A)</f>
        <v>AOM105</v>
      </c>
      <c r="F344" s="32" t="s">
        <v>29</v>
      </c>
      <c r="G344" s="33" t="s">
        <v>34</v>
      </c>
      <c r="H344" s="34" t="str">
        <f>F344&amp;"-"&amp;G344</f>
        <v>Management-12</v>
      </c>
      <c r="I344" s="35" t="str">
        <f>IF(ISERROR(_xlfn.XLOOKUP(H344,'[1]SIG Level Structure'!D:D,'[1]SIG Level Structure'!D:D)),"0","1")</f>
        <v>1</v>
      </c>
      <c r="J344" s="36" t="str">
        <f>_xlfn.XLOOKUP($H344,'[1]SIG Level Structure'!$D:$D,'[1]SIG Level Structure'!F:F)</f>
        <v>M2</v>
      </c>
      <c r="K344" s="37" t="str">
        <f>E344&amp;"-"&amp;J344&amp;"-"&amp;G344</f>
        <v>AOM105-M2-12</v>
      </c>
      <c r="L344" s="37" t="str">
        <f>IFERROR(D344&amp;"-"&amp;LEFT(J344,1),"--")</f>
        <v>AOM-M</v>
      </c>
      <c r="M344" s="37" t="str">
        <f>VLOOKUP(L344,'[1]Compatible JC'!$A:$A,1,FALSE)</f>
        <v>AOM-M</v>
      </c>
      <c r="N344" s="37" t="str">
        <f>IFERROR(_xlfn.XLOOKUP(H344,'[1]SIG Level Structure'!D:D,'[1]SIG Level Structure'!C:C),"--")</f>
        <v>Manager</v>
      </c>
      <c r="O344" s="38" t="str">
        <f>IFERROR(TRIM(N344&amp;" "&amp;C344),"--")</f>
        <v>Manager Plant/ Production Site Management</v>
      </c>
      <c r="P344" s="22" t="str">
        <f>_xlfn.XLOOKUP(E344,'[1]SIG Job Families &amp; Descriptions'!A:A,'[1]SIG Job Families &amp; Descriptions'!G:G)</f>
        <v xml:space="preserve">Has overall responsibility for a single manufacturing facility. Directs all aspects of production activity at the assigned plant to ensure that the desired quantities and quality of products are manufactured on schedule in a safe manner at minimum cost. May be responsible for Accounting, Human Resources and other staff functions.
</v>
      </c>
      <c r="Q344" s="39" t="str">
        <f>_xlfn.XLOOKUP(E344,'[1]2022 GI Position Descriptions'!E:E,'[1]2022 GI Position Descriptions'!G:G)</f>
        <v>Has overall responsibility for a single manufacturing facility | Directs all aspects of production activity at the assigned plant to ensure that the desired quantities and quality of products are manufactured on schedule in a safe manner at minimum cost | May be responsible for Accounting, Human Resources and other staff functions</v>
      </c>
      <c r="R344" s="22" t="str">
        <f>IF(LEFT(J344,1)="E","EX",LEFT(J344,1))</f>
        <v>M</v>
      </c>
      <c r="S344" s="22" t="str">
        <f>_xlfn.XLOOKUP($R344,'[1]Career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344" s="22" t="str">
        <f>J344</f>
        <v>M2</v>
      </c>
      <c r="U344" s="40" t="str">
        <f t="shared" si="11"/>
        <v>M2</v>
      </c>
      <c r="V344" s="22" t="str">
        <f>_xlfn.XLOOKUP(T344,'[1]Career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344" s="41" t="str">
        <f>J344&amp;"-"&amp;G344</f>
        <v>M2-12</v>
      </c>
      <c r="X344" s="42" t="str">
        <f>G344</f>
        <v>12</v>
      </c>
      <c r="Y344" s="22" t="str">
        <f>_xlfn.XLOOKUP(W344,'[1]Career Bands &amp; Levels'!A:A,'[1]Career Bands &amp; Levels'!C:C,"No Grade Differentiator")</f>
        <v xml:space="preserve">●	Accountable for results of a small team of employees		
●	Exercises limited management authority; sets employee performance objectives, conducts performance reviews and recommends pay actions		
●	Defines team operating standards and ensures essential procedures are followed based on knowledge of own discipline		</v>
      </c>
      <c r="Z344" s="43" t="str">
        <f>IFERROR(O344&amp;" - "&amp;G344,"--")</f>
        <v>Manager Plant/ Production Site Management - 12</v>
      </c>
      <c r="AA344" s="44" t="str">
        <f>_xlfn.XLOOKUP($H344,'[1]SIG Qualifications Input'!$D:$D,'[1]SIG Qualifications Input'!$H:$H)</f>
        <v>University degree or equivalent and 7-10 years of work experience or equivalent
Experience in managing mixed-level team(s) of professionals and subordinate managers</v>
      </c>
    </row>
    <row r="345" spans="1:27" ht="169" thickBot="1" x14ac:dyDescent="0.2">
      <c r="A345" s="34" t="str">
        <f>_xlfn.XLOOKUP(C345,'[1]SIG Job Families &amp; Descriptions'!F:F,'[1]SIG Job Families &amp; Descriptions'!B:B)</f>
        <v>Operations</v>
      </c>
      <c r="B345" s="34" t="str">
        <f>_xlfn.XLOOKUP(C345,'[1]SIG Job Families &amp; Descriptions'!F:F,'[1]SIG Job Families &amp; Descriptions'!D:D)</f>
        <v>Plant/ Production Site Management</v>
      </c>
      <c r="C345" s="34" t="s">
        <v>96</v>
      </c>
      <c r="D345" s="30" t="str">
        <f t="shared" si="10"/>
        <v>AOM</v>
      </c>
      <c r="E345" s="31" t="str">
        <f>_xlfn.XLOOKUP(C345,'[1]SIG Job Families &amp; Descriptions'!F:F,'[1]SIG Job Families &amp; Descriptions'!A:A)</f>
        <v>AOM105</v>
      </c>
      <c r="F345" s="32" t="s">
        <v>32</v>
      </c>
      <c r="G345" s="33" t="s">
        <v>36</v>
      </c>
      <c r="H345" s="34" t="str">
        <f>F345&amp;"-"&amp;G345</f>
        <v>Professional-10</v>
      </c>
      <c r="I345" s="35" t="str">
        <f>IF(ISERROR(_xlfn.XLOOKUP(H345,'[1]SIG Level Structure'!D:D,'[1]SIG Level Structure'!D:D)),"0","1")</f>
        <v>1</v>
      </c>
      <c r="J345" s="36" t="str">
        <f>_xlfn.XLOOKUP($H345,'[1]SIG Level Structure'!$D:$D,'[1]SIG Level Structure'!F:F)</f>
        <v>P2</v>
      </c>
      <c r="K345" s="37" t="str">
        <f>E345&amp;"-"&amp;J345&amp;"-"&amp;G345</f>
        <v>AOM105-P2-10</v>
      </c>
      <c r="L345" s="37" t="str">
        <f>IFERROR(D345&amp;"-"&amp;LEFT(J345,1),"--")</f>
        <v>AOM-P</v>
      </c>
      <c r="M345" s="37" t="str">
        <f>VLOOKUP(L345,'[1]Compatible JC'!$A:$A,1,FALSE)</f>
        <v>AOM-P</v>
      </c>
      <c r="N345" s="37" t="str">
        <f>IFERROR(_xlfn.XLOOKUP(H345,'[1]SIG Level Structure'!D:D,'[1]SIG Level Structure'!C:C),"--")</f>
        <v>Senior Specialist</v>
      </c>
      <c r="O345" s="38" t="str">
        <f>IFERROR(TRIM(N345&amp;" "&amp;C345),"--")</f>
        <v>Senior Specialist Plant/ Production Site Management</v>
      </c>
      <c r="P345" s="22" t="str">
        <f>_xlfn.XLOOKUP(E345,'[1]SIG Job Families &amp; Descriptions'!A:A,'[1]SIG Job Families &amp; Descriptions'!G:G)</f>
        <v xml:space="preserve">Has overall responsibility for a single manufacturing facility. Directs all aspects of production activity at the assigned plant to ensure that the desired quantities and quality of products are manufactured on schedule in a safe manner at minimum cost. May be responsible for Accounting, Human Resources and other staff functions.
</v>
      </c>
      <c r="Q345" s="39" t="str">
        <f>_xlfn.XLOOKUP(E345,'[1]2022 GI Position Descriptions'!E:E,'[1]2022 GI Position Descriptions'!G:G)</f>
        <v>Has overall responsibility for a single manufacturing facility | Directs all aspects of production activity at the assigned plant to ensure that the desired quantities and quality of products are manufactured on schedule in a safe manner at minimum cost | May be responsible for Accounting, Human Resources and other staff functions</v>
      </c>
      <c r="R345" s="22" t="str">
        <f>IF(LEFT(J345,1)="E","EX",LEFT(J345,1))</f>
        <v>P</v>
      </c>
      <c r="S345" s="22" t="str">
        <f>_xlfn.XLOOKUP($R345,'[1]Career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45" s="22" t="str">
        <f>J345</f>
        <v>P2</v>
      </c>
      <c r="U345" s="40" t="str">
        <f t="shared" si="11"/>
        <v>P2</v>
      </c>
      <c r="V345" s="22" t="str">
        <f>_xlfn.XLOOKUP(T345,'[1]Career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345" s="41" t="str">
        <f>J345&amp;"-"&amp;G345</f>
        <v>P2-10</v>
      </c>
      <c r="X345" s="42" t="str">
        <f>G345</f>
        <v>10</v>
      </c>
      <c r="Y345" s="22" t="str">
        <f>_xlfn.XLOOKUP(W345,'[1]Career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345" s="43" t="str">
        <f>IFERROR(O345&amp;" - "&amp;G345,"--")</f>
        <v>Senior Specialist Plant/ Production Site Management - 10</v>
      </c>
      <c r="AA345" s="44" t="str">
        <f>_xlfn.XLOOKUP($H345,'[1]SIG Qualifications Input'!$D:$D,'[1]SIG Qualifications Input'!$H:$H)</f>
        <v>University degree or equivalent and 2-4 years of work experience or equivalent</v>
      </c>
    </row>
    <row r="346" spans="1:27" ht="169" thickBot="1" x14ac:dyDescent="0.2">
      <c r="A346" s="34" t="str">
        <f>_xlfn.XLOOKUP(C346,'[1]SIG Job Families &amp; Descriptions'!F:F,'[1]SIG Job Families &amp; Descriptions'!B:B)</f>
        <v>Operations</v>
      </c>
      <c r="B346" s="34" t="str">
        <f>_xlfn.XLOOKUP(C346,'[1]SIG Job Families &amp; Descriptions'!F:F,'[1]SIG Job Families &amp; Descriptions'!D:D)</f>
        <v>Plant/ Production Site Management</v>
      </c>
      <c r="C346" s="34" t="s">
        <v>96</v>
      </c>
      <c r="D346" s="30" t="str">
        <f t="shared" si="10"/>
        <v>AOM</v>
      </c>
      <c r="E346" s="31" t="str">
        <f>_xlfn.XLOOKUP(C346,'[1]SIG Job Families &amp; Descriptions'!F:F,'[1]SIG Job Families &amp; Descriptions'!A:A)</f>
        <v>AOM105</v>
      </c>
      <c r="F346" s="32" t="s">
        <v>32</v>
      </c>
      <c r="G346" s="33" t="s">
        <v>37</v>
      </c>
      <c r="H346" s="34" t="str">
        <f>F346&amp;"-"&amp;G346</f>
        <v>Professional-09</v>
      </c>
      <c r="I346" s="35" t="str">
        <f>IF(ISERROR(_xlfn.XLOOKUP(H346,'[1]SIG Level Structure'!D:D,'[1]SIG Level Structure'!D:D)),"0","1")</f>
        <v>1</v>
      </c>
      <c r="J346" s="36" t="str">
        <f>_xlfn.XLOOKUP($H346,'[1]SIG Level Structure'!$D:$D,'[1]SIG Level Structure'!F:F)</f>
        <v>P2</v>
      </c>
      <c r="K346" s="37" t="str">
        <f>E346&amp;"-"&amp;J346&amp;"-"&amp;G346</f>
        <v>AOM105-P2-09</v>
      </c>
      <c r="L346" s="37" t="str">
        <f>IFERROR(D346&amp;"-"&amp;LEFT(J346,1),"--")</f>
        <v>AOM-P</v>
      </c>
      <c r="M346" s="37" t="str">
        <f>VLOOKUP(L346,'[1]Compatible JC'!$A:$A,1,FALSE)</f>
        <v>AOM-P</v>
      </c>
      <c r="N346" s="37" t="str">
        <f>IFERROR(_xlfn.XLOOKUP(H346,'[1]SIG Level Structure'!D:D,'[1]SIG Level Structure'!C:C),"--")</f>
        <v>Senior Specialist</v>
      </c>
      <c r="O346" s="38" t="str">
        <f>IFERROR(TRIM(N346&amp;" "&amp;C346),"--")</f>
        <v>Senior Specialist Plant/ Production Site Management</v>
      </c>
      <c r="P346" s="22" t="str">
        <f>_xlfn.XLOOKUP(E346,'[1]SIG Job Families &amp; Descriptions'!A:A,'[1]SIG Job Families &amp; Descriptions'!G:G)</f>
        <v xml:space="preserve">Has overall responsibility for a single manufacturing facility. Directs all aspects of production activity at the assigned plant to ensure that the desired quantities and quality of products are manufactured on schedule in a safe manner at minimum cost. May be responsible for Accounting, Human Resources and other staff functions.
</v>
      </c>
      <c r="Q346" s="39" t="str">
        <f>_xlfn.XLOOKUP(E346,'[1]2022 GI Position Descriptions'!E:E,'[1]2022 GI Position Descriptions'!G:G)</f>
        <v>Has overall responsibility for a single manufacturing facility | Directs all aspects of production activity at the assigned plant to ensure that the desired quantities and quality of products are manufactured on schedule in a safe manner at minimum cost | May be responsible for Accounting, Human Resources and other staff functions</v>
      </c>
      <c r="R346" s="22" t="str">
        <f>IF(LEFT(J346,1)="E","EX",LEFT(J346,1))</f>
        <v>P</v>
      </c>
      <c r="S346" s="22" t="str">
        <f>_xlfn.XLOOKUP($R346,'[1]Career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46" s="22" t="str">
        <f>J346</f>
        <v>P2</v>
      </c>
      <c r="U346" s="40" t="str">
        <f t="shared" si="11"/>
        <v>P2</v>
      </c>
      <c r="V346" s="22" t="str">
        <f>_xlfn.XLOOKUP(T346,'[1]Career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346" s="41" t="str">
        <f>J346&amp;"-"&amp;G346</f>
        <v>P2-09</v>
      </c>
      <c r="X346" s="42" t="str">
        <f>G346</f>
        <v>09</v>
      </c>
      <c r="Y346" s="22" t="str">
        <f>_xlfn.XLOOKUP(W346,'[1]Career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346" s="43" t="str">
        <f>IFERROR(O346&amp;" - "&amp;G346,"--")</f>
        <v>Senior Specialist Plant/ Production Site Management - 09</v>
      </c>
      <c r="AA346" s="44" t="str">
        <f>_xlfn.XLOOKUP($H346,'[1]SIG Qualifications Input'!$D:$D,'[1]SIG Qualifications Input'!$H:$H)</f>
        <v>University degree or equivalent and 2-4 years of work experience or equivalent</v>
      </c>
    </row>
    <row r="347" spans="1:27" ht="267" thickBot="1" x14ac:dyDescent="0.2">
      <c r="A347" s="34" t="str">
        <f>_xlfn.XLOOKUP(C347,'[1]SIG Job Families &amp; Descriptions'!F:F,'[1]SIG Job Families &amp; Descriptions'!B:B)</f>
        <v>Operations</v>
      </c>
      <c r="B347" s="34" t="str">
        <f>_xlfn.XLOOKUP(C347,'[1]SIG Job Families &amp; Descriptions'!F:F,'[1]SIG Job Families &amp; Descriptions'!D:D)</f>
        <v>Production Process</v>
      </c>
      <c r="C347" s="34" t="s">
        <v>97</v>
      </c>
      <c r="D347" s="30" t="str">
        <f t="shared" si="10"/>
        <v>AOM</v>
      </c>
      <c r="E347" s="31" t="str">
        <f>_xlfn.XLOOKUP(C347,'[1]SIG Job Families &amp; Descriptions'!F:F,'[1]SIG Job Families &amp; Descriptions'!A:A)</f>
        <v>AOM015</v>
      </c>
      <c r="F347" s="32" t="s">
        <v>29</v>
      </c>
      <c r="G347" s="33" t="s">
        <v>33</v>
      </c>
      <c r="H347" s="34" t="str">
        <f>F347&amp;"-"&amp;G347</f>
        <v>Management-13</v>
      </c>
      <c r="I347" s="35" t="str">
        <f>IF(ISERROR(_xlfn.XLOOKUP(H347,'[1]SIG Level Structure'!D:D,'[1]SIG Level Structure'!D:D)),"0","1")</f>
        <v>1</v>
      </c>
      <c r="J347" s="36" t="str">
        <f>_xlfn.XLOOKUP($H347,'[1]SIG Level Structure'!$D:$D,'[1]SIG Level Structure'!F:F)</f>
        <v>M2</v>
      </c>
      <c r="K347" s="37" t="str">
        <f>E347&amp;"-"&amp;J347&amp;"-"&amp;G347</f>
        <v>AOM015-M2-13</v>
      </c>
      <c r="L347" s="37" t="str">
        <f>IFERROR(D347&amp;"-"&amp;LEFT(J347,1),"--")</f>
        <v>AOM-M</v>
      </c>
      <c r="M347" s="37" t="str">
        <f>VLOOKUP(L347,'[1]Compatible JC'!$A:$A,1,FALSE)</f>
        <v>AOM-M</v>
      </c>
      <c r="N347" s="37" t="str">
        <f>IFERROR(_xlfn.XLOOKUP(H347,'[1]SIG Level Structure'!D:D,'[1]SIG Level Structure'!C:C),"--")</f>
        <v>Manager</v>
      </c>
      <c r="O347" s="38" t="str">
        <f>IFERROR(TRIM(N347&amp;" "&amp;C347),"--")</f>
        <v>Manager Production Process</v>
      </c>
      <c r="P347" s="22" t="str">
        <f>_xlfn.XLOOKUP(E347,'[1]SIG Job Families &amp; Descriptions'!A:A,'[1]SIG Job Families &amp; Descriptions'!G:G)</f>
        <v xml:space="preserve">Systematize and optimize process parameters and process specifications. Define processing requirements for new and further devlopment of manufacturing processes. Sets up equipment feeding, speed and temperature for optimal performance. Selects and measures raw materials and parts to specifications to prepare for production processing. Resolves issues related to the organization's production, machinery, processing and/or packaging operations. May monitor meters, gauges, valves, flow ratios, temperatures, pressures, and related controls and guidelines to ensure adherence to production/process specifications in support of maintenance engineering. Reports any malfunctions or abnormalities and makes minor adjustments and repairs to equipment. Performs all work in accordance with established safety procedures
</v>
      </c>
      <c r="Q347" s="39" t="str">
        <f>_xlfn.XLOOKUP(E347,'[1]2022 GI Position Descriptions'!E:E,'[1]2022 GI Position Descriptions'!G:G)</f>
        <v>Sets up and operates automatic or semi-automatic machines and related equipment in a continuous production/processing operation | Monitors meters, gauges, valves, flow ratios, temperatures, pressures, and related controls and guidelines to ensure adherence to production/process specifications | Reports any malfunctions or abnormalities and makes minor adjustments and repairs to equipment | Performs all work in accordance with established safety procedures</v>
      </c>
      <c r="R347" s="22" t="str">
        <f>IF(LEFT(J347,1)="E","EX",LEFT(J347,1))</f>
        <v>M</v>
      </c>
      <c r="S347" s="22" t="str">
        <f>_xlfn.XLOOKUP($R347,'[1]Career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347" s="22" t="str">
        <f>J347</f>
        <v>M2</v>
      </c>
      <c r="U347" s="40" t="str">
        <f t="shared" si="11"/>
        <v>M2</v>
      </c>
      <c r="V347" s="22" t="str">
        <f>_xlfn.XLOOKUP(T347,'[1]Career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347" s="41" t="str">
        <f>J347&amp;"-"&amp;G347</f>
        <v>M2-13</v>
      </c>
      <c r="X347" s="42" t="str">
        <f>G347</f>
        <v>13</v>
      </c>
      <c r="Y347" s="22" t="str">
        <f>_xlfn.XLOOKUP(W347,'[1]Career Bands &amp; Levels'!A:A,'[1]Career Bands &amp; Levels'!C:C,"No Grade Differentiator")</f>
        <v>●	Accountable for the budget, performance and results of a medium-sized team or multiple small teams of employees		
●	Exercises full management authority, including performance reviews, pay decisions, recruitment, discipline, termination and other personnel actions		
●	Addresses issues with impact beyond own team based on knowledge of related disciplines</v>
      </c>
      <c r="Z347" s="43" t="str">
        <f>IFERROR(O347&amp;" - "&amp;G347,"--")</f>
        <v>Manager Production Process - 13</v>
      </c>
      <c r="AA347" s="44" t="str">
        <f>_xlfn.XLOOKUP($H347,'[1]SIG Qualifications Input'!$D:$D,'[1]SIG Qualifications Input'!$H:$H)</f>
        <v>University degree or equivalent and 7-10 years of work experience or equivalent
Experience in managing mixed-level team(s) of professionals and subordinate managers</v>
      </c>
    </row>
    <row r="348" spans="1:27" ht="244.5" customHeight="1" thickBot="1" x14ac:dyDescent="0.2">
      <c r="A348" s="34" t="str">
        <f>_xlfn.XLOOKUP(C348,'[1]SIG Job Families &amp; Descriptions'!F:F,'[1]SIG Job Families &amp; Descriptions'!B:B)</f>
        <v>Operations</v>
      </c>
      <c r="B348" s="34" t="str">
        <f>_xlfn.XLOOKUP(C348,'[1]SIG Job Families &amp; Descriptions'!F:F,'[1]SIG Job Families &amp; Descriptions'!D:D)</f>
        <v>Production Process</v>
      </c>
      <c r="C348" s="34" t="s">
        <v>97</v>
      </c>
      <c r="D348" s="30" t="str">
        <f t="shared" si="10"/>
        <v>AOM</v>
      </c>
      <c r="E348" s="31" t="str">
        <f>_xlfn.XLOOKUP(C348,'[1]SIG Job Families &amp; Descriptions'!F:F,'[1]SIG Job Families &amp; Descriptions'!A:A)</f>
        <v>AOM015</v>
      </c>
      <c r="F348" s="32" t="s">
        <v>29</v>
      </c>
      <c r="G348" s="33" t="s">
        <v>34</v>
      </c>
      <c r="H348" s="34" t="str">
        <f>F348&amp;"-"&amp;G348</f>
        <v>Management-12</v>
      </c>
      <c r="I348" s="35" t="str">
        <f>IF(ISERROR(_xlfn.XLOOKUP(H348,'[1]SIG Level Structure'!D:D,'[1]SIG Level Structure'!D:D)),"0","1")</f>
        <v>1</v>
      </c>
      <c r="J348" s="36" t="str">
        <f>_xlfn.XLOOKUP($H348,'[1]SIG Level Structure'!$D:$D,'[1]SIG Level Structure'!F:F)</f>
        <v>M2</v>
      </c>
      <c r="K348" s="37" t="str">
        <f>E348&amp;"-"&amp;J348&amp;"-"&amp;G348</f>
        <v>AOM015-M2-12</v>
      </c>
      <c r="L348" s="37" t="str">
        <f>IFERROR(D348&amp;"-"&amp;LEFT(J348,1),"--")</f>
        <v>AOM-M</v>
      </c>
      <c r="M348" s="37" t="str">
        <f>VLOOKUP(L348,'[1]Compatible JC'!$A:$A,1,FALSE)</f>
        <v>AOM-M</v>
      </c>
      <c r="N348" s="37" t="str">
        <f>IFERROR(_xlfn.XLOOKUP(H348,'[1]SIG Level Structure'!D:D,'[1]SIG Level Structure'!C:C),"--")</f>
        <v>Manager</v>
      </c>
      <c r="O348" s="38" t="str">
        <f>IFERROR(TRIM(N348&amp;" "&amp;C348),"--")</f>
        <v>Manager Production Process</v>
      </c>
      <c r="P348" s="22" t="str">
        <f>_xlfn.XLOOKUP(E348,'[1]SIG Job Families &amp; Descriptions'!A:A,'[1]SIG Job Families &amp; Descriptions'!G:G)</f>
        <v xml:space="preserve">Systematize and optimize process parameters and process specifications. Define processing requirements for new and further devlopment of manufacturing processes. Sets up equipment feeding, speed and temperature for optimal performance. Selects and measures raw materials and parts to specifications to prepare for production processing. Resolves issues related to the organization's production, machinery, processing and/or packaging operations. May monitor meters, gauges, valves, flow ratios, temperatures, pressures, and related controls and guidelines to ensure adherence to production/process specifications in support of maintenance engineering. Reports any malfunctions or abnormalities and makes minor adjustments and repairs to equipment. Performs all work in accordance with established safety procedures
</v>
      </c>
      <c r="Q348" s="39" t="str">
        <f>_xlfn.XLOOKUP(E348,'[1]2022 GI Position Descriptions'!E:E,'[1]2022 GI Position Descriptions'!G:G)</f>
        <v>Sets up and operates automatic or semi-automatic machines and related equipment in a continuous production/processing operation | Monitors meters, gauges, valves, flow ratios, temperatures, pressures, and related controls and guidelines to ensure adherence to production/process specifications | Reports any malfunctions or abnormalities and makes minor adjustments and repairs to equipment | Performs all work in accordance with established safety procedures</v>
      </c>
      <c r="R348" s="22" t="str">
        <f>IF(LEFT(J348,1)="E","EX",LEFT(J348,1))</f>
        <v>M</v>
      </c>
      <c r="S348" s="22" t="str">
        <f>_xlfn.XLOOKUP($R348,'[1]Career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348" s="22" t="str">
        <f>J348</f>
        <v>M2</v>
      </c>
      <c r="U348" s="40" t="str">
        <f t="shared" si="11"/>
        <v>M2</v>
      </c>
      <c r="V348" s="22" t="str">
        <f>_xlfn.XLOOKUP(T348,'[1]Career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348" s="41" t="str">
        <f>J348&amp;"-"&amp;G348</f>
        <v>M2-12</v>
      </c>
      <c r="X348" s="42" t="str">
        <f>G348</f>
        <v>12</v>
      </c>
      <c r="Y348" s="22" t="str">
        <f>_xlfn.XLOOKUP(W348,'[1]Career Bands &amp; Levels'!A:A,'[1]Career Bands &amp; Levels'!C:C,"No Grade Differentiator")</f>
        <v xml:space="preserve">●	Accountable for results of a small team of employees		
●	Exercises limited management authority; sets employee performance objectives, conducts performance reviews and recommends pay actions		
●	Defines team operating standards and ensures essential procedures are followed based on knowledge of own discipline		</v>
      </c>
      <c r="Z348" s="43" t="str">
        <f>IFERROR(O348&amp;" - "&amp;G348,"--")</f>
        <v>Manager Production Process - 12</v>
      </c>
      <c r="AA348" s="44" t="str">
        <f>_xlfn.XLOOKUP($H348,'[1]SIG Qualifications Input'!$D:$D,'[1]SIG Qualifications Input'!$H:$H)</f>
        <v>University degree or equivalent and 7-10 years of work experience or equivalent
Experience in managing mixed-level team(s) of professionals and subordinate managers</v>
      </c>
    </row>
    <row r="349" spans="1:27" ht="178.5" customHeight="1" thickBot="1" x14ac:dyDescent="0.2">
      <c r="A349" s="34" t="str">
        <f>_xlfn.XLOOKUP(C349,'[1]SIG Job Families &amp; Descriptions'!F:F,'[1]SIG Job Families &amp; Descriptions'!B:B)</f>
        <v>Operations</v>
      </c>
      <c r="B349" s="34" t="str">
        <f>_xlfn.XLOOKUP(C349,'[1]SIG Job Families &amp; Descriptions'!F:F,'[1]SIG Job Families &amp; Descriptions'!D:D)</f>
        <v>Production Process</v>
      </c>
      <c r="C349" s="34" t="s">
        <v>97</v>
      </c>
      <c r="D349" s="30" t="str">
        <f t="shared" si="10"/>
        <v>AOM</v>
      </c>
      <c r="E349" s="31" t="str">
        <f>_xlfn.XLOOKUP(C349,'[1]SIG Job Families &amp; Descriptions'!F:F,'[1]SIG Job Families &amp; Descriptions'!A:A)</f>
        <v>AOM015</v>
      </c>
      <c r="F349" s="32" t="s">
        <v>29</v>
      </c>
      <c r="G349" s="33" t="s">
        <v>35</v>
      </c>
      <c r="H349" s="34" t="str">
        <f>F349&amp;"-"&amp;G349</f>
        <v>Management-11</v>
      </c>
      <c r="I349" s="35" t="str">
        <f>IF(ISERROR(_xlfn.XLOOKUP(H349,'[1]SIG Level Structure'!D:D,'[1]SIG Level Structure'!D:D)),"0","1")</f>
        <v>1</v>
      </c>
      <c r="J349" s="36" t="str">
        <f>_xlfn.XLOOKUP($H349,'[1]SIG Level Structure'!$D:$D,'[1]SIG Level Structure'!F:F)</f>
        <v>M1</v>
      </c>
      <c r="K349" s="37" t="str">
        <f>E349&amp;"-"&amp;J349&amp;"-"&amp;G349</f>
        <v>AOM015-M1-11</v>
      </c>
      <c r="L349" s="37" t="str">
        <f>IFERROR(D349&amp;"-"&amp;LEFT(J349,1),"--")</f>
        <v>AOM-M</v>
      </c>
      <c r="M349" s="37" t="str">
        <f>VLOOKUP(L349,'[1]Compatible JC'!$A:$A,1,FALSE)</f>
        <v>AOM-M</v>
      </c>
      <c r="N349" s="37" t="str">
        <f>IFERROR(_xlfn.XLOOKUP(H349,'[1]SIG Level Structure'!D:D,'[1]SIG Level Structure'!C:C),"--")</f>
        <v>Supervisor</v>
      </c>
      <c r="O349" s="38" t="str">
        <f>IFERROR(TRIM(N349&amp;" "&amp;C349),"--")</f>
        <v>Supervisor Production Process</v>
      </c>
      <c r="P349" s="22" t="str">
        <f>_xlfn.XLOOKUP(E349,'[1]SIG Job Families &amp; Descriptions'!A:A,'[1]SIG Job Families &amp; Descriptions'!G:G)</f>
        <v xml:space="preserve">Systematize and optimize process parameters and process specifications. Define processing requirements for new and further devlopment of manufacturing processes. Sets up equipment feeding, speed and temperature for optimal performance. Selects and measures raw materials and parts to specifications to prepare for production processing. Resolves issues related to the organization's production, machinery, processing and/or packaging operations. May monitor meters, gauges, valves, flow ratios, temperatures, pressures, and related controls and guidelines to ensure adherence to production/process specifications in support of maintenance engineering. Reports any malfunctions or abnormalities and makes minor adjustments and repairs to equipment. Performs all work in accordance with established safety procedures
</v>
      </c>
      <c r="Q349" s="39" t="str">
        <f>_xlfn.XLOOKUP(E349,'[1]2022 GI Position Descriptions'!E:E,'[1]2022 GI Position Descriptions'!G:G)</f>
        <v>Sets up and operates automatic or semi-automatic machines and related equipment in a continuous production/processing operation | Monitors meters, gauges, valves, flow ratios, temperatures, pressures, and related controls and guidelines to ensure adherence to production/process specifications | Reports any malfunctions or abnormalities and makes minor adjustments and repairs to equipment | Performs all work in accordance with established safety procedures</v>
      </c>
      <c r="R349" s="22" t="str">
        <f>IF(LEFT(J349,1)="E","EX",LEFT(J349,1))</f>
        <v>M</v>
      </c>
      <c r="S349" s="22" t="str">
        <f>_xlfn.XLOOKUP($R349,'[1]Career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349" s="22" t="str">
        <f>J349</f>
        <v>M1</v>
      </c>
      <c r="U349" s="40" t="str">
        <f t="shared" si="11"/>
        <v>M1</v>
      </c>
      <c r="V349" s="22" t="str">
        <f>_xlfn.XLOOKUP(T349,'[1]Career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349" s="41" t="str">
        <f>J349&amp;"-"&amp;G349</f>
        <v>M1-11</v>
      </c>
      <c r="X349" s="42" t="str">
        <f>G349</f>
        <v>11</v>
      </c>
      <c r="Y349" s="22" t="str">
        <f>_xlfn.XLOOKUP(W349,'[1]Career Bands &amp; Levels'!A:A,'[1]Career Bands &amp; Levels'!C:C,"No Grade Differentiator")</f>
        <v xml:space="preserve">●	Accountable for the results of a large and/or moderately complex support or production operations team including subordinate work leaders		
●	Applies acquired expertise to analyze and solve problems without clear precedent		
●	Provides input on resource planning and policy development		
●	Coaches team members on performance, completes employee performance evaluations and recommends pay actions		</v>
      </c>
      <c r="Z349" s="43" t="str">
        <f>IFERROR(O349&amp;" - "&amp;G349,"--")</f>
        <v>Supervisor Production Process - 11</v>
      </c>
      <c r="AA349" s="44" t="str">
        <f>_xlfn.XLOOKUP($H349,'[1]SIG Qualifications Input'!$D:$D,'[1]SIG Qualifications Input'!$H:$H)</f>
        <v>University degree or equivalent and 5-7 years of work experience or equivalent
Experienced in application of management techniques
Experience in operationally managing a mixed-level team</v>
      </c>
    </row>
    <row r="350" spans="1:27" ht="267" thickBot="1" x14ac:dyDescent="0.2">
      <c r="A350" s="34" t="str">
        <f>_xlfn.XLOOKUP(C350,'[1]SIG Job Families &amp; Descriptions'!F:F,'[1]SIG Job Families &amp; Descriptions'!B:B)</f>
        <v>Operations</v>
      </c>
      <c r="B350" s="34" t="str">
        <f>_xlfn.XLOOKUP(C350,'[1]SIG Job Families &amp; Descriptions'!F:F,'[1]SIG Job Families &amp; Descriptions'!D:D)</f>
        <v>Production Process</v>
      </c>
      <c r="C350" s="34" t="s">
        <v>97</v>
      </c>
      <c r="D350" s="30" t="str">
        <f t="shared" si="10"/>
        <v>AOM</v>
      </c>
      <c r="E350" s="31" t="str">
        <f>_xlfn.XLOOKUP(C350,'[1]SIG Job Families &amp; Descriptions'!F:F,'[1]SIG Job Families &amp; Descriptions'!A:A)</f>
        <v>AOM015</v>
      </c>
      <c r="F350" s="32" t="s">
        <v>29</v>
      </c>
      <c r="G350" s="33" t="s">
        <v>36</v>
      </c>
      <c r="H350" s="34" t="str">
        <f>F350&amp;"-"&amp;G350</f>
        <v>Management-10</v>
      </c>
      <c r="I350" s="35" t="str">
        <f>IF(ISERROR(_xlfn.XLOOKUP(H350,'[1]SIG Level Structure'!D:D,'[1]SIG Level Structure'!D:D)),"0","1")</f>
        <v>1</v>
      </c>
      <c r="J350" s="36" t="str">
        <f>_xlfn.XLOOKUP($H350,'[1]SIG Level Structure'!$D:$D,'[1]SIG Level Structure'!F:F)</f>
        <v>M1</v>
      </c>
      <c r="K350" s="37" t="str">
        <f>E350&amp;"-"&amp;J350&amp;"-"&amp;G350</f>
        <v>AOM015-M1-10</v>
      </c>
      <c r="L350" s="37" t="str">
        <f>IFERROR(D350&amp;"-"&amp;LEFT(J350,1),"--")</f>
        <v>AOM-M</v>
      </c>
      <c r="M350" s="37" t="str">
        <f>VLOOKUP(L350,'[1]Compatible JC'!$A:$A,1,FALSE)</f>
        <v>AOM-M</v>
      </c>
      <c r="N350" s="37" t="str">
        <f>IFERROR(_xlfn.XLOOKUP(H350,'[1]SIG Level Structure'!D:D,'[1]SIG Level Structure'!C:C),"--")</f>
        <v>Supervisor</v>
      </c>
      <c r="O350" s="38" t="str">
        <f>IFERROR(TRIM(N350&amp;" "&amp;C350),"--")</f>
        <v>Supervisor Production Process</v>
      </c>
      <c r="P350" s="22" t="str">
        <f>_xlfn.XLOOKUP(E350,'[1]SIG Job Families &amp; Descriptions'!A:A,'[1]SIG Job Families &amp; Descriptions'!G:G)</f>
        <v xml:space="preserve">Systematize and optimize process parameters and process specifications. Define processing requirements for new and further devlopment of manufacturing processes. Sets up equipment feeding, speed and temperature for optimal performance. Selects and measures raw materials and parts to specifications to prepare for production processing. Resolves issues related to the organization's production, machinery, processing and/or packaging operations. May monitor meters, gauges, valves, flow ratios, temperatures, pressures, and related controls and guidelines to ensure adherence to production/process specifications in support of maintenance engineering. Reports any malfunctions or abnormalities and makes minor adjustments and repairs to equipment. Performs all work in accordance with established safety procedures
</v>
      </c>
      <c r="Q350" s="39" t="str">
        <f>_xlfn.XLOOKUP(E350,'[1]2022 GI Position Descriptions'!E:E,'[1]2022 GI Position Descriptions'!G:G)</f>
        <v>Sets up and operates automatic or semi-automatic machines and related equipment in a continuous production/processing operation | Monitors meters, gauges, valves, flow ratios, temperatures, pressures, and related controls and guidelines to ensure adherence to production/process specifications | Reports any malfunctions or abnormalities and makes minor adjustments and repairs to equipment | Performs all work in accordance with established safety procedures</v>
      </c>
      <c r="R350" s="22" t="str">
        <f>IF(LEFT(J350,1)="E","EX",LEFT(J350,1))</f>
        <v>M</v>
      </c>
      <c r="S350" s="22" t="str">
        <f>_xlfn.XLOOKUP($R350,'[1]Career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350" s="22" t="str">
        <f>J350</f>
        <v>M1</v>
      </c>
      <c r="U350" s="40" t="str">
        <f t="shared" si="11"/>
        <v>M1</v>
      </c>
      <c r="V350" s="22" t="str">
        <f>_xlfn.XLOOKUP(T350,'[1]Career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350" s="41" t="str">
        <f>J350&amp;"-"&amp;G350</f>
        <v>M1-10</v>
      </c>
      <c r="X350" s="42" t="str">
        <f>G350</f>
        <v>10</v>
      </c>
      <c r="Y350" s="22" t="str">
        <f>_xlfn.XLOOKUP(W350,'[1]Career Bands &amp; Levels'!A:A,'[1]Career Bands &amp; Levels'!C:C,"No Grade Differentiator")</f>
        <v xml:space="preserve">●	Accountable for the results of medium-sized routine support or production operations teams		
●	Solves problems based on practice and precedent		
●	Trains team members and provides input to employee performance evaluations		</v>
      </c>
      <c r="Z350" s="43" t="str">
        <f>IFERROR(O350&amp;" - "&amp;G350,"--")</f>
        <v>Supervisor Production Process - 10</v>
      </c>
      <c r="AA350" s="44" t="str">
        <f>_xlfn.XLOOKUP($H350,'[1]SIG Qualifications Input'!$D:$D,'[1]SIG Qualifications Input'!$H:$H)</f>
        <v>University degree or equivalent and 5-7 years of work experience or equivalent
Experienced in application of management techniques
Experience in operationally managing a mixed-level team</v>
      </c>
    </row>
    <row r="351" spans="1:27" ht="245.25" customHeight="1" thickBot="1" x14ac:dyDescent="0.2">
      <c r="A351" s="34" t="str">
        <f>_xlfn.XLOOKUP(C351,'[1]SIG Job Families &amp; Descriptions'!F:F,'[1]SIG Job Families &amp; Descriptions'!B:B)</f>
        <v>Operations</v>
      </c>
      <c r="B351" s="34" t="str">
        <f>_xlfn.XLOOKUP(C351,'[1]SIG Job Families &amp; Descriptions'!F:F,'[1]SIG Job Families &amp; Descriptions'!D:D)</f>
        <v>Production Process</v>
      </c>
      <c r="C351" s="34" t="s">
        <v>97</v>
      </c>
      <c r="D351" s="30" t="str">
        <f t="shared" si="10"/>
        <v>AOM</v>
      </c>
      <c r="E351" s="31" t="str">
        <f>_xlfn.XLOOKUP(C351,'[1]SIG Job Families &amp; Descriptions'!F:F,'[1]SIG Job Families &amp; Descriptions'!A:A)</f>
        <v>AOM015</v>
      </c>
      <c r="F351" s="32" t="s">
        <v>32</v>
      </c>
      <c r="G351" s="33" t="s">
        <v>31</v>
      </c>
      <c r="H351" s="34" t="str">
        <f>F351&amp;"-"&amp;G351</f>
        <v>Professional-14</v>
      </c>
      <c r="I351" s="35" t="str">
        <f>IF(ISERROR(_xlfn.XLOOKUP(H351,'[1]SIG Level Structure'!D:D,'[1]SIG Level Structure'!D:D)),"0","1")</f>
        <v>1</v>
      </c>
      <c r="J351" s="36" t="str">
        <f>_xlfn.XLOOKUP($H351,'[1]SIG Level Structure'!$D:$D,'[1]SIG Level Structure'!F:F)</f>
        <v>P4</v>
      </c>
      <c r="K351" s="37" t="str">
        <f>E351&amp;"-"&amp;J351&amp;"-"&amp;G351</f>
        <v>AOM015-P4-14</v>
      </c>
      <c r="L351" s="37" t="str">
        <f>IFERROR(D351&amp;"-"&amp;LEFT(J351,1),"--")</f>
        <v>AOM-P</v>
      </c>
      <c r="M351" s="37" t="str">
        <f>VLOOKUP(L351,'[1]Compatible JC'!$A:$A,1,FALSE)</f>
        <v>AOM-P</v>
      </c>
      <c r="N351" s="37" t="str">
        <f>IFERROR(_xlfn.XLOOKUP(H351,'[1]SIG Level Structure'!D:D,'[1]SIG Level Structure'!C:C),"--")</f>
        <v>Senior Expert</v>
      </c>
      <c r="O351" s="38" t="str">
        <f>IFERROR(TRIM(N351&amp;" "&amp;C351),"--")</f>
        <v>Senior Expert Production Process</v>
      </c>
      <c r="P351" s="22" t="str">
        <f>_xlfn.XLOOKUP(E351,'[1]SIG Job Families &amp; Descriptions'!A:A,'[1]SIG Job Families &amp; Descriptions'!G:G)</f>
        <v xml:space="preserve">Systematize and optimize process parameters and process specifications. Define processing requirements for new and further devlopment of manufacturing processes. Sets up equipment feeding, speed and temperature for optimal performance. Selects and measures raw materials and parts to specifications to prepare for production processing. Resolves issues related to the organization's production, machinery, processing and/or packaging operations. May monitor meters, gauges, valves, flow ratios, temperatures, pressures, and related controls and guidelines to ensure adherence to production/process specifications in support of maintenance engineering. Reports any malfunctions or abnormalities and makes minor adjustments and repairs to equipment. Performs all work in accordance with established safety procedures
</v>
      </c>
      <c r="Q351" s="39" t="str">
        <f>_xlfn.XLOOKUP(E351,'[1]2022 GI Position Descriptions'!E:E,'[1]2022 GI Position Descriptions'!G:G)</f>
        <v>Sets up and operates automatic or semi-automatic machines and related equipment in a continuous production/processing operation | Monitors meters, gauges, valves, flow ratios, temperatures, pressures, and related controls and guidelines to ensure adherence to production/process specifications | Reports any malfunctions or abnormalities and makes minor adjustments and repairs to equipment | Performs all work in accordance with established safety procedures</v>
      </c>
      <c r="R351" s="22" t="str">
        <f>IF(LEFT(J351,1)="E","EX",LEFT(J351,1))</f>
        <v>P</v>
      </c>
      <c r="S351" s="22" t="str">
        <f>_xlfn.XLOOKUP($R351,'[1]Career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51" s="22" t="str">
        <f>J351</f>
        <v>P4</v>
      </c>
      <c r="U351" s="40" t="str">
        <f t="shared" si="11"/>
        <v>P4</v>
      </c>
      <c r="V351" s="22" t="str">
        <f>_xlfn.XLOOKUP(T351,'[1]Career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351" s="41" t="str">
        <f>J351&amp;"-"&amp;G351</f>
        <v>P4-14</v>
      </c>
      <c r="X351" s="42" t="str">
        <f>G351</f>
        <v>14</v>
      </c>
      <c r="Y351" s="22" t="str">
        <f>_xlfn.XLOOKUP(W351,'[1]Career Bands &amp; Levels'!A:A,'[1]Career Bands &amp; Levels'!C:C,"No Grade Differentiator")</f>
        <v xml:space="preserve">●	Guides others in resolving complex issues in own specialized area and solves complex problems with implications on cross-functional business processes and outcomes		
●	Serves as an advisor and applies knowledge of strategies that can be deployed within own function and discipline		
●	Applies working knowledge of the theories and concepts in other disciplines		
●	May lead teams or projects with broad visibility		</v>
      </c>
      <c r="Z351" s="43" t="str">
        <f>IFERROR(O351&amp;" - "&amp;G351,"--")</f>
        <v>Senior Expert Production Process - 14</v>
      </c>
      <c r="AA351" s="44" t="str">
        <f>_xlfn.XLOOKUP($H351,'[1]SIG Qualifications Input'!$D:$D,'[1]SIG Qualifications Input'!$H:$H)</f>
        <v>University degree or equivalent and 8-10 years of work experience or equivalent, 
Experience in functionally leading (sub-)projects / teams</v>
      </c>
    </row>
    <row r="352" spans="1:27" ht="232.5" customHeight="1" thickBot="1" x14ac:dyDescent="0.2">
      <c r="A352" s="34" t="str">
        <f>_xlfn.XLOOKUP(C352,'[1]SIG Job Families &amp; Descriptions'!F:F,'[1]SIG Job Families &amp; Descriptions'!B:B)</f>
        <v>Operations</v>
      </c>
      <c r="B352" s="34" t="str">
        <f>_xlfn.XLOOKUP(C352,'[1]SIG Job Families &amp; Descriptions'!F:F,'[1]SIG Job Families &amp; Descriptions'!D:D)</f>
        <v>Production Process</v>
      </c>
      <c r="C352" s="34" t="s">
        <v>97</v>
      </c>
      <c r="D352" s="30" t="str">
        <f t="shared" si="10"/>
        <v>AOM</v>
      </c>
      <c r="E352" s="31" t="str">
        <f>_xlfn.XLOOKUP(C352,'[1]SIG Job Families &amp; Descriptions'!F:F,'[1]SIG Job Families &amp; Descriptions'!A:A)</f>
        <v>AOM015</v>
      </c>
      <c r="F352" s="32" t="s">
        <v>32</v>
      </c>
      <c r="G352" s="33" t="s">
        <v>33</v>
      </c>
      <c r="H352" s="34" t="str">
        <f>F352&amp;"-"&amp;G352</f>
        <v>Professional-13</v>
      </c>
      <c r="I352" s="35" t="str">
        <f>IF(ISERROR(_xlfn.XLOOKUP(H352,'[1]SIG Level Structure'!D:D,'[1]SIG Level Structure'!D:D)),"0","1")</f>
        <v>1</v>
      </c>
      <c r="J352" s="36" t="str">
        <f>_xlfn.XLOOKUP($H352,'[1]SIG Level Structure'!$D:$D,'[1]SIG Level Structure'!F:F)</f>
        <v>P4</v>
      </c>
      <c r="K352" s="37" t="str">
        <f>E352&amp;"-"&amp;J352&amp;"-"&amp;G352</f>
        <v>AOM015-P4-13</v>
      </c>
      <c r="L352" s="37" t="str">
        <f>IFERROR(D352&amp;"-"&amp;LEFT(J352,1),"--")</f>
        <v>AOM-P</v>
      </c>
      <c r="M352" s="37" t="str">
        <f>VLOOKUP(L352,'[1]Compatible JC'!$A:$A,1,FALSE)</f>
        <v>AOM-P</v>
      </c>
      <c r="N352" s="37" t="str">
        <f>IFERROR(_xlfn.XLOOKUP(H352,'[1]SIG Level Structure'!D:D,'[1]SIG Level Structure'!C:C),"--")</f>
        <v>Senior Expert</v>
      </c>
      <c r="O352" s="38" t="str">
        <f>IFERROR(TRIM(N352&amp;" "&amp;C352),"--")</f>
        <v>Senior Expert Production Process</v>
      </c>
      <c r="P352" s="22" t="str">
        <f>_xlfn.XLOOKUP(E352,'[1]SIG Job Families &amp; Descriptions'!A:A,'[1]SIG Job Families &amp; Descriptions'!G:G)</f>
        <v xml:space="preserve">Systematize and optimize process parameters and process specifications. Define processing requirements for new and further devlopment of manufacturing processes. Sets up equipment feeding, speed and temperature for optimal performance. Selects and measures raw materials and parts to specifications to prepare for production processing. Resolves issues related to the organization's production, machinery, processing and/or packaging operations. May monitor meters, gauges, valves, flow ratios, temperatures, pressures, and related controls and guidelines to ensure adherence to production/process specifications in support of maintenance engineering. Reports any malfunctions or abnormalities and makes minor adjustments and repairs to equipment. Performs all work in accordance with established safety procedures
</v>
      </c>
      <c r="Q352" s="39" t="str">
        <f>_xlfn.XLOOKUP(E352,'[1]2022 GI Position Descriptions'!E:E,'[1]2022 GI Position Descriptions'!G:G)</f>
        <v>Sets up and operates automatic or semi-automatic machines and related equipment in a continuous production/processing operation | Monitors meters, gauges, valves, flow ratios, temperatures, pressures, and related controls and guidelines to ensure adherence to production/process specifications | Reports any malfunctions or abnormalities and makes minor adjustments and repairs to equipment | Performs all work in accordance with established safety procedures</v>
      </c>
      <c r="R352" s="22" t="str">
        <f>IF(LEFT(J352,1)="E","EX",LEFT(J352,1))</f>
        <v>P</v>
      </c>
      <c r="S352" s="22" t="str">
        <f>_xlfn.XLOOKUP($R352,'[1]Career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52" s="22" t="str">
        <f>J352</f>
        <v>P4</v>
      </c>
      <c r="U352" s="40" t="str">
        <f t="shared" si="11"/>
        <v>P4</v>
      </c>
      <c r="V352" s="22" t="str">
        <f>_xlfn.XLOOKUP(T352,'[1]Career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352" s="41" t="str">
        <f>J352&amp;"-"&amp;G352</f>
        <v>P4-13</v>
      </c>
      <c r="X352" s="42" t="str">
        <f>G352</f>
        <v>13</v>
      </c>
      <c r="Y352" s="22" t="str">
        <f>_xlfn.XLOOKUP(W352,'[1]Career Bands &amp; Levels'!A:A,'[1]Career Bands &amp; Levels'!C:C,"No Grade Differentiator")</f>
        <v xml:space="preserve">●	Guides others in resolving complex issues in specialized area based on existing solutions and procedures		
●	Serves as an expert within own discipline		
●	May lead function teams or projects and serves as a best practices/quality resource		
●	Trains/mentors junior staff		</v>
      </c>
      <c r="Z352" s="43" t="str">
        <f>IFERROR(O352&amp;" - "&amp;G352,"--")</f>
        <v>Senior Expert Production Process - 13</v>
      </c>
      <c r="AA352" s="44" t="str">
        <f>_xlfn.XLOOKUP($H352,'[1]SIG Qualifications Input'!$D:$D,'[1]SIG Qualifications Input'!$H:$H)</f>
        <v>University degree or equivalent and 8-10 years of work experience or equivalent, 
Experience in functionally leading (sub-)projects / teams</v>
      </c>
    </row>
    <row r="353" spans="1:27" ht="267" thickBot="1" x14ac:dyDescent="0.2">
      <c r="A353" s="34" t="str">
        <f>_xlfn.XLOOKUP(C353,'[1]SIG Job Families &amp; Descriptions'!F:F,'[1]SIG Job Families &amp; Descriptions'!B:B)</f>
        <v>Operations</v>
      </c>
      <c r="B353" s="34" t="str">
        <f>_xlfn.XLOOKUP(C353,'[1]SIG Job Families &amp; Descriptions'!F:F,'[1]SIG Job Families &amp; Descriptions'!D:D)</f>
        <v>Production Process</v>
      </c>
      <c r="C353" s="34" t="s">
        <v>97</v>
      </c>
      <c r="D353" s="30" t="str">
        <f t="shared" si="10"/>
        <v>AOM</v>
      </c>
      <c r="E353" s="31" t="str">
        <f>_xlfn.XLOOKUP(C353,'[1]SIG Job Families &amp; Descriptions'!F:F,'[1]SIG Job Families &amp; Descriptions'!A:A)</f>
        <v>AOM015</v>
      </c>
      <c r="F353" s="32" t="s">
        <v>32</v>
      </c>
      <c r="G353" s="33" t="s">
        <v>34</v>
      </c>
      <c r="H353" s="34" t="str">
        <f>F353&amp;"-"&amp;G353</f>
        <v>Professional-12</v>
      </c>
      <c r="I353" s="35" t="str">
        <f>IF(ISERROR(_xlfn.XLOOKUP(H353,'[1]SIG Level Structure'!D:D,'[1]SIG Level Structure'!D:D)),"0","1")</f>
        <v>1</v>
      </c>
      <c r="J353" s="36" t="str">
        <f>_xlfn.XLOOKUP($H353,'[1]SIG Level Structure'!$D:$D,'[1]SIG Level Structure'!F:F)</f>
        <v>P3</v>
      </c>
      <c r="K353" s="37" t="str">
        <f>E353&amp;"-"&amp;J353&amp;"-"&amp;G353</f>
        <v>AOM015-P3-12</v>
      </c>
      <c r="L353" s="37" t="str">
        <f>IFERROR(D353&amp;"-"&amp;LEFT(J353,1),"--")</f>
        <v>AOM-P</v>
      </c>
      <c r="M353" s="37" t="str">
        <f>VLOOKUP(L353,'[1]Compatible JC'!$A:$A,1,FALSE)</f>
        <v>AOM-P</v>
      </c>
      <c r="N353" s="37" t="str">
        <f>IFERROR(_xlfn.XLOOKUP(H353,'[1]SIG Level Structure'!D:D,'[1]SIG Level Structure'!C:C),"--")</f>
        <v>Expert</v>
      </c>
      <c r="O353" s="38" t="str">
        <f>IFERROR(TRIM(N353&amp;" "&amp;C353),"--")</f>
        <v>Expert Production Process</v>
      </c>
      <c r="P353" s="22" t="str">
        <f>_xlfn.XLOOKUP(E353,'[1]SIG Job Families &amp; Descriptions'!A:A,'[1]SIG Job Families &amp; Descriptions'!G:G)</f>
        <v xml:space="preserve">Systematize and optimize process parameters and process specifications. Define processing requirements for new and further devlopment of manufacturing processes. Sets up equipment feeding, speed and temperature for optimal performance. Selects and measures raw materials and parts to specifications to prepare for production processing. Resolves issues related to the organization's production, machinery, processing and/or packaging operations. May monitor meters, gauges, valves, flow ratios, temperatures, pressures, and related controls and guidelines to ensure adherence to production/process specifications in support of maintenance engineering. Reports any malfunctions or abnormalities and makes minor adjustments and repairs to equipment. Performs all work in accordance with established safety procedures
</v>
      </c>
      <c r="Q353" s="39" t="str">
        <f>_xlfn.XLOOKUP(E353,'[1]2022 GI Position Descriptions'!E:E,'[1]2022 GI Position Descriptions'!G:G)</f>
        <v>Sets up and operates automatic or semi-automatic machines and related equipment in a continuous production/processing operation | Monitors meters, gauges, valves, flow ratios, temperatures, pressures, and related controls and guidelines to ensure adherence to production/process specifications | Reports any malfunctions or abnormalities and makes minor adjustments and repairs to equipment | Performs all work in accordance with established safety procedures</v>
      </c>
      <c r="R353" s="22" t="str">
        <f>IF(LEFT(J353,1)="E","EX",LEFT(J353,1))</f>
        <v>P</v>
      </c>
      <c r="S353" s="22" t="str">
        <f>_xlfn.XLOOKUP($R353,'[1]Career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53" s="22" t="str">
        <f>J353</f>
        <v>P3</v>
      </c>
      <c r="U353" s="40" t="str">
        <f t="shared" si="11"/>
        <v>P3</v>
      </c>
      <c r="V353" s="22" t="str">
        <f>_xlfn.XLOOKUP(T353,'[1]Career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353" s="41" t="str">
        <f>J353&amp;"-"&amp;G353</f>
        <v>P3-12</v>
      </c>
      <c r="X353" s="42" t="str">
        <f>G353</f>
        <v>12</v>
      </c>
      <c r="Y353" s="22" t="str">
        <f>_xlfn.XLOOKUP(W353,'[1]Career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353" s="43" t="str">
        <f>IFERROR(O353&amp;" - "&amp;G353,"--")</f>
        <v>Expert Production Process - 12</v>
      </c>
      <c r="AA353" s="44" t="str">
        <f>_xlfn.XLOOKUP($H353,'[1]SIG Qualifications Input'!$D:$D,'[1]SIG Qualifications Input'!$H:$H)</f>
        <v>University degree or equivalent and 4-8 years of work experience or equivalent, 
Initial experience in functionally leading (sub-) projects</v>
      </c>
    </row>
    <row r="354" spans="1:27" ht="240.75" customHeight="1" thickBot="1" x14ac:dyDescent="0.2">
      <c r="A354" s="34" t="str">
        <f>_xlfn.XLOOKUP(C354,'[1]SIG Job Families &amp; Descriptions'!F:F,'[1]SIG Job Families &amp; Descriptions'!B:B)</f>
        <v>Operations</v>
      </c>
      <c r="B354" s="34" t="str">
        <f>_xlfn.XLOOKUP(C354,'[1]SIG Job Families &amp; Descriptions'!F:F,'[1]SIG Job Families &amp; Descriptions'!D:D)</f>
        <v>Production Process</v>
      </c>
      <c r="C354" s="34" t="s">
        <v>97</v>
      </c>
      <c r="D354" s="30" t="str">
        <f t="shared" si="10"/>
        <v>AOM</v>
      </c>
      <c r="E354" s="31" t="str">
        <f>_xlfn.XLOOKUP(C354,'[1]SIG Job Families &amp; Descriptions'!F:F,'[1]SIG Job Families &amp; Descriptions'!A:A)</f>
        <v>AOM015</v>
      </c>
      <c r="F354" s="32" t="s">
        <v>32</v>
      </c>
      <c r="G354" s="33" t="s">
        <v>35</v>
      </c>
      <c r="H354" s="34" t="str">
        <f>F354&amp;"-"&amp;G354</f>
        <v>Professional-11</v>
      </c>
      <c r="I354" s="35" t="str">
        <f>IF(ISERROR(_xlfn.XLOOKUP(H354,'[1]SIG Level Structure'!D:D,'[1]SIG Level Structure'!D:D)),"0","1")</f>
        <v>1</v>
      </c>
      <c r="J354" s="36" t="str">
        <f>_xlfn.XLOOKUP($H354,'[1]SIG Level Structure'!$D:$D,'[1]SIG Level Structure'!F:F)</f>
        <v>P3</v>
      </c>
      <c r="K354" s="37" t="str">
        <f>E354&amp;"-"&amp;J354&amp;"-"&amp;G354</f>
        <v>AOM015-P3-11</v>
      </c>
      <c r="L354" s="37" t="str">
        <f>IFERROR(D354&amp;"-"&amp;LEFT(J354,1),"--")</f>
        <v>AOM-P</v>
      </c>
      <c r="M354" s="37" t="str">
        <f>VLOOKUP(L354,'[1]Compatible JC'!$A:$A,1,FALSE)</f>
        <v>AOM-P</v>
      </c>
      <c r="N354" s="37" t="str">
        <f>IFERROR(_xlfn.XLOOKUP(H354,'[1]SIG Level Structure'!D:D,'[1]SIG Level Structure'!C:C),"--")</f>
        <v>Expert</v>
      </c>
      <c r="O354" s="38" t="str">
        <f>IFERROR(TRIM(N354&amp;" "&amp;C354),"--")</f>
        <v>Expert Production Process</v>
      </c>
      <c r="P354" s="22" t="str">
        <f>_xlfn.XLOOKUP(E354,'[1]SIG Job Families &amp; Descriptions'!A:A,'[1]SIG Job Families &amp; Descriptions'!G:G)</f>
        <v xml:space="preserve">Systematize and optimize process parameters and process specifications. Define processing requirements for new and further devlopment of manufacturing processes. Sets up equipment feeding, speed and temperature for optimal performance. Selects and measures raw materials and parts to specifications to prepare for production processing. Resolves issues related to the organization's production, machinery, processing and/or packaging operations. May monitor meters, gauges, valves, flow ratios, temperatures, pressures, and related controls and guidelines to ensure adherence to production/process specifications in support of maintenance engineering. Reports any malfunctions or abnormalities and makes minor adjustments and repairs to equipment. Performs all work in accordance with established safety procedures
</v>
      </c>
      <c r="Q354" s="39" t="str">
        <f>_xlfn.XLOOKUP(E354,'[1]2022 GI Position Descriptions'!E:E,'[1]2022 GI Position Descriptions'!G:G)</f>
        <v>Sets up and operates automatic or semi-automatic machines and related equipment in a continuous production/processing operation | Monitors meters, gauges, valves, flow ratios, temperatures, pressures, and related controls and guidelines to ensure adherence to production/process specifications | Reports any malfunctions or abnormalities and makes minor adjustments and repairs to equipment | Performs all work in accordance with established safety procedures</v>
      </c>
      <c r="R354" s="22" t="str">
        <f>IF(LEFT(J354,1)="E","EX",LEFT(J354,1))</f>
        <v>P</v>
      </c>
      <c r="S354" s="22" t="str">
        <f>_xlfn.XLOOKUP($R354,'[1]Career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54" s="22" t="str">
        <f>J354</f>
        <v>P3</v>
      </c>
      <c r="U354" s="40" t="str">
        <f t="shared" si="11"/>
        <v>P3</v>
      </c>
      <c r="V354" s="22" t="str">
        <f>_xlfn.XLOOKUP(T354,'[1]Career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354" s="41" t="str">
        <f>J354&amp;"-"&amp;G354</f>
        <v>P3-11</v>
      </c>
      <c r="X354" s="42" t="str">
        <f>G354</f>
        <v>11</v>
      </c>
      <c r="Y354" s="22" t="str">
        <f>_xlfn.XLOOKUP(W354,'[1]Career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354" s="43" t="str">
        <f>IFERROR(O354&amp;" - "&amp;G354,"--")</f>
        <v>Expert Production Process - 11</v>
      </c>
      <c r="AA354" s="44" t="str">
        <f>_xlfn.XLOOKUP($H354,'[1]SIG Qualifications Input'!$D:$D,'[1]SIG Qualifications Input'!$H:$H)</f>
        <v>University degree or equivalent and 4-8 years of work experience or equivalent, 
Initial experience in functionally leading (sub-) projects</v>
      </c>
    </row>
    <row r="355" spans="1:27" ht="249" customHeight="1" thickBot="1" x14ac:dyDescent="0.2">
      <c r="A355" s="34" t="str">
        <f>_xlfn.XLOOKUP(C355,'[1]SIG Job Families &amp; Descriptions'!F:F,'[1]SIG Job Families &amp; Descriptions'!B:B)</f>
        <v>Operations</v>
      </c>
      <c r="B355" s="34" t="str">
        <f>_xlfn.XLOOKUP(C355,'[1]SIG Job Families &amp; Descriptions'!F:F,'[1]SIG Job Families &amp; Descriptions'!D:D)</f>
        <v>Production Process</v>
      </c>
      <c r="C355" s="34" t="s">
        <v>97</v>
      </c>
      <c r="D355" s="30" t="str">
        <f t="shared" si="10"/>
        <v>AOM</v>
      </c>
      <c r="E355" s="31" t="str">
        <f>_xlfn.XLOOKUP(C355,'[1]SIG Job Families &amp; Descriptions'!F:F,'[1]SIG Job Families &amp; Descriptions'!A:A)</f>
        <v>AOM015</v>
      </c>
      <c r="F355" s="32" t="s">
        <v>32</v>
      </c>
      <c r="G355" s="33" t="s">
        <v>36</v>
      </c>
      <c r="H355" s="34" t="str">
        <f>F355&amp;"-"&amp;G355</f>
        <v>Professional-10</v>
      </c>
      <c r="I355" s="35" t="str">
        <f>IF(ISERROR(_xlfn.XLOOKUP(H355,'[1]SIG Level Structure'!D:D,'[1]SIG Level Structure'!D:D)),"0","1")</f>
        <v>1</v>
      </c>
      <c r="J355" s="36" t="str">
        <f>_xlfn.XLOOKUP($H355,'[1]SIG Level Structure'!$D:$D,'[1]SIG Level Structure'!F:F)</f>
        <v>P2</v>
      </c>
      <c r="K355" s="37" t="str">
        <f>E355&amp;"-"&amp;J355&amp;"-"&amp;G355</f>
        <v>AOM015-P2-10</v>
      </c>
      <c r="L355" s="37" t="str">
        <f>IFERROR(D355&amp;"-"&amp;LEFT(J355,1),"--")</f>
        <v>AOM-P</v>
      </c>
      <c r="M355" s="37" t="str">
        <f>VLOOKUP(L355,'[1]Compatible JC'!$A:$A,1,FALSE)</f>
        <v>AOM-P</v>
      </c>
      <c r="N355" s="37" t="str">
        <f>IFERROR(_xlfn.XLOOKUP(H355,'[1]SIG Level Structure'!D:D,'[1]SIG Level Structure'!C:C),"--")</f>
        <v>Senior Specialist</v>
      </c>
      <c r="O355" s="38" t="str">
        <f>IFERROR(TRIM(N355&amp;" "&amp;C355),"--")</f>
        <v>Senior Specialist Production Process</v>
      </c>
      <c r="P355" s="22" t="str">
        <f>_xlfn.XLOOKUP(E355,'[1]SIG Job Families &amp; Descriptions'!A:A,'[1]SIG Job Families &amp; Descriptions'!G:G)</f>
        <v xml:space="preserve">Systematize and optimize process parameters and process specifications. Define processing requirements for new and further devlopment of manufacturing processes. Sets up equipment feeding, speed and temperature for optimal performance. Selects and measures raw materials and parts to specifications to prepare for production processing. Resolves issues related to the organization's production, machinery, processing and/or packaging operations. May monitor meters, gauges, valves, flow ratios, temperatures, pressures, and related controls and guidelines to ensure adherence to production/process specifications in support of maintenance engineering. Reports any malfunctions or abnormalities and makes minor adjustments and repairs to equipment. Performs all work in accordance with established safety procedures
</v>
      </c>
      <c r="Q355" s="39" t="str">
        <f>_xlfn.XLOOKUP(E355,'[1]2022 GI Position Descriptions'!E:E,'[1]2022 GI Position Descriptions'!G:G)</f>
        <v>Sets up and operates automatic or semi-automatic machines and related equipment in a continuous production/processing operation | Monitors meters, gauges, valves, flow ratios, temperatures, pressures, and related controls and guidelines to ensure adherence to production/process specifications | Reports any malfunctions or abnormalities and makes minor adjustments and repairs to equipment | Performs all work in accordance with established safety procedures</v>
      </c>
      <c r="R355" s="22" t="str">
        <f>IF(LEFT(J355,1)="E","EX",LEFT(J355,1))</f>
        <v>P</v>
      </c>
      <c r="S355" s="22" t="str">
        <f>_xlfn.XLOOKUP($R355,'[1]Career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55" s="22" t="str">
        <f>J355</f>
        <v>P2</v>
      </c>
      <c r="U355" s="40" t="str">
        <f t="shared" si="11"/>
        <v>P2</v>
      </c>
      <c r="V355" s="22" t="str">
        <f>_xlfn.XLOOKUP(T355,'[1]Career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355" s="41" t="str">
        <f>J355&amp;"-"&amp;G355</f>
        <v>P2-10</v>
      </c>
      <c r="X355" s="42" t="str">
        <f>G355</f>
        <v>10</v>
      </c>
      <c r="Y355" s="22" t="str">
        <f>_xlfn.XLOOKUP(W355,'[1]Career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355" s="43" t="str">
        <f>IFERROR(O355&amp;" - "&amp;G355,"--")</f>
        <v>Senior Specialist Production Process - 10</v>
      </c>
      <c r="AA355" s="44" t="str">
        <f>_xlfn.XLOOKUP($H355,'[1]SIG Qualifications Input'!$D:$D,'[1]SIG Qualifications Input'!$H:$H)</f>
        <v>University degree or equivalent and 2-4 years of work experience or equivalent</v>
      </c>
    </row>
    <row r="356" spans="1:27" ht="267" thickBot="1" x14ac:dyDescent="0.2">
      <c r="A356" s="34" t="str">
        <f>_xlfn.XLOOKUP(C356,'[1]SIG Job Families &amp; Descriptions'!F:F,'[1]SIG Job Families &amp; Descriptions'!B:B)</f>
        <v>Operations</v>
      </c>
      <c r="B356" s="34" t="str">
        <f>_xlfn.XLOOKUP(C356,'[1]SIG Job Families &amp; Descriptions'!F:F,'[1]SIG Job Families &amp; Descriptions'!D:D)</f>
        <v>Production Process</v>
      </c>
      <c r="C356" s="34" t="s">
        <v>97</v>
      </c>
      <c r="D356" s="30" t="str">
        <f t="shared" si="10"/>
        <v>AOM</v>
      </c>
      <c r="E356" s="31" t="str">
        <f>_xlfn.XLOOKUP(C356,'[1]SIG Job Families &amp; Descriptions'!F:F,'[1]SIG Job Families &amp; Descriptions'!A:A)</f>
        <v>AOM015</v>
      </c>
      <c r="F356" s="32" t="s">
        <v>32</v>
      </c>
      <c r="G356" s="33" t="s">
        <v>37</v>
      </c>
      <c r="H356" s="34" t="str">
        <f>F356&amp;"-"&amp;G356</f>
        <v>Professional-09</v>
      </c>
      <c r="I356" s="35" t="str">
        <f>IF(ISERROR(_xlfn.XLOOKUP(H356,'[1]SIG Level Structure'!D:D,'[1]SIG Level Structure'!D:D)),"0","1")</f>
        <v>1</v>
      </c>
      <c r="J356" s="36" t="str">
        <f>_xlfn.XLOOKUP($H356,'[1]SIG Level Structure'!$D:$D,'[1]SIG Level Structure'!F:F)</f>
        <v>P2</v>
      </c>
      <c r="K356" s="37" t="str">
        <f>E356&amp;"-"&amp;J356&amp;"-"&amp;G356</f>
        <v>AOM015-P2-09</v>
      </c>
      <c r="L356" s="37" t="str">
        <f>IFERROR(D356&amp;"-"&amp;LEFT(J356,1),"--")</f>
        <v>AOM-P</v>
      </c>
      <c r="M356" s="37" t="str">
        <f>VLOOKUP(L356,'[1]Compatible JC'!$A:$A,1,FALSE)</f>
        <v>AOM-P</v>
      </c>
      <c r="N356" s="37" t="str">
        <f>IFERROR(_xlfn.XLOOKUP(H356,'[1]SIG Level Structure'!D:D,'[1]SIG Level Structure'!C:C),"--")</f>
        <v>Senior Specialist</v>
      </c>
      <c r="O356" s="38" t="str">
        <f>IFERROR(TRIM(N356&amp;" "&amp;C356),"--")</f>
        <v>Senior Specialist Production Process</v>
      </c>
      <c r="P356" s="22" t="str">
        <f>_xlfn.XLOOKUP(E356,'[1]SIG Job Families &amp; Descriptions'!A:A,'[1]SIG Job Families &amp; Descriptions'!G:G)</f>
        <v xml:space="preserve">Systematize and optimize process parameters and process specifications. Define processing requirements for new and further devlopment of manufacturing processes. Sets up equipment feeding, speed and temperature for optimal performance. Selects and measures raw materials and parts to specifications to prepare for production processing. Resolves issues related to the organization's production, machinery, processing and/or packaging operations. May monitor meters, gauges, valves, flow ratios, temperatures, pressures, and related controls and guidelines to ensure adherence to production/process specifications in support of maintenance engineering. Reports any malfunctions or abnormalities and makes minor adjustments and repairs to equipment. Performs all work in accordance with established safety procedures
</v>
      </c>
      <c r="Q356" s="39" t="str">
        <f>_xlfn.XLOOKUP(E356,'[1]2022 GI Position Descriptions'!E:E,'[1]2022 GI Position Descriptions'!G:G)</f>
        <v>Sets up and operates automatic or semi-automatic machines and related equipment in a continuous production/processing operation | Monitors meters, gauges, valves, flow ratios, temperatures, pressures, and related controls and guidelines to ensure adherence to production/process specifications | Reports any malfunctions or abnormalities and makes minor adjustments and repairs to equipment | Performs all work in accordance with established safety procedures</v>
      </c>
      <c r="R356" s="22" t="str">
        <f>IF(LEFT(J356,1)="E","EX",LEFT(J356,1))</f>
        <v>P</v>
      </c>
      <c r="S356" s="22" t="str">
        <f>_xlfn.XLOOKUP($R356,'[1]Career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56" s="22" t="str">
        <f>J356</f>
        <v>P2</v>
      </c>
      <c r="U356" s="40" t="str">
        <f t="shared" si="11"/>
        <v>P2</v>
      </c>
      <c r="V356" s="22" t="str">
        <f>_xlfn.XLOOKUP(T356,'[1]Career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356" s="41" t="str">
        <f>J356&amp;"-"&amp;G356</f>
        <v>P2-09</v>
      </c>
      <c r="X356" s="42" t="str">
        <f>G356</f>
        <v>09</v>
      </c>
      <c r="Y356" s="22" t="str">
        <f>_xlfn.XLOOKUP(W356,'[1]Career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356" s="43" t="str">
        <f>IFERROR(O356&amp;" - "&amp;G356,"--")</f>
        <v>Senior Specialist Production Process - 09</v>
      </c>
      <c r="AA356" s="44" t="str">
        <f>_xlfn.XLOOKUP($H356,'[1]SIG Qualifications Input'!$D:$D,'[1]SIG Qualifications Input'!$H:$H)</f>
        <v>University degree or equivalent and 2-4 years of work experience or equivalent</v>
      </c>
    </row>
    <row r="357" spans="1:27" ht="267" thickBot="1" x14ac:dyDescent="0.2">
      <c r="A357" s="34" t="str">
        <f>_xlfn.XLOOKUP(C357,'[1]SIG Job Families &amp; Descriptions'!F:F,'[1]SIG Job Families &amp; Descriptions'!B:B)</f>
        <v>Operations</v>
      </c>
      <c r="B357" s="34" t="str">
        <f>_xlfn.XLOOKUP(C357,'[1]SIG Job Families &amp; Descriptions'!F:F,'[1]SIG Job Families &amp; Descriptions'!D:D)</f>
        <v>Production Process</v>
      </c>
      <c r="C357" s="34" t="s">
        <v>97</v>
      </c>
      <c r="D357" s="30" t="str">
        <f t="shared" si="10"/>
        <v>AOM</v>
      </c>
      <c r="E357" s="31" t="str">
        <f>_xlfn.XLOOKUP(C357,'[1]SIG Job Families &amp; Descriptions'!F:F,'[1]SIG Job Families &amp; Descriptions'!A:A)</f>
        <v>AOM015</v>
      </c>
      <c r="F357" s="32" t="s">
        <v>32</v>
      </c>
      <c r="G357" s="33" t="s">
        <v>52</v>
      </c>
      <c r="H357" s="34" t="str">
        <f>F357&amp;"-"&amp;G357</f>
        <v>Professional-07</v>
      </c>
      <c r="I357" s="35" t="str">
        <f>IF(ISERROR(_xlfn.XLOOKUP(H357,'[1]SIG Level Structure'!D:D,'[1]SIG Level Structure'!D:D)),"0","1")</f>
        <v>1</v>
      </c>
      <c r="J357" s="36" t="str">
        <f>_xlfn.XLOOKUP($H357,'[1]SIG Level Structure'!$D:$D,'[1]SIG Level Structure'!F:F)</f>
        <v>U3</v>
      </c>
      <c r="K357" s="37" t="str">
        <f>E357&amp;"-"&amp;J357&amp;"-"&amp;G357</f>
        <v>AOM015-U3-07</v>
      </c>
      <c r="L357" s="37" t="str">
        <f>IFERROR(D357&amp;"-"&amp;LEFT(J357,1),"--")</f>
        <v>AOM-U</v>
      </c>
      <c r="M357" s="37" t="e">
        <f>VLOOKUP(L357,'[1]Compatible JC'!$A:$A,1,FALSE)</f>
        <v>#N/A</v>
      </c>
      <c r="N357" s="37" t="str">
        <f>IFERROR(_xlfn.XLOOKUP(H357,'[1]SIG Level Structure'!D:D,'[1]SIG Level Structure'!C:C),"--")</f>
        <v>Assistant / Analyst</v>
      </c>
      <c r="O357" s="38" t="str">
        <f>IFERROR(TRIM(N357&amp;" "&amp;C357),"--")</f>
        <v>Assistant / Analyst Production Process</v>
      </c>
      <c r="P357" s="22" t="str">
        <f>_xlfn.XLOOKUP(E357,'[1]SIG Job Families &amp; Descriptions'!A:A,'[1]SIG Job Families &amp; Descriptions'!G:G)</f>
        <v xml:space="preserve">Systematize and optimize process parameters and process specifications. Define processing requirements for new and further devlopment of manufacturing processes. Sets up equipment feeding, speed and temperature for optimal performance. Selects and measures raw materials and parts to specifications to prepare for production processing. Resolves issues related to the organization's production, machinery, processing and/or packaging operations. May monitor meters, gauges, valves, flow ratios, temperatures, pressures, and related controls and guidelines to ensure adherence to production/process specifications in support of maintenance engineering. Reports any malfunctions or abnormalities and makes minor adjustments and repairs to equipment. Performs all work in accordance with established safety procedures
</v>
      </c>
      <c r="Q357" s="39" t="str">
        <f>_xlfn.XLOOKUP(E357,'[1]2022 GI Position Descriptions'!E:E,'[1]2022 GI Position Descriptions'!G:G)</f>
        <v>Sets up and operates automatic or semi-automatic machines and related equipment in a continuous production/processing operation | Monitors meters, gauges, valves, flow ratios, temperatures, pressures, and related controls and guidelines to ensure adherence to production/process specifications | Reports any malfunctions or abnormalities and makes minor adjustments and repairs to equipment | Performs all work in accordance with established safety procedures</v>
      </c>
      <c r="R357" s="22" t="str">
        <f>IF(LEFT(J357,1)="E","EX",LEFT(J357,1))</f>
        <v>U</v>
      </c>
      <c r="S357" s="22" t="str">
        <f>_xlfn.XLOOKUP($R357,'[1]Career Bands &amp; Levels'!A:A,'[1]Career Bands &amp; Levels'!C:C)</f>
        <v>● Performs clerical/administrative or specialized support tasks in an office, field or retail store/site setting
● May require vocational training or the equivalent experience, but does not require a university degree</v>
      </c>
      <c r="T357" s="22" t="str">
        <f>J357</f>
        <v>U3</v>
      </c>
      <c r="U357" s="40" t="str">
        <f t="shared" si="11"/>
        <v>U3</v>
      </c>
      <c r="V357" s="22" t="str">
        <f>_xlfn.XLOOKUP(T357,'[1]Career Bands &amp; Levels'!A:A,'[1]Career Bands &amp; Levels'!C:C)</f>
        <v xml:space="preserve">●	Has full proficiency gained through job-related training and considerable work experience		
●	Completes work with a limited degree of supervision		
●	Likely to act as an informal resource for colleagues with less experience		
●	Identifies key issues and patterns from partial/conflicting data		
●	Takes a broad perspective to problems and spots new, less obvious solutions		</v>
      </c>
      <c r="W357" s="41" t="str">
        <f>J357&amp;"-"&amp;G357</f>
        <v>U3-07</v>
      </c>
      <c r="X357" s="42" t="str">
        <f>G357</f>
        <v>07</v>
      </c>
      <c r="Y357" s="22" t="str">
        <f>_xlfn.XLOOKUP(W357,'[1]Career Bands &amp; Levels'!A:A,'[1]Career Bands &amp; Levels'!C:C,"No Grade Differentiator")</f>
        <v>No Grade Differentiator</v>
      </c>
      <c r="Z357" s="43" t="str">
        <f>IFERROR(O357&amp;" - "&amp;G357,"--")</f>
        <v>Assistant / Analyst Production Process - 07</v>
      </c>
      <c r="AA357" s="44" t="str">
        <f>_xlfn.XLOOKUP($H357,'[1]SIG Qualifications Input'!$D:$D,'[1]SIG Qualifications Input'!$H:$H)</f>
        <v>Vocational training in e.g. commercial field or equivalent work experience. Up to 5 years of experience, possibly further internal trainings.</v>
      </c>
    </row>
    <row r="358" spans="1:27" ht="267" thickBot="1" x14ac:dyDescent="0.2">
      <c r="A358" s="34" t="str">
        <f>_xlfn.XLOOKUP(C358,'[1]SIG Job Families &amp; Descriptions'!F:F,'[1]SIG Job Families &amp; Descriptions'!B:B)</f>
        <v>Operations</v>
      </c>
      <c r="B358" s="34" t="str">
        <f>_xlfn.XLOOKUP(C358,'[1]SIG Job Families &amp; Descriptions'!F:F,'[1]SIG Job Families &amp; Descriptions'!D:D)</f>
        <v>Production Process</v>
      </c>
      <c r="C358" s="34" t="s">
        <v>97</v>
      </c>
      <c r="D358" s="30" t="str">
        <f t="shared" si="10"/>
        <v>AOM</v>
      </c>
      <c r="E358" s="31" t="str">
        <f>_xlfn.XLOOKUP(C358,'[1]SIG Job Families &amp; Descriptions'!F:F,'[1]SIG Job Families &amp; Descriptions'!A:A)</f>
        <v>AOM015</v>
      </c>
      <c r="F358" s="32" t="s">
        <v>32</v>
      </c>
      <c r="G358" s="33" t="s">
        <v>52</v>
      </c>
      <c r="H358" s="34" t="str">
        <f>F358&amp;"-"&amp;G358</f>
        <v>Professional-07</v>
      </c>
      <c r="I358" s="35" t="str">
        <f>IF(ISERROR(_xlfn.XLOOKUP(H358,'[1]SIG Level Structure'!D:D,'[1]SIG Level Structure'!D:D)),"0","1")</f>
        <v>1</v>
      </c>
      <c r="J358" s="36" t="str">
        <f>_xlfn.XLOOKUP($H358,'[1]SIG Level Structure'!$D:$D,'[1]SIG Level Structure'!F:F)</f>
        <v>U3</v>
      </c>
      <c r="K358" s="37" t="str">
        <f>E358&amp;"-"&amp;J358&amp;"-"&amp;G358</f>
        <v>AOM015-U3-07</v>
      </c>
      <c r="L358" s="37" t="str">
        <f>IFERROR(D358&amp;"-"&amp;LEFT(J358,1),"--")</f>
        <v>AOM-U</v>
      </c>
      <c r="M358" s="37" t="e">
        <f>VLOOKUP(L358,'[1]Compatible JC'!$A:$A,1,FALSE)</f>
        <v>#N/A</v>
      </c>
      <c r="N358" s="37" t="str">
        <f>IFERROR(_xlfn.XLOOKUP(H358,'[1]SIG Level Structure'!D:D,'[1]SIG Level Structure'!C:C),"--")</f>
        <v>Assistant / Analyst</v>
      </c>
      <c r="O358" s="38" t="str">
        <f>IFERROR(TRIM(N358&amp;" "&amp;C358),"--")</f>
        <v>Assistant / Analyst Production Process</v>
      </c>
      <c r="P358" s="22" t="str">
        <f>_xlfn.XLOOKUP(E358,'[1]SIG Job Families &amp; Descriptions'!A:A,'[1]SIG Job Families &amp; Descriptions'!G:G)</f>
        <v xml:space="preserve">Systematize and optimize process parameters and process specifications. Define processing requirements for new and further devlopment of manufacturing processes. Sets up equipment feeding, speed and temperature for optimal performance. Selects and measures raw materials and parts to specifications to prepare for production processing. Resolves issues related to the organization's production, machinery, processing and/or packaging operations. May monitor meters, gauges, valves, flow ratios, temperatures, pressures, and related controls and guidelines to ensure adherence to production/process specifications in support of maintenance engineering. Reports any malfunctions or abnormalities and makes minor adjustments and repairs to equipment. Performs all work in accordance with established safety procedures
</v>
      </c>
      <c r="Q358" s="39" t="str">
        <f>_xlfn.XLOOKUP(E358,'[1]2022 GI Position Descriptions'!E:E,'[1]2022 GI Position Descriptions'!G:G)</f>
        <v>Sets up and operates automatic or semi-automatic machines and related equipment in a continuous production/processing operation | Monitors meters, gauges, valves, flow ratios, temperatures, pressures, and related controls and guidelines to ensure adherence to production/process specifications | Reports any malfunctions or abnormalities and makes minor adjustments and repairs to equipment | Performs all work in accordance with established safety procedures</v>
      </c>
      <c r="R358" s="22" t="str">
        <f>IF(LEFT(J358,1)="E","EX",LEFT(J358,1))</f>
        <v>U</v>
      </c>
      <c r="S358" s="22" t="str">
        <f>_xlfn.XLOOKUP($R358,'[1]Career Bands &amp; Levels'!A:A,'[1]Career Bands &amp; Levels'!C:C)</f>
        <v>● Performs clerical/administrative or specialized support tasks in an office, field or retail store/site setting
● May require vocational training or the equivalent experience, but does not require a university degree</v>
      </c>
      <c r="T358" s="22" t="str">
        <f>J358</f>
        <v>U3</v>
      </c>
      <c r="U358" s="40" t="str">
        <f t="shared" si="11"/>
        <v>U3</v>
      </c>
      <c r="V358" s="22" t="str">
        <f>_xlfn.XLOOKUP(T358,'[1]Career Bands &amp; Levels'!A:A,'[1]Career Bands &amp; Levels'!C:C)</f>
        <v xml:space="preserve">●	Has full proficiency gained through job-related training and considerable work experience		
●	Completes work with a limited degree of supervision		
●	Likely to act as an informal resource for colleagues with less experience		
●	Identifies key issues and patterns from partial/conflicting data		
●	Takes a broad perspective to problems and spots new, less obvious solutions		</v>
      </c>
      <c r="W358" s="41" t="str">
        <f>J358&amp;"-"&amp;G358</f>
        <v>U3-07</v>
      </c>
      <c r="X358" s="42" t="str">
        <f>G358</f>
        <v>07</v>
      </c>
      <c r="Y358" s="22" t="str">
        <f>_xlfn.XLOOKUP(W358,'[1]Career Bands &amp; Levels'!A:A,'[1]Career Bands &amp; Levels'!C:C,"No Grade Differentiator")</f>
        <v>No Grade Differentiator</v>
      </c>
      <c r="Z358" s="43" t="str">
        <f>IFERROR(O358&amp;" - "&amp;G358,"--")</f>
        <v>Assistant / Analyst Production Process - 07</v>
      </c>
      <c r="AA358" s="44" t="str">
        <f>_xlfn.XLOOKUP($H358,'[1]SIG Qualifications Input'!$D:$D,'[1]SIG Qualifications Input'!$H:$H)</f>
        <v>Vocational training in e.g. commercial field or equivalent work experience. Up to 5 years of experience, possibly further internal trainings.</v>
      </c>
    </row>
    <row r="359" spans="1:27" ht="267" thickBot="1" x14ac:dyDescent="0.2">
      <c r="A359" s="34" t="str">
        <f>_xlfn.XLOOKUP(C359,'[1]SIG Job Families &amp; Descriptions'!F:F,'[1]SIG Job Families &amp; Descriptions'!B:B)</f>
        <v>Operations</v>
      </c>
      <c r="B359" s="34" t="str">
        <f>_xlfn.XLOOKUP(C359,'[1]SIG Job Families &amp; Descriptions'!F:F,'[1]SIG Job Families &amp; Descriptions'!D:D)</f>
        <v>Production Process</v>
      </c>
      <c r="C359" s="34" t="s">
        <v>97</v>
      </c>
      <c r="D359" s="30" t="str">
        <f t="shared" si="10"/>
        <v>AOM</v>
      </c>
      <c r="E359" s="31" t="str">
        <f>_xlfn.XLOOKUP(C359,'[1]SIG Job Families &amp; Descriptions'!F:F,'[1]SIG Job Families &amp; Descriptions'!A:A)</f>
        <v>AOM015</v>
      </c>
      <c r="F359" s="32" t="s">
        <v>50</v>
      </c>
      <c r="G359" s="33" t="s">
        <v>55</v>
      </c>
      <c r="H359" s="34" t="str">
        <f>F359&amp;"-"&amp;G359</f>
        <v>Operations-04</v>
      </c>
      <c r="I359" s="35" t="str">
        <f>IF(ISERROR(_xlfn.XLOOKUP(H359,'[1]SIG Level Structure'!D:D,'[1]SIG Level Structure'!D:D)),"0","1")</f>
        <v>1</v>
      </c>
      <c r="J359" s="36" t="str">
        <f>_xlfn.XLOOKUP($H359,'[1]SIG Level Structure'!$D:$D,'[1]SIG Level Structure'!F:F)</f>
        <v>W2</v>
      </c>
      <c r="K359" s="37" t="str">
        <f>E359&amp;"-"&amp;J359&amp;"-"&amp;G359</f>
        <v>AOM015-W2-04</v>
      </c>
      <c r="L359" s="37" t="str">
        <f>IFERROR(D359&amp;"-"&amp;LEFT(J359,1),"--")</f>
        <v>AOM-W</v>
      </c>
      <c r="M359" s="37" t="str">
        <f>VLOOKUP(L359,'[1]Compatible JC'!$A:$A,1,FALSE)</f>
        <v>AOM-W</v>
      </c>
      <c r="N359" s="37" t="str">
        <f>IFERROR(_xlfn.XLOOKUP(H359,'[1]SIG Level Structure'!D:D,'[1]SIG Level Structure'!C:C),"--")</f>
        <v>Operator</v>
      </c>
      <c r="O359" s="38" t="str">
        <f>IFERROR(TRIM(N359&amp;" "&amp;C359),"--")</f>
        <v>Operator Production Process</v>
      </c>
      <c r="P359" s="22" t="str">
        <f>_xlfn.XLOOKUP(E359,'[1]SIG Job Families &amp; Descriptions'!A:A,'[1]SIG Job Families &amp; Descriptions'!G:G)</f>
        <v xml:space="preserve">Systematize and optimize process parameters and process specifications. Define processing requirements for new and further devlopment of manufacturing processes. Sets up equipment feeding, speed and temperature for optimal performance. Selects and measures raw materials and parts to specifications to prepare for production processing. Resolves issues related to the organization's production, machinery, processing and/or packaging operations. May monitor meters, gauges, valves, flow ratios, temperatures, pressures, and related controls and guidelines to ensure adherence to production/process specifications in support of maintenance engineering. Reports any malfunctions or abnormalities and makes minor adjustments and repairs to equipment. Performs all work in accordance with established safety procedures
</v>
      </c>
      <c r="Q359" s="39" t="str">
        <f>_xlfn.XLOOKUP(E359,'[1]2022 GI Position Descriptions'!E:E,'[1]2022 GI Position Descriptions'!G:G)</f>
        <v>Sets up and operates automatic or semi-automatic machines and related equipment in a continuous production/processing operation | Monitors meters, gauges, valves, flow ratios, temperatures, pressures, and related controls and guidelines to ensure adherence to production/process specifications | Reports any malfunctions or abnormalities and makes minor adjustments and repairs to equipment | Performs all work in accordance with established safety procedures</v>
      </c>
      <c r="R359" s="22" t="str">
        <f>IF(LEFT(J359,1)="E","EX",LEFT(J359,1))</f>
        <v>W</v>
      </c>
      <c r="S359" s="22" t="str">
        <f>_xlfn.XLOOKUP($R359,'[1]Career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359" s="22" t="str">
        <f>J359</f>
        <v>W2</v>
      </c>
      <c r="U359" s="40" t="str">
        <f t="shared" si="11"/>
        <v>W2</v>
      </c>
      <c r="V359" s="22" t="str">
        <f>_xlfn.XLOOKUP(T359,'[1]Career Bands &amp; Levels'!A:A,'[1]Career Bands &amp; Levels'!C:C)</f>
        <v xml:space="preserve">●	Has skills developed through formal training or work experience		
●	Works within established procedures and guidelines with limited ability to modify methods and approach		
●	Completes assigned tasks with a moderate degree of supervision		</v>
      </c>
      <c r="W359" s="41" t="str">
        <f>J359&amp;"-"&amp;G359</f>
        <v>W2-04</v>
      </c>
      <c r="X359" s="42" t="str">
        <f>G359</f>
        <v>04</v>
      </c>
      <c r="Y359" s="22" t="str">
        <f>_xlfn.XLOOKUP(W359,'[1]Career Bands &amp; Levels'!A:A,'[1]Career Bands &amp; Levels'!C:C,"No Grade Differentiator")</f>
        <v xml:space="preserve">●	Performs most established procedures and will typically be considered semi-skilled through work experience		
●	Resolves routine issues with senior staff or supervisory guidance and approval		</v>
      </c>
      <c r="Z359" s="43" t="str">
        <f>IFERROR(O359&amp;" - "&amp;G359,"--")</f>
        <v>Operator Production Process - 04</v>
      </c>
      <c r="AA359" s="44" t="str">
        <f>_xlfn.XLOOKUP($H359,'[1]SIG Qualifications Input'!$D:$D,'[1]SIG Qualifications Input'!$H:$H)</f>
        <v>Vocational training in e.g. manual or technical  field or equivalent work experience. 0-4 years of experience</v>
      </c>
    </row>
    <row r="360" spans="1:27" ht="267" thickBot="1" x14ac:dyDescent="0.2">
      <c r="A360" s="34" t="str">
        <f>_xlfn.XLOOKUP(C360,'[1]SIG Job Families &amp; Descriptions'!F:F,'[1]SIG Job Families &amp; Descriptions'!B:B)</f>
        <v>Operations</v>
      </c>
      <c r="B360" s="34" t="str">
        <f>_xlfn.XLOOKUP(C360,'[1]SIG Job Families &amp; Descriptions'!F:F,'[1]SIG Job Families &amp; Descriptions'!D:D)</f>
        <v>Production Process</v>
      </c>
      <c r="C360" s="34" t="s">
        <v>97</v>
      </c>
      <c r="D360" s="30" t="str">
        <f t="shared" si="10"/>
        <v>AOM</v>
      </c>
      <c r="E360" s="31" t="str">
        <f>_xlfn.XLOOKUP(C360,'[1]SIG Job Families &amp; Descriptions'!F:F,'[1]SIG Job Families &amp; Descriptions'!A:A)</f>
        <v>AOM015</v>
      </c>
      <c r="F360" s="32" t="s">
        <v>50</v>
      </c>
      <c r="G360" s="33" t="s">
        <v>36</v>
      </c>
      <c r="H360" s="34" t="str">
        <f>F360&amp;"-"&amp;G360</f>
        <v>Operations-10</v>
      </c>
      <c r="I360" s="35" t="str">
        <f>IF(ISERROR(_xlfn.XLOOKUP(H360,'[1]SIG Level Structure'!D:D,'[1]SIG Level Structure'!D:D)),"0","1")</f>
        <v>1</v>
      </c>
      <c r="J360" s="36" t="str">
        <f>_xlfn.XLOOKUP($H360,'[1]SIG Level Structure'!$D:$D,'[1]SIG Level Structure'!F:F)</f>
        <v>T4</v>
      </c>
      <c r="K360" s="37" t="str">
        <f>E360&amp;"-"&amp;J360&amp;"-"&amp;G360</f>
        <v>AOM015-T4-10</v>
      </c>
      <c r="L360" s="37" t="str">
        <f>IFERROR(D360&amp;"-"&amp;LEFT(J360,1),"--")</f>
        <v>AOM-T</v>
      </c>
      <c r="M360" s="37" t="str">
        <f>VLOOKUP(L360,'[1]Compatible JC'!$A:$A,1,FALSE)</f>
        <v>AOM-T</v>
      </c>
      <c r="N360" s="37" t="str">
        <f>IFERROR(_xlfn.XLOOKUP(H360,'[1]SIG Level Structure'!D:D,'[1]SIG Level Structure'!C:C),"--")</f>
        <v>Senior Technician</v>
      </c>
      <c r="O360" s="38" t="str">
        <f>IFERROR(TRIM(N360&amp;" "&amp;C360),"--")</f>
        <v>Senior Technician Production Process</v>
      </c>
      <c r="P360" s="22" t="str">
        <f>_xlfn.XLOOKUP(E360,'[1]SIG Job Families &amp; Descriptions'!A:A,'[1]SIG Job Families &amp; Descriptions'!G:G)</f>
        <v xml:space="preserve">Systematize and optimize process parameters and process specifications. Define processing requirements for new and further devlopment of manufacturing processes. Sets up equipment feeding, speed and temperature for optimal performance. Selects and measures raw materials and parts to specifications to prepare for production processing. Resolves issues related to the organization's production, machinery, processing and/or packaging operations. May monitor meters, gauges, valves, flow ratios, temperatures, pressures, and related controls and guidelines to ensure adherence to production/process specifications in support of maintenance engineering. Reports any malfunctions or abnormalities and makes minor adjustments and repairs to equipment. Performs all work in accordance with established safety procedures
</v>
      </c>
      <c r="Q360" s="39" t="str">
        <f>_xlfn.XLOOKUP(E360,'[1]2022 GI Position Descriptions'!E:E,'[1]2022 GI Position Descriptions'!G:G)</f>
        <v>Sets up and operates automatic or semi-automatic machines and related equipment in a continuous production/processing operation | Monitors meters, gauges, valves, flow ratios, temperatures, pressures, and related controls and guidelines to ensure adherence to production/process specifications | Reports any malfunctions or abnormalities and makes minor adjustments and repairs to equipment | Performs all work in accordance with established safety procedures</v>
      </c>
      <c r="R360" s="22" t="str">
        <f>IF(LEFT(J360,1)="E","EX",LEFT(J360,1))</f>
        <v>T</v>
      </c>
      <c r="S360" s="22" t="str">
        <f>_xlfn.XLOOKUP($R360,'[1]Career Bands &amp; Levels'!A:A,'[1]Career Bands &amp; Levels'!C:C)</f>
        <v>● Performs specialized technical tasks required to support operations (e.g., IT development, research support, skilled trade)
● Requires vocational training or the equivalent experience and may require external certification but typically does not require a university degree</v>
      </c>
      <c r="T360" s="22" t="str">
        <f>J360</f>
        <v>T4</v>
      </c>
      <c r="U360" s="40" t="str">
        <f t="shared" si="11"/>
        <v>T4</v>
      </c>
      <c r="V360" s="22" t="str">
        <f>_xlfn.XLOOKUP(T360,'[1]Career Bands &amp; Levels'!A:A,'[1]Career Bands &amp; Levels'!C:C)</f>
        <v xml:space="preserve">●	Has advanced and specialized expertise, typically developed through a combination of job-related training and considerable work experience		
●	Proposes improvements to processes		
●	May act as a lead, coordinating and facilitating the work of others but is not a supervisor		
●	Works autonomously within established procedures and practices		
●	Spends a majority of working time performing the same work processes and activities as employees on team		</v>
      </c>
      <c r="W360" s="41" t="str">
        <f>J360&amp;"-"&amp;G360</f>
        <v>T4-10</v>
      </c>
      <c r="X360" s="42" t="str">
        <f>G360</f>
        <v>10</v>
      </c>
      <c r="Y360" s="22" t="str">
        <f>_xlfn.XLOOKUP(W360,'[1]Career Bands &amp; Levels'!A:A,'[1]Career Bands &amp; Levels'!C:C,"No Grade Differentiator")</f>
        <v xml:space="preserve">●	Performs a variety of the most complex tasks and/or may lead one or more teams		
●	Analyzes the most complex technical problems and delivers solutions where precedent may not exist		</v>
      </c>
      <c r="Z360" s="43" t="str">
        <f>IFERROR(O360&amp;" - "&amp;G360,"--")</f>
        <v>Senior Technician Production Process - 10</v>
      </c>
      <c r="AA360" s="44" t="str">
        <f>_xlfn.XLOOKUP($H360,'[1]SIG Qualifications Input'!$D:$D,'[1]SIG Qualifications Input'!$H:$H)</f>
        <v>Typically an Associate’s degree or 2 to 4 years of vocational technical training preferred. HS diploma or equivalent required. Specialized skill training/certification often required to meet specific needs. Deep and specialized practical experience required, often more then 10 years.</v>
      </c>
    </row>
    <row r="361" spans="1:27" ht="267" thickBot="1" x14ac:dyDescent="0.2">
      <c r="A361" s="34" t="str">
        <f>_xlfn.XLOOKUP(C361,'[1]SIG Job Families &amp; Descriptions'!F:F,'[1]SIG Job Families &amp; Descriptions'!B:B)</f>
        <v>Operations</v>
      </c>
      <c r="B361" s="34" t="str">
        <f>_xlfn.XLOOKUP(C361,'[1]SIG Job Families &amp; Descriptions'!F:F,'[1]SIG Job Families &amp; Descriptions'!D:D)</f>
        <v>Production Process</v>
      </c>
      <c r="C361" s="34" t="s">
        <v>97</v>
      </c>
      <c r="D361" s="30" t="str">
        <f t="shared" si="10"/>
        <v>AOM</v>
      </c>
      <c r="E361" s="31" t="str">
        <f>_xlfn.XLOOKUP(C361,'[1]SIG Job Families &amp; Descriptions'!F:F,'[1]SIG Job Families &amp; Descriptions'!A:A)</f>
        <v>AOM015</v>
      </c>
      <c r="F361" s="32" t="s">
        <v>50</v>
      </c>
      <c r="G361" s="33" t="s">
        <v>37</v>
      </c>
      <c r="H361" s="34" t="str">
        <f>F361&amp;"-"&amp;G361</f>
        <v>Operations-09</v>
      </c>
      <c r="I361" s="35" t="str">
        <f>IF(ISERROR(_xlfn.XLOOKUP(H361,'[1]SIG Level Structure'!D:D,'[1]SIG Level Structure'!D:D)),"0","1")</f>
        <v>1</v>
      </c>
      <c r="J361" s="36" t="str">
        <f>_xlfn.XLOOKUP($H361,'[1]SIG Level Structure'!$D:$D,'[1]SIG Level Structure'!F:F)</f>
        <v>T4</v>
      </c>
      <c r="K361" s="37" t="str">
        <f>E361&amp;"-"&amp;J361&amp;"-"&amp;G361</f>
        <v>AOM015-T4-09</v>
      </c>
      <c r="L361" s="37" t="str">
        <f>IFERROR(D361&amp;"-"&amp;LEFT(J361,1),"--")</f>
        <v>AOM-T</v>
      </c>
      <c r="M361" s="37" t="str">
        <f>VLOOKUP(L361,'[1]Compatible JC'!$A:$A,1,FALSE)</f>
        <v>AOM-T</v>
      </c>
      <c r="N361" s="37" t="str">
        <f>IFERROR(_xlfn.XLOOKUP(H361,'[1]SIG Level Structure'!D:D,'[1]SIG Level Structure'!C:C),"--")</f>
        <v>Technician</v>
      </c>
      <c r="O361" s="38" t="str">
        <f>IFERROR(TRIM(N361&amp;" "&amp;C361),"--")</f>
        <v>Technician Production Process</v>
      </c>
      <c r="P361" s="22" t="str">
        <f>_xlfn.XLOOKUP(E361,'[1]SIG Job Families &amp; Descriptions'!A:A,'[1]SIG Job Families &amp; Descriptions'!G:G)</f>
        <v xml:space="preserve">Systematize and optimize process parameters and process specifications. Define processing requirements for new and further devlopment of manufacturing processes. Sets up equipment feeding, speed and temperature for optimal performance. Selects and measures raw materials and parts to specifications to prepare for production processing. Resolves issues related to the organization's production, machinery, processing and/or packaging operations. May monitor meters, gauges, valves, flow ratios, temperatures, pressures, and related controls and guidelines to ensure adherence to production/process specifications in support of maintenance engineering. Reports any malfunctions or abnormalities and makes minor adjustments and repairs to equipment. Performs all work in accordance with established safety procedures
</v>
      </c>
      <c r="Q361" s="39" t="str">
        <f>_xlfn.XLOOKUP(E361,'[1]2022 GI Position Descriptions'!E:E,'[1]2022 GI Position Descriptions'!G:G)</f>
        <v>Sets up and operates automatic or semi-automatic machines and related equipment in a continuous production/processing operation | Monitors meters, gauges, valves, flow ratios, temperatures, pressures, and related controls and guidelines to ensure adherence to production/process specifications | Reports any malfunctions or abnormalities and makes minor adjustments and repairs to equipment | Performs all work in accordance with established safety procedures</v>
      </c>
      <c r="R361" s="22" t="str">
        <f>IF(LEFT(J361,1)="E","EX",LEFT(J361,1))</f>
        <v>T</v>
      </c>
      <c r="S361" s="22" t="str">
        <f>_xlfn.XLOOKUP($R361,'[1]Career Bands &amp; Levels'!A:A,'[1]Career Bands &amp; Levels'!C:C)</f>
        <v>● Performs specialized technical tasks required to support operations (e.g., IT development, research support, skilled trade)
● Requires vocational training or the equivalent experience and may require external certification but typically does not require a university degree</v>
      </c>
      <c r="T361" s="22" t="str">
        <f>J361</f>
        <v>T4</v>
      </c>
      <c r="U361" s="40" t="str">
        <f t="shared" si="11"/>
        <v>T4</v>
      </c>
      <c r="V361" s="22" t="str">
        <f>_xlfn.XLOOKUP(T361,'[1]Career Bands &amp; Levels'!A:A,'[1]Career Bands &amp; Levels'!C:C)</f>
        <v xml:space="preserve">●	Has advanced and specialized expertise, typically developed through a combination of job-related training and considerable work experience		
●	Proposes improvements to processes		
●	May act as a lead, coordinating and facilitating the work of others but is not a supervisor		
●	Works autonomously within established procedures and practices		
●	Spends a majority of working time performing the same work processes and activities as employees on team		</v>
      </c>
      <c r="W361" s="41" t="str">
        <f>J361&amp;"-"&amp;G361</f>
        <v>T4-09</v>
      </c>
      <c r="X361" s="42" t="str">
        <f>G361</f>
        <v>09</v>
      </c>
      <c r="Y361" s="22" t="str">
        <f>_xlfn.XLOOKUP(W361,'[1]Career Bands &amp; Levels'!A:A,'[1]Career Bands &amp; Levels'!C:C,"No Grade Differentiator")</f>
        <v xml:space="preserve">●	Performs a variety of complex tasks and/or may lead a team in the performance of a variety of tasks that are often routine		
●	Solves complex problems of a recurring nature		</v>
      </c>
      <c r="Z361" s="43" t="str">
        <f>IFERROR(O361&amp;" - "&amp;G361,"--")</f>
        <v>Technician Production Process - 09</v>
      </c>
      <c r="AA361" s="44" t="str">
        <f>_xlfn.XLOOKUP($H361,'[1]SIG Qualifications Input'!$D:$D,'[1]SIG Qualifications Input'!$H:$H)</f>
        <v>Typically an Associate’s degree or 2 to 4 years of vocational technical training preferred. HS diploma or equivalent required. Specialized skill training/certification often required to meet specific needs. Up to 8 years of experience.</v>
      </c>
    </row>
    <row r="362" spans="1:27" ht="267" thickBot="1" x14ac:dyDescent="0.2">
      <c r="A362" s="34" t="str">
        <f>_xlfn.XLOOKUP(C362,'[1]SIG Job Families &amp; Descriptions'!F:F,'[1]SIG Job Families &amp; Descriptions'!B:B)</f>
        <v>Operations</v>
      </c>
      <c r="B362" s="34" t="str">
        <f>_xlfn.XLOOKUP(C362,'[1]SIG Job Families &amp; Descriptions'!F:F,'[1]SIG Job Families &amp; Descriptions'!D:D)</f>
        <v>Production Process</v>
      </c>
      <c r="C362" s="34" t="s">
        <v>97</v>
      </c>
      <c r="D362" s="30" t="str">
        <f t="shared" si="10"/>
        <v>AOM</v>
      </c>
      <c r="E362" s="31" t="str">
        <f>_xlfn.XLOOKUP(C362,'[1]SIG Job Families &amp; Descriptions'!F:F,'[1]SIG Job Families &amp; Descriptions'!A:A)</f>
        <v>AOM015</v>
      </c>
      <c r="F362" s="32" t="s">
        <v>51</v>
      </c>
      <c r="G362" s="33" t="s">
        <v>43</v>
      </c>
      <c r="H362" s="34" t="str">
        <f>F362&amp;"-"&amp;G362</f>
        <v>Operations / Technician-08</v>
      </c>
      <c r="I362" s="35" t="str">
        <f>IF(ISERROR(_xlfn.XLOOKUP(H362,'[1]SIG Level Structure'!D:D,'[1]SIG Level Structure'!D:D)),"0","1")</f>
        <v>1</v>
      </c>
      <c r="J362" s="36" t="str">
        <f>_xlfn.XLOOKUP($H362,'[1]SIG Level Structure'!$D:$D,'[1]SIG Level Structure'!F:F)</f>
        <v>T3</v>
      </c>
      <c r="K362" s="37" t="str">
        <f>E362&amp;"-"&amp;J362&amp;"-"&amp;G362</f>
        <v>AOM015-T3-08</v>
      </c>
      <c r="L362" s="37" t="str">
        <f>IFERROR(D362&amp;"-"&amp;LEFT(J362,1),"--")</f>
        <v>AOM-T</v>
      </c>
      <c r="M362" s="37" t="str">
        <f>VLOOKUP(L362,'[1]Compatible JC'!$A:$A,1,FALSE)</f>
        <v>AOM-T</v>
      </c>
      <c r="N362" s="37" t="str">
        <f>IFERROR(_xlfn.XLOOKUP(H362,'[1]SIG Level Structure'!D:D,'[1]SIG Level Structure'!C:C),"--")</f>
        <v>Technician</v>
      </c>
      <c r="O362" s="38" t="str">
        <f>IFERROR(TRIM(N362&amp;" "&amp;C362),"--")</f>
        <v>Technician Production Process</v>
      </c>
      <c r="P362" s="22" t="str">
        <f>_xlfn.XLOOKUP(E362,'[1]SIG Job Families &amp; Descriptions'!A:A,'[1]SIG Job Families &amp; Descriptions'!G:G)</f>
        <v xml:space="preserve">Systematize and optimize process parameters and process specifications. Define processing requirements for new and further devlopment of manufacturing processes. Sets up equipment feeding, speed and temperature for optimal performance. Selects and measures raw materials and parts to specifications to prepare for production processing. Resolves issues related to the organization's production, machinery, processing and/or packaging operations. May monitor meters, gauges, valves, flow ratios, temperatures, pressures, and related controls and guidelines to ensure adherence to production/process specifications in support of maintenance engineering. Reports any malfunctions or abnormalities and makes minor adjustments and repairs to equipment. Performs all work in accordance with established safety procedures
</v>
      </c>
      <c r="Q362" s="39" t="str">
        <f>_xlfn.XLOOKUP(E362,'[1]2022 GI Position Descriptions'!E:E,'[1]2022 GI Position Descriptions'!G:G)</f>
        <v>Sets up and operates automatic or semi-automatic machines and related equipment in a continuous production/processing operation | Monitors meters, gauges, valves, flow ratios, temperatures, pressures, and related controls and guidelines to ensure adherence to production/process specifications | Reports any malfunctions or abnormalities and makes minor adjustments and repairs to equipment | Performs all work in accordance with established safety procedures</v>
      </c>
      <c r="R362" s="22" t="str">
        <f>IF(LEFT(J362,1)="E","EX",LEFT(J362,1))</f>
        <v>T</v>
      </c>
      <c r="S362" s="22" t="str">
        <f>_xlfn.XLOOKUP($R362,'[1]Career Bands &amp; Levels'!A:A,'[1]Career Bands &amp; Levels'!C:C)</f>
        <v>● Performs specialized technical tasks required to support operations (e.g., IT development, research support, skilled trade)
● Requires vocational training or the equivalent experience and may require external certification but typically does not require a university degree</v>
      </c>
      <c r="T362" s="22" t="str">
        <f>J362</f>
        <v>T3</v>
      </c>
      <c r="U362" s="40" t="str">
        <f t="shared" si="11"/>
        <v>T3</v>
      </c>
      <c r="V362" s="22" t="str">
        <f>_xlfn.XLOOKUP(T362,'[1]Career Bands &amp; Levels'!A:A,'[1]Career Bands &amp; Levels'!C:C)</f>
        <v xml:space="preserve">●	Has full proficiency in a range of technical processes or procedures (or deep skills in a single area) through job-related training and considerable work experience		
●	Completes a variety of atypical assignments		
●	Works within defined technical processes and procedures or methodologies and may help determine the appropriate approach for new assignments		
●	Works with a limited degree of supervision, with oversight focused only on complex new assignments		
●	Acts as an informal resource for colleagues with less experience		</v>
      </c>
      <c r="W362" s="41" t="str">
        <f>J362&amp;"-"&amp;G362</f>
        <v>T3-08</v>
      </c>
      <c r="X362" s="42" t="str">
        <f>G362</f>
        <v>08</v>
      </c>
      <c r="Y362" s="22" t="str">
        <f>_xlfn.XLOOKUP(W362,'[1]Career Bands &amp; Levels'!A:A,'[1]Career Bands &amp; Levels'!C:C,"No Grade Differentiator")</f>
        <v xml:space="preserve">●	Performs highly complex and varied tasks		
●	Typically has specialized external certification		
●	Guides and supports junior team members; may assist in their formal orientation and training		</v>
      </c>
      <c r="Z362" s="43" t="str">
        <f>IFERROR(O362&amp;" - "&amp;G362,"--")</f>
        <v>Technician Production Process - 08</v>
      </c>
      <c r="AA362" s="44" t="str">
        <f>_xlfn.XLOOKUP($H362,'[1]SIG Qualifications Input'!$D:$D,'[1]SIG Qualifications Input'!$H:$H)</f>
        <v>Typically an Associate’s degree or 2 to 4 years of vocational technical training preferred. HS diploma or equivalent required. Specialized skill training/certification often required to meet specific needs. Up to 8 years of experience.</v>
      </c>
    </row>
    <row r="363" spans="1:27" ht="267" thickBot="1" x14ac:dyDescent="0.2">
      <c r="A363" s="34" t="str">
        <f>_xlfn.XLOOKUP(C363,'[1]SIG Job Families &amp; Descriptions'!F:F,'[1]SIG Job Families &amp; Descriptions'!B:B)</f>
        <v>Operations</v>
      </c>
      <c r="B363" s="34" t="str">
        <f>_xlfn.XLOOKUP(C363,'[1]SIG Job Families &amp; Descriptions'!F:F,'[1]SIG Job Families &amp; Descriptions'!D:D)</f>
        <v>Production Process</v>
      </c>
      <c r="C363" s="34" t="s">
        <v>97</v>
      </c>
      <c r="D363" s="30" t="str">
        <f t="shared" si="10"/>
        <v>AOM</v>
      </c>
      <c r="E363" s="31" t="str">
        <f>_xlfn.XLOOKUP(C363,'[1]SIG Job Families &amp; Descriptions'!F:F,'[1]SIG Job Families &amp; Descriptions'!A:A)</f>
        <v>AOM015</v>
      </c>
      <c r="F363" s="32" t="s">
        <v>51</v>
      </c>
      <c r="G363" s="33" t="s">
        <v>52</v>
      </c>
      <c r="H363" s="34" t="str">
        <f>F363&amp;"-"&amp;G363</f>
        <v>Operations / Technician-07</v>
      </c>
      <c r="I363" s="35" t="str">
        <f>IF(ISERROR(_xlfn.XLOOKUP(H363,'[1]SIG Level Structure'!D:D,'[1]SIG Level Structure'!D:D)),"0","1")</f>
        <v>1</v>
      </c>
      <c r="J363" s="36" t="str">
        <f>_xlfn.XLOOKUP($H363,'[1]SIG Level Structure'!$D:$D,'[1]SIG Level Structure'!F:F)</f>
        <v>T3</v>
      </c>
      <c r="K363" s="37" t="str">
        <f>E363&amp;"-"&amp;J363&amp;"-"&amp;G363</f>
        <v>AOM015-T3-07</v>
      </c>
      <c r="L363" s="37" t="str">
        <f>IFERROR(D363&amp;"-"&amp;LEFT(J363,1),"--")</f>
        <v>AOM-T</v>
      </c>
      <c r="M363" s="37" t="str">
        <f>VLOOKUP(L363,'[1]Compatible JC'!$A:$A,1,FALSE)</f>
        <v>AOM-T</v>
      </c>
      <c r="N363" s="37" t="str">
        <f>IFERROR(_xlfn.XLOOKUP(H363,'[1]SIG Level Structure'!D:D,'[1]SIG Level Structure'!C:C),"--")</f>
        <v>Technician</v>
      </c>
      <c r="O363" s="38" t="str">
        <f>IFERROR(TRIM(N363&amp;" "&amp;C363),"--")</f>
        <v>Technician Production Process</v>
      </c>
      <c r="P363" s="22" t="str">
        <f>_xlfn.XLOOKUP(E363,'[1]SIG Job Families &amp; Descriptions'!A:A,'[1]SIG Job Families &amp; Descriptions'!G:G)</f>
        <v xml:space="preserve">Systematize and optimize process parameters and process specifications. Define processing requirements for new and further devlopment of manufacturing processes. Sets up equipment feeding, speed and temperature for optimal performance. Selects and measures raw materials and parts to specifications to prepare for production processing. Resolves issues related to the organization's production, machinery, processing and/or packaging operations. May monitor meters, gauges, valves, flow ratios, temperatures, pressures, and related controls and guidelines to ensure adherence to production/process specifications in support of maintenance engineering. Reports any malfunctions or abnormalities and makes minor adjustments and repairs to equipment. Performs all work in accordance with established safety procedures
</v>
      </c>
      <c r="Q363" s="39" t="str">
        <f>_xlfn.XLOOKUP(E363,'[1]2022 GI Position Descriptions'!E:E,'[1]2022 GI Position Descriptions'!G:G)</f>
        <v>Sets up and operates automatic or semi-automatic machines and related equipment in a continuous production/processing operation | Monitors meters, gauges, valves, flow ratios, temperatures, pressures, and related controls and guidelines to ensure adherence to production/process specifications | Reports any malfunctions or abnormalities and makes minor adjustments and repairs to equipment | Performs all work in accordance with established safety procedures</v>
      </c>
      <c r="R363" s="22" t="str">
        <f>IF(LEFT(J363,1)="E","EX",LEFT(J363,1))</f>
        <v>T</v>
      </c>
      <c r="S363" s="22" t="str">
        <f>_xlfn.XLOOKUP($R363,'[1]Career Bands &amp; Levels'!A:A,'[1]Career Bands &amp; Levels'!C:C)</f>
        <v>● Performs specialized technical tasks required to support operations (e.g., IT development, research support, skilled trade)
● Requires vocational training or the equivalent experience and may require external certification but typically does not require a university degree</v>
      </c>
      <c r="T363" s="22" t="str">
        <f>J363</f>
        <v>T3</v>
      </c>
      <c r="U363" s="40" t="str">
        <f t="shared" si="11"/>
        <v>T3</v>
      </c>
      <c r="V363" s="22" t="str">
        <f>_xlfn.XLOOKUP(T363,'[1]Career Bands &amp; Levels'!A:A,'[1]Career Bands &amp; Levels'!C:C)</f>
        <v xml:space="preserve">●	Has full proficiency in a range of technical processes or procedures (or deep skills in a single area) through job-related training and considerable work experience		
●	Completes a variety of atypical assignments		
●	Works within defined technical processes and procedures or methodologies and may help determine the appropriate approach for new assignments		
●	Works with a limited degree of supervision, with oversight focused only on complex new assignments		
●	Acts as an informal resource for colleagues with less experience		</v>
      </c>
      <c r="W363" s="41" t="str">
        <f>J363&amp;"-"&amp;G363</f>
        <v>T3-07</v>
      </c>
      <c r="X363" s="42" t="str">
        <f>G363</f>
        <v>07</v>
      </c>
      <c r="Y363" s="22" t="str">
        <f>_xlfn.XLOOKUP(W363,'[1]Career Bands &amp; Levels'!A:A,'[1]Career Bands &amp; Levels'!C:C,"No Grade Differentiator")</f>
        <v xml:space="preserve">●	Performs moderately complex and varied tasks		
●	May have specialized external certification		
●	Guides junior team members		</v>
      </c>
      <c r="Z363" s="43" t="str">
        <f>IFERROR(O363&amp;" - "&amp;G363,"--")</f>
        <v>Technician Production Process - 07</v>
      </c>
      <c r="AA363" s="44" t="str">
        <f>_xlfn.XLOOKUP($H363,'[1]SIG Qualifications Input'!$D:$D,'[1]SIG Qualifications Input'!$H:$H)</f>
        <v>Typically an Associate’s degree or 2 to 4 years of vocational technical training preferred. HS diploma or equivalent required. Specialized skill training/certification often required to meet specific needs. Up to 8 years of experience.</v>
      </c>
    </row>
    <row r="364" spans="1:27" ht="267" thickBot="1" x14ac:dyDescent="0.2">
      <c r="A364" s="34" t="str">
        <f>_xlfn.XLOOKUP(C364,'[1]SIG Job Families &amp; Descriptions'!F:F,'[1]SIG Job Families &amp; Descriptions'!B:B)</f>
        <v>Operations</v>
      </c>
      <c r="B364" s="34" t="str">
        <f>_xlfn.XLOOKUP(C364,'[1]SIG Job Families &amp; Descriptions'!F:F,'[1]SIG Job Families &amp; Descriptions'!D:D)</f>
        <v>Production Process</v>
      </c>
      <c r="C364" s="34" t="s">
        <v>97</v>
      </c>
      <c r="D364" s="30" t="str">
        <f t="shared" si="10"/>
        <v>AOM</v>
      </c>
      <c r="E364" s="31" t="str">
        <f>_xlfn.XLOOKUP(C364,'[1]SIG Job Families &amp; Descriptions'!F:F,'[1]SIG Job Families &amp; Descriptions'!A:A)</f>
        <v>AOM015</v>
      </c>
      <c r="F364" s="32" t="s">
        <v>50</v>
      </c>
      <c r="G364" s="33" t="s">
        <v>53</v>
      </c>
      <c r="H364" s="34" t="str">
        <f>F364&amp;"-"&amp;G364</f>
        <v>Operations-06</v>
      </c>
      <c r="I364" s="35" t="str">
        <f>IF(ISERROR(_xlfn.XLOOKUP(H364,'[1]SIG Level Structure'!D:D,'[1]SIG Level Structure'!D:D)),"0","1")</f>
        <v>1</v>
      </c>
      <c r="J364" s="36" t="str">
        <f>_xlfn.XLOOKUP($H364,'[1]SIG Level Structure'!$D:$D,'[1]SIG Level Structure'!F:F)</f>
        <v>W3</v>
      </c>
      <c r="K364" s="37" t="str">
        <f>E364&amp;"-"&amp;J364&amp;"-"&amp;G364</f>
        <v>AOM015-W3-06</v>
      </c>
      <c r="L364" s="37" t="str">
        <f>IFERROR(D364&amp;"-"&amp;LEFT(J364,1),"--")</f>
        <v>AOM-W</v>
      </c>
      <c r="M364" s="37" t="str">
        <f>VLOOKUP(L364,'[1]Compatible JC'!$A:$A,1,FALSE)</f>
        <v>AOM-W</v>
      </c>
      <c r="N364" s="37" t="str">
        <f>IFERROR(_xlfn.XLOOKUP(H364,'[1]SIG Level Structure'!D:D,'[1]SIG Level Structure'!C:C),"--")</f>
        <v>Operator</v>
      </c>
      <c r="O364" s="38" t="str">
        <f>IFERROR(TRIM(N364&amp;" "&amp;C364),"--")</f>
        <v>Operator Production Process</v>
      </c>
      <c r="P364" s="22" t="str">
        <f>_xlfn.XLOOKUP(E364,'[1]SIG Job Families &amp; Descriptions'!A:A,'[1]SIG Job Families &amp; Descriptions'!G:G)</f>
        <v xml:space="preserve">Systematize and optimize process parameters and process specifications. Define processing requirements for new and further devlopment of manufacturing processes. Sets up equipment feeding, speed and temperature for optimal performance. Selects and measures raw materials and parts to specifications to prepare for production processing. Resolves issues related to the organization's production, machinery, processing and/or packaging operations. May monitor meters, gauges, valves, flow ratios, temperatures, pressures, and related controls and guidelines to ensure adherence to production/process specifications in support of maintenance engineering. Reports any malfunctions or abnormalities and makes minor adjustments and repairs to equipment. Performs all work in accordance with established safety procedures
</v>
      </c>
      <c r="Q364" s="39" t="str">
        <f>_xlfn.XLOOKUP(E364,'[1]2022 GI Position Descriptions'!E:E,'[1]2022 GI Position Descriptions'!G:G)</f>
        <v>Sets up and operates automatic or semi-automatic machines and related equipment in a continuous production/processing operation | Monitors meters, gauges, valves, flow ratios, temperatures, pressures, and related controls and guidelines to ensure adherence to production/process specifications | Reports any malfunctions or abnormalities and makes minor adjustments and repairs to equipment | Performs all work in accordance with established safety procedures</v>
      </c>
      <c r="R364" s="22" t="str">
        <f>IF(LEFT(J364,1)="E","EX",LEFT(J364,1))</f>
        <v>W</v>
      </c>
      <c r="S364" s="22" t="str">
        <f>_xlfn.XLOOKUP($R364,'[1]Career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364" s="22" t="str">
        <f>J364</f>
        <v>W3</v>
      </c>
      <c r="U364" s="40" t="str">
        <f t="shared" si="11"/>
        <v>W3</v>
      </c>
      <c r="V364" s="22" t="str">
        <f>_xlfn.XLOOKUP(T364,'[1]Career Bands &amp; Levels'!A:A,'[1]Career Bands &amp; Levels'!C:C)</f>
        <v xml:space="preserve">●	Has proficiency through job-related training and considerable work experience		
●	Completes work with a limited degree of supervision; regularly provides guidance to others with less experience		
●	May act as an informal resource for colleagues with less experience		</v>
      </c>
      <c r="W364" s="41" t="str">
        <f>J364&amp;"-"&amp;G364</f>
        <v>W3-06</v>
      </c>
      <c r="X364" s="42" t="str">
        <f>G364</f>
        <v>06</v>
      </c>
      <c r="Y364" s="22" t="str">
        <f>_xlfn.XLOOKUP(W364,'[1]Career Bands &amp; Levels'!A:A,'[1]Career Bands &amp; Levels'!C:C,"No Grade Differentiator")</f>
        <v>No Grade Differentiator</v>
      </c>
      <c r="Z364" s="43" t="str">
        <f>IFERROR(O364&amp;" - "&amp;G364,"--")</f>
        <v>Operator Production Process - 06</v>
      </c>
      <c r="AA364" s="44" t="str">
        <f>_xlfn.XLOOKUP($H364,'[1]SIG Qualifications Input'!$D:$D,'[1]SIG Qualifications Input'!$H:$H)</f>
        <v>Vocational training in e.g. manual or technical  field or equivalent work experience. 0-4 years of experience</v>
      </c>
    </row>
    <row r="365" spans="1:27" ht="183" thickBot="1" x14ac:dyDescent="0.2">
      <c r="A365" s="34" t="str">
        <f>_xlfn.XLOOKUP(C365,'[1]SIG Job Families &amp; Descriptions'!F:F,'[1]SIG Job Families &amp; Descriptions'!B:B)</f>
        <v>Operations</v>
      </c>
      <c r="B365" s="34" t="str">
        <f>_xlfn.XLOOKUP(C365,'[1]SIG Job Families &amp; Descriptions'!F:F,'[1]SIG Job Families &amp; Descriptions'!D:D)</f>
        <v>Operations Projects</v>
      </c>
      <c r="C365" s="34" t="s">
        <v>98</v>
      </c>
      <c r="D365" s="30" t="str">
        <f t="shared" si="10"/>
        <v>APM</v>
      </c>
      <c r="E365" s="31" t="str">
        <f>_xlfn.XLOOKUP(C365,'[1]SIG Job Families &amp; Descriptions'!F:F,'[1]SIG Job Families &amp; Descriptions'!A:A)</f>
        <v>APM000</v>
      </c>
      <c r="F365" s="32" t="s">
        <v>60</v>
      </c>
      <c r="G365" s="33" t="s">
        <v>40</v>
      </c>
      <c r="H365" s="34" t="str">
        <f>F365&amp;"-"&amp;G365</f>
        <v>Projects-16</v>
      </c>
      <c r="I365" s="35" t="str">
        <f>IF(ISERROR(_xlfn.XLOOKUP(H365,'[1]SIG Level Structure'!D:D,'[1]SIG Level Structure'!D:D)),"0","1")</f>
        <v>1</v>
      </c>
      <c r="J365" s="36" t="str">
        <f>_xlfn.XLOOKUP($H365,'[1]SIG Level Structure'!$D:$D,'[1]SIG Level Structure'!F:F)</f>
        <v>M4</v>
      </c>
      <c r="K365" s="37" t="str">
        <f>E365&amp;"-"&amp;J365&amp;"-"&amp;G365</f>
        <v>APM000-M4-16</v>
      </c>
      <c r="L365" s="37" t="str">
        <f>IFERROR(D365&amp;"-"&amp;LEFT(J365,1),"--")</f>
        <v>APM-M</v>
      </c>
      <c r="M365" s="37" t="str">
        <f>VLOOKUP(L365,'[1]Compatible JC'!$A:$A,1,FALSE)</f>
        <v>APM-M</v>
      </c>
      <c r="N365" s="37" t="str">
        <f>IFERROR(_xlfn.XLOOKUP(H365,'[1]SIG Level Structure'!D:D,'[1]SIG Level Structure'!C:C),"--")</f>
        <v>Program Manager</v>
      </c>
      <c r="O365" s="38" t="str">
        <f>IFERROR(TRIM(N365&amp;" "&amp;C365),"--")</f>
        <v>Program Manager Operations Projects</v>
      </c>
      <c r="P365" s="22" t="str">
        <f>_xlfn.XLOOKUP(E365,'[1]SIG Job Families &amp; Descriptions'!A:A,'[1]SIG Job Families &amp; Descriptions'!G:G)</f>
        <v>Plans, monitors and manages internal Operations projects from initiation through completion | Leads or coordinates project planning, resourcing, staffing, supply and subcontract management, progress reporting, troubleshooting and people management | Ensures project results meet requirements regarding technical quality, reliability, schedule and cost | Monitors performance and recommends schedule changes, cost adjustments or resource additions</v>
      </c>
      <c r="Q365" s="39" t="str">
        <f>_xlfn.XLOOKUP(E365,'[1]2022 GI Position Descriptions'!E:E,'[1]2022 GI Position Descriptions'!G:G)</f>
        <v>Plans, monitors and manages internal projects from initiation through completion | Leads or coordinates project planning, resourcing, staffing, supply and subcontract management, progress reporting, troubleshooting and people management | Ensures project results meet requirements regarding technical quality, reliability, schedule and cost | Monitors performance and recommends schedule changes, cost adjustments or resource additions | Responsibilities are within the Project/Program Management Function as a generalist or in a combination of Disciplines</v>
      </c>
      <c r="R365" s="22" t="str">
        <f>IF(LEFT(J365,1)="E","EX",LEFT(J365,1))</f>
        <v>M</v>
      </c>
      <c r="S365" s="22" t="str">
        <f>_xlfn.XLOOKUP($R365,'[1]Career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365" s="22" t="str">
        <f>J365</f>
        <v>M4</v>
      </c>
      <c r="U365" s="40" t="str">
        <f t="shared" si="11"/>
        <v>M4</v>
      </c>
      <c r="V365" s="22" t="str">
        <f>_xlfn.XLOOKUP(T365,'[1]Career Bands &amp; Levels'!A:A,'[1]Career Bands &amp; Levels'!C:C)</f>
        <v xml:space="preserve">●	Provides leadership and direction through Senior Managers and Managers		
●	Has accountability for the performance and results of:		
	●	A large, strategically important discipline in an extremely large market; and/or	
	●	Related disciplines or a medium-sized function in a large market or medium-sized division; and/or	
	●	A medium-sized discipline or department in a major region	
●	Adapts and executes functional or departmental business plans and contributes to the development of functional or departmental strategies		
●	Decisions are guided by functional or major operational segment strategies and priorities		</v>
      </c>
      <c r="W365" s="41" t="str">
        <f>J365&amp;"-"&amp;G365</f>
        <v>M4-16</v>
      </c>
      <c r="X365" s="42" t="str">
        <f>G365</f>
        <v>16</v>
      </c>
      <c r="Y365" s="22" t="str">
        <f>_xlfn.XLOOKUP(W365,'[1]Career Bands &amp; Levels'!A:A,'[1]Career Bands &amp; Levels'!C:C,"No Grade Differentiator")</f>
        <v>No Grade Differentiator</v>
      </c>
      <c r="Z365" s="43" t="str">
        <f>IFERROR(O365&amp;" - "&amp;G365,"--")</f>
        <v>Program Manager Operations Projects - 16</v>
      </c>
      <c r="AA365" s="44" t="str">
        <f>_xlfn.XLOOKUP($H365,'[1]SIG Qualifications Input'!$D:$D,'[1]SIG Qualifications Input'!$H:$H)</f>
        <v>University degree or equivalent and 10+ years of work experience or equivalent, 
Very experienced in functionally leading cross-functional projects</v>
      </c>
    </row>
    <row r="366" spans="1:27" ht="183" thickBot="1" x14ac:dyDescent="0.2">
      <c r="A366" s="34" t="str">
        <f>_xlfn.XLOOKUP(C366,'[1]SIG Job Families &amp; Descriptions'!F:F,'[1]SIG Job Families &amp; Descriptions'!B:B)</f>
        <v>Operations</v>
      </c>
      <c r="B366" s="34" t="str">
        <f>_xlfn.XLOOKUP(C366,'[1]SIG Job Families &amp; Descriptions'!F:F,'[1]SIG Job Families &amp; Descriptions'!D:D)</f>
        <v>Operations Projects</v>
      </c>
      <c r="C366" s="34" t="s">
        <v>98</v>
      </c>
      <c r="D366" s="30" t="str">
        <f t="shared" si="10"/>
        <v>APM</v>
      </c>
      <c r="E366" s="31" t="str">
        <f>_xlfn.XLOOKUP(C366,'[1]SIG Job Families &amp; Descriptions'!F:F,'[1]SIG Job Families &amp; Descriptions'!A:A)</f>
        <v>APM000</v>
      </c>
      <c r="F366" s="32" t="s">
        <v>60</v>
      </c>
      <c r="G366" s="33" t="s">
        <v>30</v>
      </c>
      <c r="H366" s="34" t="str">
        <f>F366&amp;"-"&amp;G366</f>
        <v>Projects-15</v>
      </c>
      <c r="I366" s="35" t="str">
        <f>IF(ISERROR(_xlfn.XLOOKUP(H366,'[1]SIG Level Structure'!D:D,'[1]SIG Level Structure'!D:D)),"0","1")</f>
        <v>1</v>
      </c>
      <c r="J366" s="36" t="str">
        <f>_xlfn.XLOOKUP($H366,'[1]SIG Level Structure'!$D:$D,'[1]SIG Level Structure'!F:F)</f>
        <v>M3</v>
      </c>
      <c r="K366" s="37" t="str">
        <f>E366&amp;"-"&amp;J366&amp;"-"&amp;G366</f>
        <v>APM000-M3-15</v>
      </c>
      <c r="L366" s="37" t="str">
        <f>IFERROR(D366&amp;"-"&amp;LEFT(J366,1),"--")</f>
        <v>APM-M</v>
      </c>
      <c r="M366" s="37" t="str">
        <f>VLOOKUP(L366,'[1]Compatible JC'!$A:$A,1,FALSE)</f>
        <v>APM-M</v>
      </c>
      <c r="N366" s="37" t="str">
        <f>IFERROR(_xlfn.XLOOKUP(H366,'[1]SIG Level Structure'!D:D,'[1]SIG Level Structure'!C:C),"--")</f>
        <v>Program Manager</v>
      </c>
      <c r="O366" s="38" t="str">
        <f>IFERROR(TRIM(N366&amp;" "&amp;C366),"--")</f>
        <v>Program Manager Operations Projects</v>
      </c>
      <c r="P366" s="22" t="str">
        <f>_xlfn.XLOOKUP(E366,'[1]SIG Job Families &amp; Descriptions'!A:A,'[1]SIG Job Families &amp; Descriptions'!G:G)</f>
        <v>Plans, monitors and manages internal Operations projects from initiation through completion | Leads or coordinates project planning, resourcing, staffing, supply and subcontract management, progress reporting, troubleshooting and people management | Ensures project results meet requirements regarding technical quality, reliability, schedule and cost | Monitors performance and recommends schedule changes, cost adjustments or resource additions</v>
      </c>
      <c r="Q366" s="39" t="str">
        <f>_xlfn.XLOOKUP(E366,'[1]2022 GI Position Descriptions'!E:E,'[1]2022 GI Position Descriptions'!G:G)</f>
        <v>Plans, monitors and manages internal projects from initiation through completion | Leads or coordinates project planning, resourcing, staffing, supply and subcontract management, progress reporting, troubleshooting and people management | Ensures project results meet requirements regarding technical quality, reliability, schedule and cost | Monitors performance and recommends schedule changes, cost adjustments or resource additions | Responsibilities are within the Project/Program Management Function as a generalist or in a combination of Disciplines</v>
      </c>
      <c r="R366" s="22" t="str">
        <f>IF(LEFT(J366,1)="E","EX",LEFT(J366,1))</f>
        <v>M</v>
      </c>
      <c r="S366" s="22" t="str">
        <f>_xlfn.XLOOKUP($R366,'[1]Career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366" s="22" t="str">
        <f>J366</f>
        <v>M3</v>
      </c>
      <c r="U366" s="40" t="str">
        <f t="shared" si="11"/>
        <v>M3</v>
      </c>
      <c r="V366" s="22" t="str">
        <f>_xlfn.XLOOKUP(T366,'[1]Career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366" s="41" t="str">
        <f>J366&amp;"-"&amp;G366</f>
        <v>M3-15</v>
      </c>
      <c r="X366" s="42" t="str">
        <f>G366</f>
        <v>15</v>
      </c>
      <c r="Y366" s="22" t="str">
        <f>_xlfn.XLOOKUP(W366,'[1]Career Bands &amp; Levels'!A:A,'[1]Career Bands &amp; Levels'!C:C,"No Grade Differentiator")</f>
        <v xml:space="preserve">●	Looks beyond existing methodologies and own discipline to define and resolve complex problems
●	Develops plans and delivers results in fast-changing businesses and/or regulatory environments
●	Provides input to functional or departmental strategy		
●	Manages large, potentially diverse teams of managers and/or senior professionals		
		</v>
      </c>
      <c r="Z366" s="43" t="str">
        <f>IFERROR(O366&amp;" - "&amp;G366,"--")</f>
        <v>Program Manager Operations Projects - 15</v>
      </c>
      <c r="AA366" s="44" t="str">
        <f>_xlfn.XLOOKUP($H366,'[1]SIG Qualifications Input'!$D:$D,'[1]SIG Qualifications Input'!$H:$H)</f>
        <v>University degree or equivalent and 10+ years of work experience or equivalent, 
Very experienced in functionally leading cross-functional projects</v>
      </c>
    </row>
    <row r="367" spans="1:27" ht="183" thickBot="1" x14ac:dyDescent="0.2">
      <c r="A367" s="34" t="str">
        <f>_xlfn.XLOOKUP(C367,'[1]SIG Job Families &amp; Descriptions'!F:F,'[1]SIG Job Families &amp; Descriptions'!B:B)</f>
        <v>Operations</v>
      </c>
      <c r="B367" s="34" t="str">
        <f>_xlfn.XLOOKUP(C367,'[1]SIG Job Families &amp; Descriptions'!F:F,'[1]SIG Job Families &amp; Descriptions'!D:D)</f>
        <v>Operations Projects</v>
      </c>
      <c r="C367" s="34" t="s">
        <v>98</v>
      </c>
      <c r="D367" s="30" t="str">
        <f t="shared" si="10"/>
        <v>APM</v>
      </c>
      <c r="E367" s="31" t="str">
        <f>_xlfn.XLOOKUP(C367,'[1]SIG Job Families &amp; Descriptions'!F:F,'[1]SIG Job Families &amp; Descriptions'!A:A)</f>
        <v>APM000</v>
      </c>
      <c r="F367" s="32" t="s">
        <v>60</v>
      </c>
      <c r="G367" s="33" t="s">
        <v>31</v>
      </c>
      <c r="H367" s="34" t="str">
        <f>F367&amp;"-"&amp;G367</f>
        <v>Projects-14</v>
      </c>
      <c r="I367" s="35" t="str">
        <f>IF(ISERROR(_xlfn.XLOOKUP(H367,'[1]SIG Level Structure'!D:D,'[1]SIG Level Structure'!D:D)),"0","1")</f>
        <v>1</v>
      </c>
      <c r="J367" s="36" t="str">
        <f>_xlfn.XLOOKUP($H367,'[1]SIG Level Structure'!$D:$D,'[1]SIG Level Structure'!F:F)</f>
        <v>M3</v>
      </c>
      <c r="K367" s="37" t="str">
        <f>E367&amp;"-"&amp;J367&amp;"-"&amp;G367</f>
        <v>APM000-M3-14</v>
      </c>
      <c r="L367" s="37" t="str">
        <f>IFERROR(D367&amp;"-"&amp;LEFT(J367,1),"--")</f>
        <v>APM-M</v>
      </c>
      <c r="M367" s="37" t="str">
        <f>VLOOKUP(L367,'[1]Compatible JC'!$A:$A,1,FALSE)</f>
        <v>APM-M</v>
      </c>
      <c r="N367" s="37" t="str">
        <f>IFERROR(_xlfn.XLOOKUP(H367,'[1]SIG Level Structure'!D:D,'[1]SIG Level Structure'!C:C),"--")</f>
        <v>Senior Project Manager</v>
      </c>
      <c r="O367" s="38" t="str">
        <f>IFERROR(TRIM(N367&amp;" "&amp;C367),"--")</f>
        <v>Senior Project Manager Operations Projects</v>
      </c>
      <c r="P367" s="22" t="str">
        <f>_xlfn.XLOOKUP(E367,'[1]SIG Job Families &amp; Descriptions'!A:A,'[1]SIG Job Families &amp; Descriptions'!G:G)</f>
        <v>Plans, monitors and manages internal Operations projects from initiation through completion | Leads or coordinates project planning, resourcing, staffing, supply and subcontract management, progress reporting, troubleshooting and people management | Ensures project results meet requirements regarding technical quality, reliability, schedule and cost | Monitors performance and recommends schedule changes, cost adjustments or resource additions</v>
      </c>
      <c r="Q367" s="39" t="str">
        <f>_xlfn.XLOOKUP(E367,'[1]2022 GI Position Descriptions'!E:E,'[1]2022 GI Position Descriptions'!G:G)</f>
        <v>Plans, monitors and manages internal projects from initiation through completion | Leads or coordinates project planning, resourcing, staffing, supply and subcontract management, progress reporting, troubleshooting and people management | Ensures project results meet requirements regarding technical quality, reliability, schedule and cost | Monitors performance and recommends schedule changes, cost adjustments or resource additions | Responsibilities are within the Project/Program Management Function as a generalist or in a combination of Disciplines</v>
      </c>
      <c r="R367" s="22" t="str">
        <f>IF(LEFT(J367,1)="E","EX",LEFT(J367,1))</f>
        <v>M</v>
      </c>
      <c r="S367" s="22" t="str">
        <f>_xlfn.XLOOKUP($R367,'[1]Career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367" s="22" t="str">
        <f>J367</f>
        <v>M3</v>
      </c>
      <c r="U367" s="40" t="str">
        <f t="shared" si="11"/>
        <v>M3</v>
      </c>
      <c r="V367" s="22" t="str">
        <f>_xlfn.XLOOKUP(T367,'[1]Career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367" s="41" t="str">
        <f>J367&amp;"-"&amp;G367</f>
        <v>M3-14</v>
      </c>
      <c r="X367" s="42" t="str">
        <f>G367</f>
        <v>14</v>
      </c>
      <c r="Y367" s="22" t="str">
        <f>_xlfn.XLOOKUP(W367,'[1]Career Bands &amp; Levels'!A:A,'[1]Career Bands &amp; Levels'!C:C,"No Grade Differentiator")</f>
        <v xml:space="preserve">●	Identifies applications of functional knowledge and existing methodologies to complex problems	
●	Manages large teams of professionals and/or junior managers		
		</v>
      </c>
      <c r="Z367" s="43" t="str">
        <f>IFERROR(O367&amp;" - "&amp;G367,"--")</f>
        <v>Senior Project Manager Operations Projects - 14</v>
      </c>
      <c r="AA367" s="44" t="str">
        <f>_xlfn.XLOOKUP($H367,'[1]SIG Qualifications Input'!$D:$D,'[1]SIG Qualifications Input'!$H:$H)</f>
        <v>University degree or equivalent and 8-10 years of work experience or equivalent, 
Experience in functionally leading (sub-)projects / teams</v>
      </c>
    </row>
    <row r="368" spans="1:27" ht="169" thickBot="1" x14ac:dyDescent="0.2">
      <c r="A368" s="34" t="str">
        <f>_xlfn.XLOOKUP(C368,'[1]SIG Job Families &amp; Descriptions'!F:F,'[1]SIG Job Families &amp; Descriptions'!B:B)</f>
        <v>Operations</v>
      </c>
      <c r="B368" s="34" t="str">
        <f>_xlfn.XLOOKUP(C368,'[1]SIG Job Families &amp; Descriptions'!F:F,'[1]SIG Job Families &amp; Descriptions'!D:D)</f>
        <v>Operations Projects</v>
      </c>
      <c r="C368" s="34" t="s">
        <v>98</v>
      </c>
      <c r="D368" s="30" t="str">
        <f t="shared" si="10"/>
        <v>APM</v>
      </c>
      <c r="E368" s="31" t="str">
        <f>_xlfn.XLOOKUP(C368,'[1]SIG Job Families &amp; Descriptions'!F:F,'[1]SIG Job Families &amp; Descriptions'!A:A)</f>
        <v>APM000</v>
      </c>
      <c r="F368" s="32" t="s">
        <v>60</v>
      </c>
      <c r="G368" s="33" t="s">
        <v>33</v>
      </c>
      <c r="H368" s="34" t="str">
        <f>F368&amp;"-"&amp;G368</f>
        <v>Projects-13</v>
      </c>
      <c r="I368" s="35" t="str">
        <f>IF(ISERROR(_xlfn.XLOOKUP(H368,'[1]SIG Level Structure'!D:D,'[1]SIG Level Structure'!D:D)),"0","1")</f>
        <v>1</v>
      </c>
      <c r="J368" s="36" t="str">
        <f>_xlfn.XLOOKUP($H368,'[1]SIG Level Structure'!$D:$D,'[1]SIG Level Structure'!F:F)</f>
        <v>P4</v>
      </c>
      <c r="K368" s="37" t="str">
        <f>E368&amp;"-"&amp;J368&amp;"-"&amp;G368</f>
        <v>APM000-P4-13</v>
      </c>
      <c r="L368" s="37" t="str">
        <f>IFERROR(D368&amp;"-"&amp;LEFT(J368,1),"--")</f>
        <v>APM-P</v>
      </c>
      <c r="M368" s="37" t="str">
        <f>VLOOKUP(L368,'[1]Compatible JC'!$A:$A,1,FALSE)</f>
        <v>APM-P</v>
      </c>
      <c r="N368" s="37" t="str">
        <f>IFERROR(_xlfn.XLOOKUP(H368,'[1]SIG Level Structure'!D:D,'[1]SIG Level Structure'!C:C),"--")</f>
        <v>Senior Project Manager</v>
      </c>
      <c r="O368" s="38" t="str">
        <f>IFERROR(TRIM(N368&amp;" "&amp;C368),"--")</f>
        <v>Senior Project Manager Operations Projects</v>
      </c>
      <c r="P368" s="22" t="str">
        <f>_xlfn.XLOOKUP(E368,'[1]SIG Job Families &amp; Descriptions'!A:A,'[1]SIG Job Families &amp; Descriptions'!G:G)</f>
        <v>Plans, monitors and manages internal Operations projects from initiation through completion | Leads or coordinates project planning, resourcing, staffing, supply and subcontract management, progress reporting, troubleshooting and people management | Ensures project results meet requirements regarding technical quality, reliability, schedule and cost | Monitors performance and recommends schedule changes, cost adjustments or resource additions</v>
      </c>
      <c r="Q368" s="39" t="str">
        <f>_xlfn.XLOOKUP(E368,'[1]2022 GI Position Descriptions'!E:E,'[1]2022 GI Position Descriptions'!G:G)</f>
        <v>Plans, monitors and manages internal projects from initiation through completion | Leads or coordinates project planning, resourcing, staffing, supply and subcontract management, progress reporting, troubleshooting and people management | Ensures project results meet requirements regarding technical quality, reliability, schedule and cost | Monitors performance and recommends schedule changes, cost adjustments or resource additions | Responsibilities are within the Project/Program Management Function as a generalist or in a combination of Disciplines</v>
      </c>
      <c r="R368" s="22" t="str">
        <f>IF(LEFT(J368,1)="E","EX",LEFT(J368,1))</f>
        <v>P</v>
      </c>
      <c r="S368" s="22" t="str">
        <f>_xlfn.XLOOKUP($R368,'[1]Career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68" s="22" t="str">
        <f>J368</f>
        <v>P4</v>
      </c>
      <c r="U368" s="40" t="str">
        <f t="shared" si="11"/>
        <v>P4</v>
      </c>
      <c r="V368" s="22" t="str">
        <f>_xlfn.XLOOKUP(T368,'[1]Career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368" s="41" t="str">
        <f>J368&amp;"-"&amp;G368</f>
        <v>P4-13</v>
      </c>
      <c r="X368" s="42" t="str">
        <f>G368</f>
        <v>13</v>
      </c>
      <c r="Y368" s="22" t="str">
        <f>_xlfn.XLOOKUP(W368,'[1]Career Bands &amp; Levels'!A:A,'[1]Career Bands &amp; Levels'!C:C,"No Grade Differentiator")</f>
        <v xml:space="preserve">●	Guides others in resolving complex issues in specialized area based on existing solutions and procedures		
●	Serves as an expert within own discipline		
●	May lead function teams or projects and serves as a best practices/quality resource		
●	Trains/mentors junior staff		</v>
      </c>
      <c r="Z368" s="43" t="str">
        <f>IFERROR(O368&amp;" - "&amp;G368,"--")</f>
        <v>Senior Project Manager Operations Projects - 13</v>
      </c>
      <c r="AA368" s="44" t="str">
        <f>_xlfn.XLOOKUP($H368,'[1]SIG Qualifications Input'!$D:$D,'[1]SIG Qualifications Input'!$H:$H)</f>
        <v>University degree or equivalent and 8-10 years of work experience or equivalent, 
Experience in functionally leading (sub-)projects / teams</v>
      </c>
    </row>
    <row r="369" spans="1:27" ht="169" thickBot="1" x14ac:dyDescent="0.2">
      <c r="A369" s="34" t="str">
        <f>_xlfn.XLOOKUP(C369,'[1]SIG Job Families &amp; Descriptions'!F:F,'[1]SIG Job Families &amp; Descriptions'!B:B)</f>
        <v>Operations</v>
      </c>
      <c r="B369" s="34" t="str">
        <f>_xlfn.XLOOKUP(C369,'[1]SIG Job Families &amp; Descriptions'!F:F,'[1]SIG Job Families &amp; Descriptions'!D:D)</f>
        <v>Operations Projects</v>
      </c>
      <c r="C369" s="34" t="s">
        <v>98</v>
      </c>
      <c r="D369" s="30" t="str">
        <f t="shared" si="10"/>
        <v>APM</v>
      </c>
      <c r="E369" s="31" t="str">
        <f>_xlfn.XLOOKUP(C369,'[1]SIG Job Families &amp; Descriptions'!F:F,'[1]SIG Job Families &amp; Descriptions'!A:A)</f>
        <v>APM000</v>
      </c>
      <c r="F369" s="32" t="s">
        <v>60</v>
      </c>
      <c r="G369" s="33" t="s">
        <v>34</v>
      </c>
      <c r="H369" s="34" t="str">
        <f>F369&amp;"-"&amp;G369</f>
        <v>Projects-12</v>
      </c>
      <c r="I369" s="35" t="str">
        <f>IF(ISERROR(_xlfn.XLOOKUP(H369,'[1]SIG Level Structure'!D:D,'[1]SIG Level Structure'!D:D)),"0","1")</f>
        <v>1</v>
      </c>
      <c r="J369" s="36" t="str">
        <f>_xlfn.XLOOKUP($H369,'[1]SIG Level Structure'!$D:$D,'[1]SIG Level Structure'!F:F)</f>
        <v>P3</v>
      </c>
      <c r="K369" s="37" t="str">
        <f>E369&amp;"-"&amp;J369&amp;"-"&amp;G369</f>
        <v>APM000-P3-12</v>
      </c>
      <c r="L369" s="37" t="str">
        <f>IFERROR(D369&amp;"-"&amp;LEFT(J369,1),"--")</f>
        <v>APM-P</v>
      </c>
      <c r="M369" s="37" t="str">
        <f>VLOOKUP(L369,'[1]Compatible JC'!$A:$A,1,FALSE)</f>
        <v>APM-P</v>
      </c>
      <c r="N369" s="37" t="str">
        <f>IFERROR(_xlfn.XLOOKUP(H369,'[1]SIG Level Structure'!D:D,'[1]SIG Level Structure'!C:C),"--")</f>
        <v>Project Manager</v>
      </c>
      <c r="O369" s="38" t="str">
        <f>IFERROR(TRIM(N369&amp;" "&amp;C369),"--")</f>
        <v>Project Manager Operations Projects</v>
      </c>
      <c r="P369" s="22" t="str">
        <f>_xlfn.XLOOKUP(E369,'[1]SIG Job Families &amp; Descriptions'!A:A,'[1]SIG Job Families &amp; Descriptions'!G:G)</f>
        <v>Plans, monitors and manages internal Operations projects from initiation through completion | Leads or coordinates project planning, resourcing, staffing, supply and subcontract management, progress reporting, troubleshooting and people management | Ensures project results meet requirements regarding technical quality, reliability, schedule and cost | Monitors performance and recommends schedule changes, cost adjustments or resource additions</v>
      </c>
      <c r="Q369" s="39" t="str">
        <f>_xlfn.XLOOKUP(E369,'[1]2022 GI Position Descriptions'!E:E,'[1]2022 GI Position Descriptions'!G:G)</f>
        <v>Plans, monitors and manages internal projects from initiation through completion | Leads or coordinates project planning, resourcing, staffing, supply and subcontract management, progress reporting, troubleshooting and people management | Ensures project results meet requirements regarding technical quality, reliability, schedule and cost | Monitors performance and recommends schedule changes, cost adjustments or resource additions | Responsibilities are within the Project/Program Management Function as a generalist or in a combination of Disciplines</v>
      </c>
      <c r="R369" s="22" t="str">
        <f>IF(LEFT(J369,1)="E","EX",LEFT(J369,1))</f>
        <v>P</v>
      </c>
      <c r="S369" s="22" t="str">
        <f>_xlfn.XLOOKUP($R369,'[1]Career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69" s="22" t="str">
        <f>J369</f>
        <v>P3</v>
      </c>
      <c r="U369" s="40" t="str">
        <f t="shared" si="11"/>
        <v>P3</v>
      </c>
      <c r="V369" s="22" t="str">
        <f>_xlfn.XLOOKUP(T369,'[1]Career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369" s="41" t="str">
        <f>J369&amp;"-"&amp;G369</f>
        <v>P3-12</v>
      </c>
      <c r="X369" s="42" t="str">
        <f>G369</f>
        <v>12</v>
      </c>
      <c r="Y369" s="22" t="str">
        <f>_xlfn.XLOOKUP(W369,'[1]Career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369" s="43" t="str">
        <f>IFERROR(O369&amp;" - "&amp;G369,"--")</f>
        <v>Project Manager Operations Projects - 12</v>
      </c>
      <c r="AA369" s="44" t="str">
        <f>_xlfn.XLOOKUP($H369,'[1]SIG Qualifications Input'!$D:$D,'[1]SIG Qualifications Input'!$H:$H)</f>
        <v>University degree or equivalent and 4-8 years of work experience or equivalent, 
Initial experience in functionally leading (sub-) projects</v>
      </c>
    </row>
    <row r="370" spans="1:27" ht="169" thickBot="1" x14ac:dyDescent="0.2">
      <c r="A370" s="34" t="str">
        <f>_xlfn.XLOOKUP(C370,'[1]SIG Job Families &amp; Descriptions'!F:F,'[1]SIG Job Families &amp; Descriptions'!B:B)</f>
        <v>Operations</v>
      </c>
      <c r="B370" s="34" t="str">
        <f>_xlfn.XLOOKUP(C370,'[1]SIG Job Families &amp; Descriptions'!F:F,'[1]SIG Job Families &amp; Descriptions'!D:D)</f>
        <v>Operations Projects</v>
      </c>
      <c r="C370" s="34" t="s">
        <v>98</v>
      </c>
      <c r="D370" s="30" t="str">
        <f t="shared" si="10"/>
        <v>APM</v>
      </c>
      <c r="E370" s="31" t="str">
        <f>_xlfn.XLOOKUP(C370,'[1]SIG Job Families &amp; Descriptions'!F:F,'[1]SIG Job Families &amp; Descriptions'!A:A)</f>
        <v>APM000</v>
      </c>
      <c r="F370" s="32" t="s">
        <v>60</v>
      </c>
      <c r="G370" s="33" t="s">
        <v>35</v>
      </c>
      <c r="H370" s="34" t="str">
        <f>F370&amp;"-"&amp;G370</f>
        <v>Projects-11</v>
      </c>
      <c r="I370" s="35" t="str">
        <f>IF(ISERROR(_xlfn.XLOOKUP(H370,'[1]SIG Level Structure'!D:D,'[1]SIG Level Structure'!D:D)),"0","1")</f>
        <v>1</v>
      </c>
      <c r="J370" s="36" t="str">
        <f>_xlfn.XLOOKUP($H370,'[1]SIG Level Structure'!$D:$D,'[1]SIG Level Structure'!F:F)</f>
        <v>P3</v>
      </c>
      <c r="K370" s="37" t="str">
        <f>E370&amp;"-"&amp;J370&amp;"-"&amp;G370</f>
        <v>APM000-P3-11</v>
      </c>
      <c r="L370" s="37" t="str">
        <f>IFERROR(D370&amp;"-"&amp;LEFT(J370,1),"--")</f>
        <v>APM-P</v>
      </c>
      <c r="M370" s="37" t="str">
        <f>VLOOKUP(L370,'[1]Compatible JC'!$A:$A,1,FALSE)</f>
        <v>APM-P</v>
      </c>
      <c r="N370" s="37" t="str">
        <f>IFERROR(_xlfn.XLOOKUP(H370,'[1]SIG Level Structure'!D:D,'[1]SIG Level Structure'!C:C),"--")</f>
        <v>Project Manager</v>
      </c>
      <c r="O370" s="38" t="str">
        <f>IFERROR(TRIM(N370&amp;" "&amp;C370),"--")</f>
        <v>Project Manager Operations Projects</v>
      </c>
      <c r="P370" s="22" t="str">
        <f>_xlfn.XLOOKUP(E370,'[1]SIG Job Families &amp; Descriptions'!A:A,'[1]SIG Job Families &amp; Descriptions'!G:G)</f>
        <v>Plans, monitors and manages internal Operations projects from initiation through completion | Leads or coordinates project planning, resourcing, staffing, supply and subcontract management, progress reporting, troubleshooting and people management | Ensures project results meet requirements regarding technical quality, reliability, schedule and cost | Monitors performance and recommends schedule changes, cost adjustments or resource additions</v>
      </c>
      <c r="Q370" s="39" t="str">
        <f>_xlfn.XLOOKUP(E370,'[1]2022 GI Position Descriptions'!E:E,'[1]2022 GI Position Descriptions'!G:G)</f>
        <v>Plans, monitors and manages internal projects from initiation through completion | Leads or coordinates project planning, resourcing, staffing, supply and subcontract management, progress reporting, troubleshooting and people management | Ensures project results meet requirements regarding technical quality, reliability, schedule and cost | Monitors performance and recommends schedule changes, cost adjustments or resource additions | Responsibilities are within the Project/Program Management Function as a generalist or in a combination of Disciplines</v>
      </c>
      <c r="R370" s="22" t="str">
        <f>IF(LEFT(J370,1)="E","EX",LEFT(J370,1))</f>
        <v>P</v>
      </c>
      <c r="S370" s="22" t="str">
        <f>_xlfn.XLOOKUP($R370,'[1]Career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70" s="22" t="str">
        <f>J370</f>
        <v>P3</v>
      </c>
      <c r="U370" s="40" t="str">
        <f t="shared" si="11"/>
        <v>P3</v>
      </c>
      <c r="V370" s="22" t="str">
        <f>_xlfn.XLOOKUP(T370,'[1]Career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370" s="41" t="str">
        <f>J370&amp;"-"&amp;G370</f>
        <v>P3-11</v>
      </c>
      <c r="X370" s="42" t="str">
        <f>G370</f>
        <v>11</v>
      </c>
      <c r="Y370" s="22" t="str">
        <f>_xlfn.XLOOKUP(W370,'[1]Career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370" s="43" t="str">
        <f>IFERROR(O370&amp;" - "&amp;G370,"--")</f>
        <v>Project Manager Operations Projects - 11</v>
      </c>
      <c r="AA370" s="44" t="str">
        <f>_xlfn.XLOOKUP($H370,'[1]SIG Qualifications Input'!$D:$D,'[1]SIG Qualifications Input'!$H:$H)</f>
        <v>University degree or equivalent and 4-8 years of work experience or equivalent, 
Initial experience in functionally leading (sub-) projects</v>
      </c>
    </row>
    <row r="371" spans="1:27" ht="169" thickBot="1" x14ac:dyDescent="0.2">
      <c r="A371" s="34" t="str">
        <f>_xlfn.XLOOKUP(C371,'[1]SIG Job Families &amp; Descriptions'!F:F,'[1]SIG Job Families &amp; Descriptions'!B:B)</f>
        <v>Operations</v>
      </c>
      <c r="B371" s="34" t="str">
        <f>_xlfn.XLOOKUP(C371,'[1]SIG Job Families &amp; Descriptions'!F:F,'[1]SIG Job Families &amp; Descriptions'!D:D)</f>
        <v>Operations Projects</v>
      </c>
      <c r="C371" s="34" t="s">
        <v>98</v>
      </c>
      <c r="D371" s="30" t="str">
        <f t="shared" si="10"/>
        <v>APM</v>
      </c>
      <c r="E371" s="31" t="str">
        <f>_xlfn.XLOOKUP(C371,'[1]SIG Job Families &amp; Descriptions'!F:F,'[1]SIG Job Families &amp; Descriptions'!A:A)</f>
        <v>APM000</v>
      </c>
      <c r="F371" s="32" t="s">
        <v>60</v>
      </c>
      <c r="G371" s="33" t="s">
        <v>36</v>
      </c>
      <c r="H371" s="34" t="str">
        <f>F371&amp;"-"&amp;G371</f>
        <v>Projects-10</v>
      </c>
      <c r="I371" s="35" t="str">
        <f>IF(ISERROR(_xlfn.XLOOKUP(H371,'[1]SIG Level Structure'!D:D,'[1]SIG Level Structure'!D:D)),"0","1")</f>
        <v>1</v>
      </c>
      <c r="J371" s="36" t="str">
        <f>_xlfn.XLOOKUP($H371,'[1]SIG Level Structure'!$D:$D,'[1]SIG Level Structure'!F:F)</f>
        <v>P2</v>
      </c>
      <c r="K371" s="37" t="str">
        <f>E371&amp;"-"&amp;J371&amp;"-"&amp;G371</f>
        <v>APM000-P2-10</v>
      </c>
      <c r="L371" s="37" t="str">
        <f>IFERROR(D371&amp;"-"&amp;LEFT(J371,1),"--")</f>
        <v>APM-P</v>
      </c>
      <c r="M371" s="37" t="str">
        <f>VLOOKUP(L371,'[1]Compatible JC'!$A:$A,1,FALSE)</f>
        <v>APM-P</v>
      </c>
      <c r="N371" s="37" t="str">
        <f>IFERROR(_xlfn.XLOOKUP(H371,'[1]SIG Level Structure'!D:D,'[1]SIG Level Structure'!C:C),"--")</f>
        <v>Senior Project Coordinator</v>
      </c>
      <c r="O371" s="38" t="str">
        <f>IFERROR(TRIM(N371&amp;" "&amp;C371),"--")</f>
        <v>Senior Project Coordinator Operations Projects</v>
      </c>
      <c r="P371" s="22" t="str">
        <f>_xlfn.XLOOKUP(E371,'[1]SIG Job Families &amp; Descriptions'!A:A,'[1]SIG Job Families &amp; Descriptions'!G:G)</f>
        <v>Plans, monitors and manages internal Operations projects from initiation through completion | Leads or coordinates project planning, resourcing, staffing, supply and subcontract management, progress reporting, troubleshooting and people management | Ensures project results meet requirements regarding technical quality, reliability, schedule and cost | Monitors performance and recommends schedule changes, cost adjustments or resource additions</v>
      </c>
      <c r="Q371" s="39" t="str">
        <f>_xlfn.XLOOKUP(E371,'[1]2022 GI Position Descriptions'!E:E,'[1]2022 GI Position Descriptions'!G:G)</f>
        <v>Plans, monitors and manages internal projects from initiation through completion | Leads or coordinates project planning, resourcing, staffing, supply and subcontract management, progress reporting, troubleshooting and people management | Ensures project results meet requirements regarding technical quality, reliability, schedule and cost | Monitors performance and recommends schedule changes, cost adjustments or resource additions | Responsibilities are within the Project/Program Management Function as a generalist or in a combination of Disciplines</v>
      </c>
      <c r="R371" s="22" t="str">
        <f>IF(LEFT(J371,1)="E","EX",LEFT(J371,1))</f>
        <v>P</v>
      </c>
      <c r="S371" s="22" t="str">
        <f>_xlfn.XLOOKUP($R371,'[1]Career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71" s="22" t="str">
        <f>J371</f>
        <v>P2</v>
      </c>
      <c r="U371" s="40" t="str">
        <f t="shared" si="11"/>
        <v>P2</v>
      </c>
      <c r="V371" s="22" t="str">
        <f>_xlfn.XLOOKUP(T371,'[1]Career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371" s="41" t="str">
        <f>J371&amp;"-"&amp;G371</f>
        <v>P2-10</v>
      </c>
      <c r="X371" s="42" t="str">
        <f>G371</f>
        <v>10</v>
      </c>
      <c r="Y371" s="22" t="str">
        <f>_xlfn.XLOOKUP(W371,'[1]Career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371" s="43" t="str">
        <f>IFERROR(O371&amp;" - "&amp;G371,"--")</f>
        <v>Senior Project Coordinator Operations Projects - 10</v>
      </c>
      <c r="AA371" s="44" t="str">
        <f>_xlfn.XLOOKUP($H371,'[1]SIG Qualifications Input'!$D:$D,'[1]SIG Qualifications Input'!$H:$H)</f>
        <v>University degree or equivalent and 2-4 years of work experience or equivalent</v>
      </c>
    </row>
    <row r="372" spans="1:27" ht="169" thickBot="1" x14ac:dyDescent="0.2">
      <c r="A372" s="34" t="str">
        <f>_xlfn.XLOOKUP(C372,'[1]SIG Job Families &amp; Descriptions'!F:F,'[1]SIG Job Families &amp; Descriptions'!B:B)</f>
        <v>Operations</v>
      </c>
      <c r="B372" s="34" t="str">
        <f>_xlfn.XLOOKUP(C372,'[1]SIG Job Families &amp; Descriptions'!F:F,'[1]SIG Job Families &amp; Descriptions'!D:D)</f>
        <v>Operations Projects</v>
      </c>
      <c r="C372" s="34" t="s">
        <v>98</v>
      </c>
      <c r="D372" s="30" t="str">
        <f t="shared" si="10"/>
        <v>APM</v>
      </c>
      <c r="E372" s="31" t="str">
        <f>_xlfn.XLOOKUP(C372,'[1]SIG Job Families &amp; Descriptions'!F:F,'[1]SIG Job Families &amp; Descriptions'!A:A)</f>
        <v>APM000</v>
      </c>
      <c r="F372" s="32" t="s">
        <v>60</v>
      </c>
      <c r="G372" s="33" t="s">
        <v>37</v>
      </c>
      <c r="H372" s="34" t="str">
        <f>F372&amp;"-"&amp;G372</f>
        <v>Projects-09</v>
      </c>
      <c r="I372" s="35" t="str">
        <f>IF(ISERROR(_xlfn.XLOOKUP(H372,'[1]SIG Level Structure'!D:D,'[1]SIG Level Structure'!D:D)),"0","1")</f>
        <v>1</v>
      </c>
      <c r="J372" s="36" t="str">
        <f>_xlfn.XLOOKUP($H372,'[1]SIG Level Structure'!$D:$D,'[1]SIG Level Structure'!F:F)</f>
        <v>P2</v>
      </c>
      <c r="K372" s="37" t="str">
        <f>E372&amp;"-"&amp;J372&amp;"-"&amp;G372</f>
        <v>APM000-P2-09</v>
      </c>
      <c r="L372" s="37" t="str">
        <f>IFERROR(D372&amp;"-"&amp;LEFT(J372,1),"--")</f>
        <v>APM-P</v>
      </c>
      <c r="M372" s="37" t="str">
        <f>VLOOKUP(L372,'[1]Compatible JC'!$A:$A,1,FALSE)</f>
        <v>APM-P</v>
      </c>
      <c r="N372" s="37" t="str">
        <f>IFERROR(_xlfn.XLOOKUP(H372,'[1]SIG Level Structure'!D:D,'[1]SIG Level Structure'!C:C),"--")</f>
        <v>Senior Project Coordinator</v>
      </c>
      <c r="O372" s="38" t="str">
        <f>IFERROR(TRIM(N372&amp;" "&amp;C372),"--")</f>
        <v>Senior Project Coordinator Operations Projects</v>
      </c>
      <c r="P372" s="22" t="str">
        <f>_xlfn.XLOOKUP(E372,'[1]SIG Job Families &amp; Descriptions'!A:A,'[1]SIG Job Families &amp; Descriptions'!G:G)</f>
        <v>Plans, monitors and manages internal Operations projects from initiation through completion | Leads or coordinates project planning, resourcing, staffing, supply and subcontract management, progress reporting, troubleshooting and people management | Ensures project results meet requirements regarding technical quality, reliability, schedule and cost | Monitors performance and recommends schedule changes, cost adjustments or resource additions</v>
      </c>
      <c r="Q372" s="39" t="str">
        <f>_xlfn.XLOOKUP(E372,'[1]2022 GI Position Descriptions'!E:E,'[1]2022 GI Position Descriptions'!G:G)</f>
        <v>Plans, monitors and manages internal projects from initiation through completion | Leads or coordinates project planning, resourcing, staffing, supply and subcontract management, progress reporting, troubleshooting and people management | Ensures project results meet requirements regarding technical quality, reliability, schedule and cost | Monitors performance and recommends schedule changes, cost adjustments or resource additions | Responsibilities are within the Project/Program Management Function as a generalist or in a combination of Disciplines</v>
      </c>
      <c r="R372" s="22" t="str">
        <f>IF(LEFT(J372,1)="E","EX",LEFT(J372,1))</f>
        <v>P</v>
      </c>
      <c r="S372" s="22" t="str">
        <f>_xlfn.XLOOKUP($R372,'[1]Career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72" s="22" t="str">
        <f>J372</f>
        <v>P2</v>
      </c>
      <c r="U372" s="40" t="str">
        <f t="shared" si="11"/>
        <v>P2</v>
      </c>
      <c r="V372" s="22" t="str">
        <f>_xlfn.XLOOKUP(T372,'[1]Career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372" s="41" t="str">
        <f>J372&amp;"-"&amp;G372</f>
        <v>P2-09</v>
      </c>
      <c r="X372" s="42" t="str">
        <f>G372</f>
        <v>09</v>
      </c>
      <c r="Y372" s="22" t="str">
        <f>_xlfn.XLOOKUP(W372,'[1]Career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372" s="43" t="str">
        <f>IFERROR(O372&amp;" - "&amp;G372,"--")</f>
        <v>Senior Project Coordinator Operations Projects - 09</v>
      </c>
      <c r="AA372" s="44" t="str">
        <f>_xlfn.XLOOKUP($H372,'[1]SIG Qualifications Input'!$D:$D,'[1]SIG Qualifications Input'!$H:$H)</f>
        <v>University degree or equivalent and 2-4 years of work experience or equivalent</v>
      </c>
    </row>
    <row r="373" spans="1:27" ht="169" thickBot="1" x14ac:dyDescent="0.2">
      <c r="A373" s="34" t="str">
        <f>_xlfn.XLOOKUP(C373,'[1]SIG Job Families &amp; Descriptions'!F:F,'[1]SIG Job Families &amp; Descriptions'!B:B)</f>
        <v>Operations</v>
      </c>
      <c r="B373" s="34" t="str">
        <f>_xlfn.XLOOKUP(C373,'[1]SIG Job Families &amp; Descriptions'!F:F,'[1]SIG Job Families &amp; Descriptions'!D:D)</f>
        <v>Operations Projects</v>
      </c>
      <c r="C373" s="34" t="s">
        <v>98</v>
      </c>
      <c r="D373" s="30" t="str">
        <f t="shared" si="10"/>
        <v>APM</v>
      </c>
      <c r="E373" s="31" t="str">
        <f>_xlfn.XLOOKUP(C373,'[1]SIG Job Families &amp; Descriptions'!F:F,'[1]SIG Job Families &amp; Descriptions'!A:A)</f>
        <v>APM000</v>
      </c>
      <c r="F373" s="32" t="s">
        <v>60</v>
      </c>
      <c r="G373" s="33" t="s">
        <v>43</v>
      </c>
      <c r="H373" s="34" t="str">
        <f>F373&amp;"-"&amp;G373</f>
        <v>Projects-08</v>
      </c>
      <c r="I373" s="35" t="str">
        <f>IF(ISERROR(_xlfn.XLOOKUP(H373,'[1]SIG Level Structure'!D:D,'[1]SIG Level Structure'!D:D)),"0","1")</f>
        <v>1</v>
      </c>
      <c r="J373" s="36" t="str">
        <f>_xlfn.XLOOKUP($H373,'[1]SIG Level Structure'!$D:$D,'[1]SIG Level Structure'!F:F)</f>
        <v>P1</v>
      </c>
      <c r="K373" s="37" t="str">
        <f>E373&amp;"-"&amp;J373&amp;"-"&amp;G373</f>
        <v>APM000-P1-08</v>
      </c>
      <c r="L373" s="37" t="str">
        <f>IFERROR(D373&amp;"-"&amp;LEFT(J373,1),"--")</f>
        <v>APM-P</v>
      </c>
      <c r="M373" s="37" t="str">
        <f>VLOOKUP(L373,'[1]Compatible JC'!$A:$A,1,FALSE)</f>
        <v>APM-P</v>
      </c>
      <c r="N373" s="37" t="str">
        <f>IFERROR(_xlfn.XLOOKUP(H373,'[1]SIG Level Structure'!D:D,'[1]SIG Level Structure'!C:C),"--")</f>
        <v>Project Coordinator</v>
      </c>
      <c r="O373" s="38" t="str">
        <f>IFERROR(TRIM(N373&amp;" "&amp;C373),"--")</f>
        <v>Project Coordinator Operations Projects</v>
      </c>
      <c r="P373" s="22" t="str">
        <f>_xlfn.XLOOKUP(E373,'[1]SIG Job Families &amp; Descriptions'!A:A,'[1]SIG Job Families &amp; Descriptions'!G:G)</f>
        <v>Plans, monitors and manages internal Operations projects from initiation through completion | Leads or coordinates project planning, resourcing, staffing, supply and subcontract management, progress reporting, troubleshooting and people management | Ensures project results meet requirements regarding technical quality, reliability, schedule and cost | Monitors performance and recommends schedule changes, cost adjustments or resource additions</v>
      </c>
      <c r="Q373" s="39" t="str">
        <f>_xlfn.XLOOKUP(E373,'[1]2022 GI Position Descriptions'!E:E,'[1]2022 GI Position Descriptions'!G:G)</f>
        <v>Plans, monitors and manages internal projects from initiation through completion | Leads or coordinates project planning, resourcing, staffing, supply and subcontract management, progress reporting, troubleshooting and people management | Ensures project results meet requirements regarding technical quality, reliability, schedule and cost | Monitors performance and recommends schedule changes, cost adjustments or resource additions | Responsibilities are within the Project/Program Management Function as a generalist or in a combination of Disciplines</v>
      </c>
      <c r="R373" s="22" t="str">
        <f>IF(LEFT(J373,1)="E","EX",LEFT(J373,1))</f>
        <v>P</v>
      </c>
      <c r="S373" s="22" t="str">
        <f>_xlfn.XLOOKUP($R373,'[1]Career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73" s="22" t="str">
        <f>J373</f>
        <v>P1</v>
      </c>
      <c r="U373" s="40" t="str">
        <f t="shared" si="11"/>
        <v>P1</v>
      </c>
      <c r="V373" s="22" t="str">
        <f>_xlfn.XLOOKUP(T373,'[1]Career Bands &amp; Levels'!A:A,'[1]Career Bands &amp; Levels'!C:C)</f>
        <v xml:space="preserve">●	Performs routine assignments in the entry level of the Professional Career Band		
●	Typically requires a college or university degree or the equivalent work experience and has conceptual knowledge of fundamental theories, principles and practices 		
●	Has no discretion to vary from established procedures by performing structured work assignments		
●	Uses existing procedures to solve routine or standard problems		
●	Receives instruction, guidance and direction from more senior level roles		</v>
      </c>
      <c r="W373" s="41" t="str">
        <f>J373&amp;"-"&amp;G373</f>
        <v>P1-08</v>
      </c>
      <c r="X373" s="42" t="str">
        <f>G373</f>
        <v>08</v>
      </c>
      <c r="Y373" s="22" t="str">
        <f>_xlfn.XLOOKUP(W373,'[1]Career Bands &amp; Levels'!A:A,'[1]Career Bands &amp; Levels'!C:C,"No Grade Differentiator")</f>
        <v>No Grade Differentiator</v>
      </c>
      <c r="Z373" s="43" t="str">
        <f>IFERROR(O373&amp;" - "&amp;G373,"--")</f>
        <v>Project Coordinator Operations Projects - 08</v>
      </c>
      <c r="AA373" s="44" t="str">
        <f>_xlfn.XLOOKUP($H373,'[1]SIG Qualifications Input'!$D:$D,'[1]SIG Qualifications Input'!$H:$H)</f>
        <v>University degree or equivalent and 0-1 year of work experience or equivalent</v>
      </c>
    </row>
    <row r="374" spans="1:27" ht="267" thickBot="1" x14ac:dyDescent="0.2">
      <c r="A374" s="34" t="str">
        <f>_xlfn.XLOOKUP(C374,'[1]SIG Job Families &amp; Descriptions'!F:F,'[1]SIG Job Families &amp; Descriptions'!B:B)</f>
        <v>Operations</v>
      </c>
      <c r="B374" s="34" t="str">
        <f>_xlfn.XLOOKUP(C374,'[1]SIG Job Families &amp; Descriptions'!F:F,'[1]SIG Job Families &amp; Descriptions'!D:D)</f>
        <v>Production Process</v>
      </c>
      <c r="C374" s="34" t="s">
        <v>97</v>
      </c>
      <c r="D374" s="30" t="str">
        <f t="shared" si="10"/>
        <v>AOM</v>
      </c>
      <c r="E374" s="31" t="str">
        <f>_xlfn.XLOOKUP(C374,'[1]SIG Job Families &amp; Descriptions'!F:F,'[1]SIG Job Families &amp; Descriptions'!A:A)</f>
        <v>AOM015</v>
      </c>
      <c r="F374" s="32" t="s">
        <v>32</v>
      </c>
      <c r="G374" s="33" t="s">
        <v>53</v>
      </c>
      <c r="H374" s="34" t="str">
        <f>F374&amp;"-"&amp;G374</f>
        <v>Professional-06</v>
      </c>
      <c r="I374" s="35" t="str">
        <f>IF(ISERROR(_xlfn.XLOOKUP(H374,'[1]SIG Level Structure'!D:D,'[1]SIG Level Structure'!D:D)),"0","1")</f>
        <v>1</v>
      </c>
      <c r="J374" s="36" t="str">
        <f>_xlfn.XLOOKUP($H374,'[1]SIG Level Structure'!$D:$D,'[1]SIG Level Structure'!F:F)</f>
        <v>U2</v>
      </c>
      <c r="K374" s="37" t="str">
        <f>E374&amp;"-"&amp;J374&amp;"-"&amp;G374</f>
        <v>AOM015-U2-06</v>
      </c>
      <c r="L374" s="37" t="str">
        <f>IFERROR(D374&amp;"-"&amp;LEFT(J374,1),"--")</f>
        <v>AOM-U</v>
      </c>
      <c r="M374" s="37" t="e">
        <f>VLOOKUP(L374,'[1]Compatible JC'!$A:$A,1,FALSE)</f>
        <v>#N/A</v>
      </c>
      <c r="N374" s="37" t="str">
        <f>IFERROR(_xlfn.XLOOKUP(H374,'[1]SIG Level Structure'!D:D,'[1]SIG Level Structure'!C:C),"--")</f>
        <v>Assistant / Analyst</v>
      </c>
      <c r="O374" s="38" t="str">
        <f>IFERROR(TRIM(N374&amp;" "&amp;C374),"--")</f>
        <v>Assistant / Analyst Production Process</v>
      </c>
      <c r="P374" s="22" t="str">
        <f>_xlfn.XLOOKUP(E374,'[1]SIG Job Families &amp; Descriptions'!A:A,'[1]SIG Job Families &amp; Descriptions'!G:G)</f>
        <v xml:space="preserve">Systematize and optimize process parameters and process specifications. Define processing requirements for new and further devlopment of manufacturing processes. Sets up equipment feeding, speed and temperature for optimal performance. Selects and measures raw materials and parts to specifications to prepare for production processing. Resolves issues related to the organization's production, machinery, processing and/or packaging operations. May monitor meters, gauges, valves, flow ratios, temperatures, pressures, and related controls and guidelines to ensure adherence to production/process specifications in support of maintenance engineering. Reports any malfunctions or abnormalities and makes minor adjustments and repairs to equipment. Performs all work in accordance with established safety procedures
</v>
      </c>
      <c r="Q374" s="39" t="str">
        <f>_xlfn.XLOOKUP(E374,'[1]2022 GI Position Descriptions'!E:E,'[1]2022 GI Position Descriptions'!G:G)</f>
        <v>Sets up and operates automatic or semi-automatic machines and related equipment in a continuous production/processing operation | Monitors meters, gauges, valves, flow ratios, temperatures, pressures, and related controls and guidelines to ensure adherence to production/process specifications | Reports any malfunctions or abnormalities and makes minor adjustments and repairs to equipment | Performs all work in accordance with established safety procedures</v>
      </c>
      <c r="R374" s="22" t="str">
        <f>IF(LEFT(J374,1)="E","EX",LEFT(J374,1))</f>
        <v>U</v>
      </c>
      <c r="S374" s="22" t="str">
        <f>_xlfn.XLOOKUP($R374,'[1]Career Bands &amp; Levels'!A:A,'[1]Career Bands &amp; Levels'!C:C)</f>
        <v>● Performs clerical/administrative or specialized support tasks in an office, field or retail store/site setting
● May require vocational training or the equivalent experience, but does not require a university degree</v>
      </c>
      <c r="T374" s="22" t="str">
        <f>J374</f>
        <v>U2</v>
      </c>
      <c r="U374" s="40" t="str">
        <f t="shared" si="11"/>
        <v>U2</v>
      </c>
      <c r="V374" s="22" t="str">
        <f>_xlfn.XLOOKUP(T374,'[1]Career Bands &amp; Levels'!A:A,'[1]Career Bands &amp; Levels'!C:C)</f>
        <v xml:space="preserve">●	Has working knowledge and skills developed through formal training or work experience		
●	Works within established procedures with a moderate degree of supervision		
●	Identifies the problem and all relevant issues in straightforward situations, assesses each using standard procedures and makes sound decisions		</v>
      </c>
      <c r="W374" s="41" t="str">
        <f>J374&amp;"-"&amp;G374</f>
        <v>U2-06</v>
      </c>
      <c r="X374" s="42" t="str">
        <f>G374</f>
        <v>06</v>
      </c>
      <c r="Y374" s="22" t="str">
        <f>_xlfn.XLOOKUP(W374,'[1]Career Bands &amp; Levels'!A:A,'[1]Career Bands &amp; Levels'!C:C,"No Grade Differentiator")</f>
        <v xml:space="preserve">●	Has prior relevant training or related work experience		
●	Performs routine tasks following specific instructions or under close supervision		
●	Work is clearly defined and completed according to instruction		</v>
      </c>
      <c r="Z374" s="43" t="str">
        <f>IFERROR(O374&amp;" - "&amp;G374,"--")</f>
        <v>Assistant / Analyst Production Process - 06</v>
      </c>
      <c r="AA374" s="44" t="str">
        <f>_xlfn.XLOOKUP($H374,'[1]SIG Qualifications Input'!$D:$D,'[1]SIG Qualifications Input'!$H:$H)</f>
        <v>Vocational training in e.g. commercial field or equivalent work experience. Up to 5 years of experience, possibly further internal trainings.</v>
      </c>
    </row>
    <row r="375" spans="1:27" ht="267" thickBot="1" x14ac:dyDescent="0.2">
      <c r="A375" s="34" t="str">
        <f>_xlfn.XLOOKUP(C375,'[1]SIG Job Families &amp; Descriptions'!F:F,'[1]SIG Job Families &amp; Descriptions'!B:B)</f>
        <v>Operations</v>
      </c>
      <c r="B375" s="34" t="str">
        <f>_xlfn.XLOOKUP(C375,'[1]SIG Job Families &amp; Descriptions'!F:F,'[1]SIG Job Families &amp; Descriptions'!D:D)</f>
        <v>Production Process</v>
      </c>
      <c r="C375" s="34" t="s">
        <v>97</v>
      </c>
      <c r="D375" s="30" t="str">
        <f t="shared" si="10"/>
        <v>AOM</v>
      </c>
      <c r="E375" s="31" t="str">
        <f>_xlfn.XLOOKUP(C375,'[1]SIG Job Families &amp; Descriptions'!F:F,'[1]SIG Job Families &amp; Descriptions'!A:A)</f>
        <v>AOM015</v>
      </c>
      <c r="F375" s="32" t="s">
        <v>32</v>
      </c>
      <c r="G375" s="33" t="s">
        <v>54</v>
      </c>
      <c r="H375" s="34" t="str">
        <f>F375&amp;"-"&amp;G375</f>
        <v>Professional-05</v>
      </c>
      <c r="I375" s="35" t="str">
        <f>IF(ISERROR(_xlfn.XLOOKUP(H375,'[1]SIG Level Structure'!D:D,'[1]SIG Level Structure'!D:D)),"0","1")</f>
        <v>1</v>
      </c>
      <c r="J375" s="36" t="str">
        <f>_xlfn.XLOOKUP($H375,'[1]SIG Level Structure'!$D:$D,'[1]SIG Level Structure'!F:F)</f>
        <v>U2</v>
      </c>
      <c r="K375" s="37" t="str">
        <f>E375&amp;"-"&amp;J375&amp;"-"&amp;G375</f>
        <v>AOM015-U2-05</v>
      </c>
      <c r="L375" s="37" t="str">
        <f>IFERROR(D375&amp;"-"&amp;LEFT(J375,1),"--")</f>
        <v>AOM-U</v>
      </c>
      <c r="M375" s="37" t="e">
        <f>VLOOKUP(L375,'[1]Compatible JC'!$A:$A,1,FALSE)</f>
        <v>#N/A</v>
      </c>
      <c r="N375" s="37" t="str">
        <f>IFERROR(_xlfn.XLOOKUP(H375,'[1]SIG Level Structure'!D:D,'[1]SIG Level Structure'!C:C),"--")</f>
        <v>Assistant / Analyst</v>
      </c>
      <c r="O375" s="38" t="str">
        <f>IFERROR(TRIM(N375&amp;" "&amp;C375),"--")</f>
        <v>Assistant / Analyst Production Process</v>
      </c>
      <c r="P375" s="22" t="str">
        <f>_xlfn.XLOOKUP(E375,'[1]SIG Job Families &amp; Descriptions'!A:A,'[1]SIG Job Families &amp; Descriptions'!G:G)</f>
        <v xml:space="preserve">Systematize and optimize process parameters and process specifications. Define processing requirements for new and further devlopment of manufacturing processes. Sets up equipment feeding, speed and temperature for optimal performance. Selects and measures raw materials and parts to specifications to prepare for production processing. Resolves issues related to the organization's production, machinery, processing and/or packaging operations. May monitor meters, gauges, valves, flow ratios, temperatures, pressures, and related controls and guidelines to ensure adherence to production/process specifications in support of maintenance engineering. Reports any malfunctions or abnormalities and makes minor adjustments and repairs to equipment. Performs all work in accordance with established safety procedures
</v>
      </c>
      <c r="Q375" s="39" t="str">
        <f>_xlfn.XLOOKUP(E375,'[1]2022 GI Position Descriptions'!E:E,'[1]2022 GI Position Descriptions'!G:G)</f>
        <v>Sets up and operates automatic or semi-automatic machines and related equipment in a continuous production/processing operation | Monitors meters, gauges, valves, flow ratios, temperatures, pressures, and related controls and guidelines to ensure adherence to production/process specifications | Reports any malfunctions or abnormalities and makes minor adjustments and repairs to equipment | Performs all work in accordance with established safety procedures</v>
      </c>
      <c r="R375" s="22" t="str">
        <f>IF(LEFT(J375,1)="E","EX",LEFT(J375,1))</f>
        <v>U</v>
      </c>
      <c r="S375" s="22" t="str">
        <f>_xlfn.XLOOKUP($R375,'[1]Career Bands &amp; Levels'!A:A,'[1]Career Bands &amp; Levels'!C:C)</f>
        <v>● Performs clerical/administrative or specialized support tasks in an office, field or retail store/site setting
● May require vocational training or the equivalent experience, but does not require a university degree</v>
      </c>
      <c r="T375" s="22" t="str">
        <f>J375</f>
        <v>U2</v>
      </c>
      <c r="U375" s="40" t="str">
        <f t="shared" si="11"/>
        <v>U2</v>
      </c>
      <c r="V375" s="22" t="str">
        <f>_xlfn.XLOOKUP(T375,'[1]Career Bands &amp; Levels'!A:A,'[1]Career Bands &amp; Levels'!C:C)</f>
        <v xml:space="preserve">●	Has working knowledge and skills developed through formal training or work experience		
●	Works within established procedures with a moderate degree of supervision		
●	Identifies the problem and all relevant issues in straightforward situations, assesses each using standard procedures and makes sound decisions		</v>
      </c>
      <c r="W375" s="41" t="str">
        <f>J375&amp;"-"&amp;G375</f>
        <v>U2-05</v>
      </c>
      <c r="X375" s="42" t="str">
        <f>G375</f>
        <v>05</v>
      </c>
      <c r="Y375" s="22" t="str">
        <f>_xlfn.XLOOKUP(W375,'[1]Career Bands &amp; Levels'!A:A,'[1]Career Bands &amp; Levels'!C:C,"No Grade Differentiator")</f>
        <v xml:space="preserve">●	Has limited prior relevant training or work experience		
●	Has limited discretion to vary from established procedures		</v>
      </c>
      <c r="Z375" s="43" t="str">
        <f>IFERROR(O375&amp;" - "&amp;G375,"--")</f>
        <v>Assistant / Analyst Production Process - 05</v>
      </c>
      <c r="AA375" s="44" t="str">
        <f>_xlfn.XLOOKUP($H375,'[1]SIG Qualifications Input'!$D:$D,'[1]SIG Qualifications Input'!$H:$H)</f>
        <v>Vocational training in e.g. commercial field or equivalent work experience. Up to 5 years of experience, possibly further internal trainings.</v>
      </c>
    </row>
    <row r="376" spans="1:27" ht="267" thickBot="1" x14ac:dyDescent="0.2">
      <c r="A376" s="34" t="str">
        <f>_xlfn.XLOOKUP(C376,'[1]SIG Job Families &amp; Descriptions'!F:F,'[1]SIG Job Families &amp; Descriptions'!B:B)</f>
        <v>Operations</v>
      </c>
      <c r="B376" s="34" t="str">
        <f>_xlfn.XLOOKUP(C376,'[1]SIG Job Families &amp; Descriptions'!F:F,'[1]SIG Job Families &amp; Descriptions'!D:D)</f>
        <v>Production Process</v>
      </c>
      <c r="C376" s="34" t="s">
        <v>97</v>
      </c>
      <c r="D376" s="30" t="str">
        <f t="shared" si="10"/>
        <v>AOM</v>
      </c>
      <c r="E376" s="31" t="str">
        <f>_xlfn.XLOOKUP(C376,'[1]SIG Job Families &amp; Descriptions'!F:F,'[1]SIG Job Families &amp; Descriptions'!A:A)</f>
        <v>AOM015</v>
      </c>
      <c r="F376" s="32" t="s">
        <v>50</v>
      </c>
      <c r="G376" s="33" t="s">
        <v>54</v>
      </c>
      <c r="H376" s="34" t="str">
        <f>F376&amp;"-"&amp;G376</f>
        <v>Operations-05</v>
      </c>
      <c r="I376" s="35" t="str">
        <f>IF(ISERROR(_xlfn.XLOOKUP(H376,'[1]SIG Level Structure'!D:D,'[1]SIG Level Structure'!D:D)),"0","1")</f>
        <v>1</v>
      </c>
      <c r="J376" s="36" t="str">
        <f>_xlfn.XLOOKUP($H376,'[1]SIG Level Structure'!$D:$D,'[1]SIG Level Structure'!F:F)</f>
        <v>W2</v>
      </c>
      <c r="K376" s="37" t="str">
        <f>E376&amp;"-"&amp;J376&amp;"-"&amp;G376</f>
        <v>AOM015-W2-05</v>
      </c>
      <c r="L376" s="37" t="str">
        <f>IFERROR(D376&amp;"-"&amp;LEFT(J376,1),"--")</f>
        <v>AOM-W</v>
      </c>
      <c r="M376" s="37" t="str">
        <f>VLOOKUP(L376,'[1]Compatible JC'!$A:$A,1,FALSE)</f>
        <v>AOM-W</v>
      </c>
      <c r="N376" s="37" t="str">
        <f>IFERROR(_xlfn.XLOOKUP(H376,'[1]SIG Level Structure'!D:D,'[1]SIG Level Structure'!C:C),"--")</f>
        <v>Operator</v>
      </c>
      <c r="O376" s="38" t="str">
        <f>IFERROR(TRIM(N376&amp;" "&amp;C376),"--")</f>
        <v>Operator Production Process</v>
      </c>
      <c r="P376" s="22" t="str">
        <f>_xlfn.XLOOKUP(E376,'[1]SIG Job Families &amp; Descriptions'!A:A,'[1]SIG Job Families &amp; Descriptions'!G:G)</f>
        <v xml:space="preserve">Systematize and optimize process parameters and process specifications. Define processing requirements for new and further devlopment of manufacturing processes. Sets up equipment feeding, speed and temperature for optimal performance. Selects and measures raw materials and parts to specifications to prepare for production processing. Resolves issues related to the organization's production, machinery, processing and/or packaging operations. May monitor meters, gauges, valves, flow ratios, temperatures, pressures, and related controls and guidelines to ensure adherence to production/process specifications in support of maintenance engineering. Reports any malfunctions or abnormalities and makes minor adjustments and repairs to equipment. Performs all work in accordance with established safety procedures
</v>
      </c>
      <c r="Q376" s="39" t="str">
        <f>_xlfn.XLOOKUP(E376,'[1]2022 GI Position Descriptions'!E:E,'[1]2022 GI Position Descriptions'!G:G)</f>
        <v>Sets up and operates automatic or semi-automatic machines and related equipment in a continuous production/processing operation | Monitors meters, gauges, valves, flow ratios, temperatures, pressures, and related controls and guidelines to ensure adherence to production/process specifications | Reports any malfunctions or abnormalities and makes minor adjustments and repairs to equipment | Performs all work in accordance with established safety procedures</v>
      </c>
      <c r="R376" s="22" t="str">
        <f>IF(LEFT(J376,1)="E","EX",LEFT(J376,1))</f>
        <v>W</v>
      </c>
      <c r="S376" s="22" t="str">
        <f>_xlfn.XLOOKUP($R376,'[1]Career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376" s="22" t="str">
        <f>J376</f>
        <v>W2</v>
      </c>
      <c r="U376" s="40" t="str">
        <f t="shared" si="11"/>
        <v>W2</v>
      </c>
      <c r="V376" s="22" t="str">
        <f>_xlfn.XLOOKUP(T376,'[1]Career Bands &amp; Levels'!A:A,'[1]Career Bands &amp; Levels'!C:C)</f>
        <v xml:space="preserve">●	Has skills developed through formal training or work experience		
●	Works within established procedures and guidelines with limited ability to modify methods and approach		
●	Completes assigned tasks with a moderate degree of supervision		</v>
      </c>
      <c r="W376" s="41" t="str">
        <f>J376&amp;"-"&amp;G376</f>
        <v>W2-05</v>
      </c>
      <c r="X376" s="42" t="str">
        <f>G376</f>
        <v>05</v>
      </c>
      <c r="Y376" s="22" t="str">
        <f>_xlfn.XLOOKUP(W376,'[1]Career Bands &amp; Levels'!A:A,'[1]Career Bands &amp; Levels'!C:C,"No Grade Differentiator")</f>
        <v xml:space="preserve">●	Performs the full range of established procedures, and will typically be considered skilled through work experience		
●	Resolves routine issues without supervisory approval		</v>
      </c>
      <c r="Z376" s="43" t="str">
        <f>IFERROR(O376&amp;" - "&amp;G376,"--")</f>
        <v>Operator Production Process - 05</v>
      </c>
      <c r="AA376" s="44" t="str">
        <f>_xlfn.XLOOKUP($H376,'[1]SIG Qualifications Input'!$D:$D,'[1]SIG Qualifications Input'!$H:$H)</f>
        <v>Vocational training in e.g. manual or technical  field or equivalent work experience. 0-4 years of experience</v>
      </c>
    </row>
    <row r="377" spans="1:27" ht="267" thickBot="1" x14ac:dyDescent="0.2">
      <c r="A377" s="34" t="str">
        <f>_xlfn.XLOOKUP(C377,'[1]SIG Job Families &amp; Descriptions'!F:F,'[1]SIG Job Families &amp; Descriptions'!B:B)</f>
        <v>Operations</v>
      </c>
      <c r="B377" s="34" t="str">
        <f>_xlfn.XLOOKUP(C377,'[1]SIG Job Families &amp; Descriptions'!F:F,'[1]SIG Job Families &amp; Descriptions'!D:D)</f>
        <v>Production Process</v>
      </c>
      <c r="C377" s="34" t="s">
        <v>97</v>
      </c>
      <c r="D377" s="30" t="str">
        <f t="shared" si="10"/>
        <v>AOM</v>
      </c>
      <c r="E377" s="31" t="str">
        <f>_xlfn.XLOOKUP(C377,'[1]SIG Job Families &amp; Descriptions'!F:F,'[1]SIG Job Families &amp; Descriptions'!A:A)</f>
        <v>AOM015</v>
      </c>
      <c r="F377" s="32" t="s">
        <v>50</v>
      </c>
      <c r="G377" s="33" t="s">
        <v>43</v>
      </c>
      <c r="H377" s="34" t="str">
        <f>F377&amp;"-"&amp;G377</f>
        <v>Operations-08</v>
      </c>
      <c r="I377" s="35" t="str">
        <f>IF(ISERROR(_xlfn.XLOOKUP(H377,'[1]SIG Level Structure'!D:D,'[1]SIG Level Structure'!D:D)),"0","1")</f>
        <v>1</v>
      </c>
      <c r="J377" s="36" t="str">
        <f>_xlfn.XLOOKUP($H377,'[1]SIG Level Structure'!$D:$D,'[1]SIG Level Structure'!F:F)</f>
        <v>W4</v>
      </c>
      <c r="K377" s="37" t="str">
        <f>E377&amp;"-"&amp;J377&amp;"-"&amp;G377</f>
        <v>AOM015-W4-08</v>
      </c>
      <c r="L377" s="37" t="str">
        <f>IFERROR(D377&amp;"-"&amp;LEFT(J377,1),"--")</f>
        <v>AOM-W</v>
      </c>
      <c r="M377" s="37" t="str">
        <f>VLOOKUP(L377,'[1]Compatible JC'!$A:$A,1,FALSE)</f>
        <v>AOM-W</v>
      </c>
      <c r="N377" s="37" t="str">
        <f>IFERROR(_xlfn.XLOOKUP(H377,'[1]SIG Level Structure'!D:D,'[1]SIG Level Structure'!C:C),"--")</f>
        <v>Senior Operator</v>
      </c>
      <c r="O377" s="38" t="str">
        <f>IFERROR(TRIM(N377&amp;" "&amp;C377),"--")</f>
        <v>Senior Operator Production Process</v>
      </c>
      <c r="P377" s="22" t="str">
        <f>_xlfn.XLOOKUP(E377,'[1]SIG Job Families &amp; Descriptions'!A:A,'[1]SIG Job Families &amp; Descriptions'!G:G)</f>
        <v xml:space="preserve">Systematize and optimize process parameters and process specifications. Define processing requirements for new and further devlopment of manufacturing processes. Sets up equipment feeding, speed and temperature for optimal performance. Selects and measures raw materials and parts to specifications to prepare for production processing. Resolves issues related to the organization's production, machinery, processing and/or packaging operations. May monitor meters, gauges, valves, flow ratios, temperatures, pressures, and related controls and guidelines to ensure adherence to production/process specifications in support of maintenance engineering. Reports any malfunctions or abnormalities and makes minor adjustments and repairs to equipment. Performs all work in accordance with established safety procedures
</v>
      </c>
      <c r="Q377" s="39" t="str">
        <f>_xlfn.XLOOKUP(E377,'[1]2022 GI Position Descriptions'!E:E,'[1]2022 GI Position Descriptions'!G:G)</f>
        <v>Sets up and operates automatic or semi-automatic machines and related equipment in a continuous production/processing operation | Monitors meters, gauges, valves, flow ratios, temperatures, pressures, and related controls and guidelines to ensure adherence to production/process specifications | Reports any malfunctions or abnormalities and makes minor adjustments and repairs to equipment | Performs all work in accordance with established safety procedures</v>
      </c>
      <c r="R377" s="22" t="str">
        <f>IF(LEFT(J377,1)="E","EX",LEFT(J377,1))</f>
        <v>W</v>
      </c>
      <c r="S377" s="22" t="str">
        <f>_xlfn.XLOOKUP($R377,'[1]Career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377" s="22" t="str">
        <f>J377</f>
        <v>W4</v>
      </c>
      <c r="U377" s="40" t="str">
        <f t="shared" si="11"/>
        <v>W4</v>
      </c>
      <c r="V377" s="22" t="str">
        <f>_xlfn.XLOOKUP(T377,'[1]Career Bands &amp; Levels'!A:A,'[1]Career Bands &amp; Levels'!C:C)</f>
        <v xml:space="preserve">●	Has advanced skills, typically gained through a combination of job-related training and considerable work experience		
●	May act as a lead, coordinating the work of others, but is not a supervisor		
●	Works autonomously within established procedures and practices		
●	Has developed a specialized level of skill to perform assigned tasks		</v>
      </c>
      <c r="W377" s="41" t="str">
        <f>J377&amp;"-"&amp;G377</f>
        <v>W4-08</v>
      </c>
      <c r="X377" s="42" t="str">
        <f>G377</f>
        <v>08</v>
      </c>
      <c r="Y377" s="22" t="str">
        <f>_xlfn.XLOOKUP(W377,'[1]Career Bands &amp; Levels'!A:A,'[1]Career Bands &amp; Levels'!C:C,"No Grade Differentiator")</f>
        <v xml:space="preserve">●	Performs a variety of the most complex tasks and/or may lead one or more teams		
●	Supports the delivery of new solutions complex problems where precedent may not exist		</v>
      </c>
      <c r="Z377" s="43" t="str">
        <f>IFERROR(O377&amp;" - "&amp;G377,"--")</f>
        <v>Senior Operator Production Process - 08</v>
      </c>
      <c r="AA377" s="44" t="str">
        <f>_xlfn.XLOOKUP($H377,'[1]SIG Qualifications Input'!$D:$D,'[1]SIG Qualifications Input'!$H:$H)</f>
        <v>Vocational training in e.g. manual or technical  field or equivalent work experience. 4-7 years of experience, possibly further internal trainings and/or external advanced training</v>
      </c>
    </row>
    <row r="378" spans="1:27" ht="267" thickBot="1" x14ac:dyDescent="0.2">
      <c r="A378" s="34" t="str">
        <f>_xlfn.XLOOKUP(C378,'[1]SIG Job Families &amp; Descriptions'!F:F,'[1]SIG Job Families &amp; Descriptions'!B:B)</f>
        <v>Operations</v>
      </c>
      <c r="B378" s="34" t="str">
        <f>_xlfn.XLOOKUP(C378,'[1]SIG Job Families &amp; Descriptions'!F:F,'[1]SIG Job Families &amp; Descriptions'!D:D)</f>
        <v>Production Process</v>
      </c>
      <c r="C378" s="34" t="s">
        <v>97</v>
      </c>
      <c r="D378" s="30" t="str">
        <f t="shared" si="10"/>
        <v>AOM</v>
      </c>
      <c r="E378" s="31" t="str">
        <f>_xlfn.XLOOKUP(C378,'[1]SIG Job Families &amp; Descriptions'!F:F,'[1]SIG Job Families &amp; Descriptions'!A:A)</f>
        <v>AOM015</v>
      </c>
      <c r="F378" s="32" t="s">
        <v>50</v>
      </c>
      <c r="G378" s="33" t="s">
        <v>52</v>
      </c>
      <c r="H378" s="34" t="str">
        <f>F378&amp;"-"&amp;G378</f>
        <v>Operations-07</v>
      </c>
      <c r="I378" s="35" t="str">
        <f>IF(ISERROR(_xlfn.XLOOKUP(H378,'[1]SIG Level Structure'!D:D,'[1]SIG Level Structure'!D:D)),"0","1")</f>
        <v>1</v>
      </c>
      <c r="J378" s="36" t="str">
        <f>_xlfn.XLOOKUP($H378,'[1]SIG Level Structure'!$D:$D,'[1]SIG Level Structure'!F:F)</f>
        <v>W4</v>
      </c>
      <c r="K378" s="37" t="str">
        <f>E378&amp;"-"&amp;J378&amp;"-"&amp;G378</f>
        <v>AOM015-W4-07</v>
      </c>
      <c r="L378" s="37" t="str">
        <f>IFERROR(D378&amp;"-"&amp;LEFT(J378,1),"--")</f>
        <v>AOM-W</v>
      </c>
      <c r="M378" s="37" t="str">
        <f>VLOOKUP(L378,'[1]Compatible JC'!$A:$A,1,FALSE)</f>
        <v>AOM-W</v>
      </c>
      <c r="N378" s="37" t="str">
        <f>IFERROR(_xlfn.XLOOKUP(H378,'[1]SIG Level Structure'!D:D,'[1]SIG Level Structure'!C:C),"--")</f>
        <v>Senior Operator</v>
      </c>
      <c r="O378" s="38" t="str">
        <f>IFERROR(TRIM(N378&amp;" "&amp;C378),"--")</f>
        <v>Senior Operator Production Process</v>
      </c>
      <c r="P378" s="22" t="str">
        <f>_xlfn.XLOOKUP(E378,'[1]SIG Job Families &amp; Descriptions'!A:A,'[1]SIG Job Families &amp; Descriptions'!G:G)</f>
        <v xml:space="preserve">Systematize and optimize process parameters and process specifications. Define processing requirements for new and further devlopment of manufacturing processes. Sets up equipment feeding, speed and temperature for optimal performance. Selects and measures raw materials and parts to specifications to prepare for production processing. Resolves issues related to the organization's production, machinery, processing and/or packaging operations. May monitor meters, gauges, valves, flow ratios, temperatures, pressures, and related controls and guidelines to ensure adherence to production/process specifications in support of maintenance engineering. Reports any malfunctions or abnormalities and makes minor adjustments and repairs to equipment. Performs all work in accordance with established safety procedures
</v>
      </c>
      <c r="Q378" s="39" t="str">
        <f>_xlfn.XLOOKUP(E378,'[1]2022 GI Position Descriptions'!E:E,'[1]2022 GI Position Descriptions'!G:G)</f>
        <v>Sets up and operates automatic or semi-automatic machines and related equipment in a continuous production/processing operation | Monitors meters, gauges, valves, flow ratios, temperatures, pressures, and related controls and guidelines to ensure adherence to production/process specifications | Reports any malfunctions or abnormalities and makes minor adjustments and repairs to equipment | Performs all work in accordance with established safety procedures</v>
      </c>
      <c r="R378" s="22" t="str">
        <f>IF(LEFT(J378,1)="E","EX",LEFT(J378,1))</f>
        <v>W</v>
      </c>
      <c r="S378" s="22" t="str">
        <f>_xlfn.XLOOKUP($R378,'[1]Career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378" s="22" t="str">
        <f>J378</f>
        <v>W4</v>
      </c>
      <c r="U378" s="40" t="str">
        <f t="shared" si="11"/>
        <v>W4</v>
      </c>
      <c r="V378" s="22" t="str">
        <f>_xlfn.XLOOKUP(T378,'[1]Career Bands &amp; Levels'!A:A,'[1]Career Bands &amp; Levels'!C:C)</f>
        <v xml:space="preserve">●	Has advanced skills, typically gained through a combination of job-related training and considerable work experience		
●	May act as a lead, coordinating the work of others, but is not a supervisor		
●	Works autonomously within established procedures and practices		
●	Has developed a specialized level of skill to perform assigned tasks		</v>
      </c>
      <c r="W378" s="41" t="str">
        <f>J378&amp;"-"&amp;G378</f>
        <v>W4-07</v>
      </c>
      <c r="X378" s="42" t="str">
        <f>G378</f>
        <v>07</v>
      </c>
      <c r="Y378" s="22" t="str">
        <f>_xlfn.XLOOKUP(W378,'[1]Career Bands &amp; Levels'!A:A,'[1]Career Bands &amp; Levels'!C:C,"No Grade Differentiator")</f>
        <v xml:space="preserve">●	Performs a variety of complex tasks and/or may lead a team in the performance of a variety of tasks that are often routine		
●	May support the development of solutions to complex problems of a recurring nature		</v>
      </c>
      <c r="Z378" s="43" t="str">
        <f>IFERROR(O378&amp;" - "&amp;G378,"--")</f>
        <v>Senior Operator Production Process - 07</v>
      </c>
      <c r="AA378" s="44" t="str">
        <f>_xlfn.XLOOKUP($H378,'[1]SIG Qualifications Input'!$D:$D,'[1]SIG Qualifications Input'!$H:$H)</f>
        <v>Vocational training in e.g. manual or technical  field or equivalent work experience. 4-7 years of experience, possibly further internal trainings and/or external advanced training</v>
      </c>
    </row>
    <row r="379" spans="1:27" ht="141" thickBot="1" x14ac:dyDescent="0.2">
      <c r="A379" s="34" t="str">
        <f>_xlfn.XLOOKUP(C379,'[1]SIG Job Families &amp; Descriptions'!F:F,'[1]SIG Job Families &amp; Descriptions'!B:B)</f>
        <v>People &amp; Culture</v>
      </c>
      <c r="B379" s="34" t="str">
        <f>_xlfn.XLOOKUP(C379,'[1]SIG Job Families &amp; Descriptions'!F:F,'[1]SIG Job Families &amp; Descriptions'!D:D)</f>
        <v>HR Operations/Services</v>
      </c>
      <c r="C379" s="34" t="s">
        <v>99</v>
      </c>
      <c r="D379" s="30" t="str">
        <f t="shared" si="10"/>
        <v>AHR</v>
      </c>
      <c r="E379" s="31" t="str">
        <f>_xlfn.XLOOKUP(C379,'[1]SIG Job Families &amp; Descriptions'!F:F,'[1]SIG Job Families &amp; Descriptions'!A:A)</f>
        <v>AHR160</v>
      </c>
      <c r="F379" s="32" t="s">
        <v>32</v>
      </c>
      <c r="G379" s="33" t="s">
        <v>53</v>
      </c>
      <c r="H379" s="34" t="str">
        <f>F379&amp;"-"&amp;G379</f>
        <v>Professional-06</v>
      </c>
      <c r="I379" s="35" t="str">
        <f>IF(ISERROR(_xlfn.XLOOKUP(H379,'[1]SIG Level Structure'!D:D,'[1]SIG Level Structure'!D:D)),"0","1")</f>
        <v>1</v>
      </c>
      <c r="J379" s="36" t="str">
        <f>_xlfn.XLOOKUP($H379,'[1]SIG Level Structure'!$D:$D,'[1]SIG Level Structure'!F:F)</f>
        <v>U2</v>
      </c>
      <c r="K379" s="37" t="str">
        <f>E379&amp;"-"&amp;J379&amp;"-"&amp;G379</f>
        <v>AHR160-U2-06</v>
      </c>
      <c r="L379" s="37" t="str">
        <f>IFERROR(D379&amp;"-"&amp;LEFT(J379,1),"--")</f>
        <v>AHR-U</v>
      </c>
      <c r="M379" s="37" t="str">
        <f>VLOOKUP(L379,'[1]Compatible JC'!$A:$A,1,FALSE)</f>
        <v>AHR-U</v>
      </c>
      <c r="N379" s="37" t="str">
        <f>IFERROR(_xlfn.XLOOKUP(H379,'[1]SIG Level Structure'!D:D,'[1]SIG Level Structure'!C:C),"--")</f>
        <v>Assistant / Analyst</v>
      </c>
      <c r="O379" s="38" t="str">
        <f>IFERROR(TRIM(N379&amp;" "&amp;C379),"--")</f>
        <v>Assistant / Analyst HR Operations/Services</v>
      </c>
      <c r="P379" s="22" t="str">
        <f>_xlfn.XLOOKUP(E379,'[1]SIG Job Families &amp; Descriptions'!A:A,'[1]SIG Job Families &amp; Descriptions'!G:G)</f>
        <v xml:space="preserve">Provides centralized human resource services focused on employment relationship, benefits and other transactions. Establishes standards and procedures for handling employee questions, transactions and administration of human resource programs. Ensures efficiency of service center operations, technology and transaction processes.
</v>
      </c>
      <c r="Q379" s="39" t="str">
        <f>_xlfn.XLOOKUP(E379,'[1]2022 GI Position Descriptions'!E:E,'[1]2022 GI Position Descriptions'!G:G)</f>
        <v>Provides centralized human resource services spanning payroll, benefits and other transactions | Ensures efficiency of service center operations, technology and transaction processes | Establishes standards and procedures for handling employee questions, transactions and administration of human resource programs | Coordinates services with the human resource information systems, human resource program managers and technology specialists</v>
      </c>
      <c r="R379" s="22" t="str">
        <f>IF(LEFT(J379,1)="E","EX",LEFT(J379,1))</f>
        <v>U</v>
      </c>
      <c r="S379" s="22" t="str">
        <f>_xlfn.XLOOKUP($R379,'[1]Career Bands &amp; Levels'!A:A,'[1]Career Bands &amp; Levels'!C:C)</f>
        <v>● Performs clerical/administrative or specialized support tasks in an office, field or retail store/site setting
● May require vocational training or the equivalent experience, but does not require a university degree</v>
      </c>
      <c r="T379" s="22" t="str">
        <f>J379</f>
        <v>U2</v>
      </c>
      <c r="U379" s="40" t="str">
        <f t="shared" si="11"/>
        <v>U2</v>
      </c>
      <c r="V379" s="22" t="str">
        <f>_xlfn.XLOOKUP(T379,'[1]Career Bands &amp; Levels'!A:A,'[1]Career Bands &amp; Levels'!C:C)</f>
        <v xml:space="preserve">●	Has working knowledge and skills developed through formal training or work experience		
●	Works within established procedures with a moderate degree of supervision		
●	Identifies the problem and all relevant issues in straightforward situations, assesses each using standard procedures and makes sound decisions		</v>
      </c>
      <c r="W379" s="41" t="str">
        <f>J379&amp;"-"&amp;G379</f>
        <v>U2-06</v>
      </c>
      <c r="X379" s="42" t="str">
        <f>G379</f>
        <v>06</v>
      </c>
      <c r="Y379" s="22" t="str">
        <f>_xlfn.XLOOKUP(W379,'[1]Career Bands &amp; Levels'!A:A,'[1]Career Bands &amp; Levels'!C:C,"No Grade Differentiator")</f>
        <v xml:space="preserve">●	Has prior relevant training or related work experience		
●	Performs routine tasks following specific instructions or under close supervision		
●	Work is clearly defined and completed according to instruction		</v>
      </c>
      <c r="Z379" s="43" t="str">
        <f>IFERROR(O379&amp;" - "&amp;G379,"--")</f>
        <v>Assistant / Analyst HR Operations/Services - 06</v>
      </c>
      <c r="AA379" s="44" t="str">
        <f>_xlfn.XLOOKUP($H379,'[1]SIG Qualifications Input'!$D:$D,'[1]SIG Qualifications Input'!$H:$H)</f>
        <v>Vocational training in e.g. commercial field or equivalent work experience. Up to 5 years of experience, possibly further internal trainings.</v>
      </c>
    </row>
    <row r="380" spans="1:27" ht="141" thickBot="1" x14ac:dyDescent="0.2">
      <c r="A380" s="34" t="str">
        <f>_xlfn.XLOOKUP(C380,'[1]SIG Job Families &amp; Descriptions'!F:F,'[1]SIG Job Families &amp; Descriptions'!B:B)</f>
        <v>People &amp; Culture</v>
      </c>
      <c r="B380" s="34" t="str">
        <f>_xlfn.XLOOKUP(C380,'[1]SIG Job Families &amp; Descriptions'!F:F,'[1]SIG Job Families &amp; Descriptions'!D:D)</f>
        <v>HR Operations/Services</v>
      </c>
      <c r="C380" s="34" t="s">
        <v>99</v>
      </c>
      <c r="D380" s="30" t="str">
        <f t="shared" si="10"/>
        <v>AHR</v>
      </c>
      <c r="E380" s="31" t="str">
        <f>_xlfn.XLOOKUP(C380,'[1]SIG Job Families &amp; Descriptions'!F:F,'[1]SIG Job Families &amp; Descriptions'!A:A)</f>
        <v>AHR160</v>
      </c>
      <c r="F380" s="32" t="s">
        <v>32</v>
      </c>
      <c r="G380" s="33" t="s">
        <v>54</v>
      </c>
      <c r="H380" s="34" t="str">
        <f>F380&amp;"-"&amp;G380</f>
        <v>Professional-05</v>
      </c>
      <c r="I380" s="35" t="str">
        <f>IF(ISERROR(_xlfn.XLOOKUP(H380,'[1]SIG Level Structure'!D:D,'[1]SIG Level Structure'!D:D)),"0","1")</f>
        <v>1</v>
      </c>
      <c r="J380" s="36" t="str">
        <f>_xlfn.XLOOKUP($H380,'[1]SIG Level Structure'!$D:$D,'[1]SIG Level Structure'!F:F)</f>
        <v>U2</v>
      </c>
      <c r="K380" s="37" t="str">
        <f>E380&amp;"-"&amp;J380&amp;"-"&amp;G380</f>
        <v>AHR160-U2-05</v>
      </c>
      <c r="L380" s="37" t="str">
        <f>IFERROR(D380&amp;"-"&amp;LEFT(J380,1),"--")</f>
        <v>AHR-U</v>
      </c>
      <c r="M380" s="37" t="str">
        <f>VLOOKUP(L380,'[1]Compatible JC'!$A:$A,1,FALSE)</f>
        <v>AHR-U</v>
      </c>
      <c r="N380" s="37" t="str">
        <f>IFERROR(_xlfn.XLOOKUP(H380,'[1]SIG Level Structure'!D:D,'[1]SIG Level Structure'!C:C),"--")</f>
        <v>Assistant / Analyst</v>
      </c>
      <c r="O380" s="38" t="str">
        <f>IFERROR(TRIM(N380&amp;" "&amp;C380),"--")</f>
        <v>Assistant / Analyst HR Operations/Services</v>
      </c>
      <c r="P380" s="22" t="str">
        <f>_xlfn.XLOOKUP(E380,'[1]SIG Job Families &amp; Descriptions'!A:A,'[1]SIG Job Families &amp; Descriptions'!G:G)</f>
        <v xml:space="preserve">Provides centralized human resource services focused on employment relationship, benefits and other transactions. Establishes standards and procedures for handling employee questions, transactions and administration of human resource programs. Ensures efficiency of service center operations, technology and transaction processes.
</v>
      </c>
      <c r="Q380" s="39" t="str">
        <f>_xlfn.XLOOKUP(E380,'[1]2022 GI Position Descriptions'!E:E,'[1]2022 GI Position Descriptions'!G:G)</f>
        <v>Provides centralized human resource services spanning payroll, benefits and other transactions | Ensures efficiency of service center operations, technology and transaction processes | Establishes standards and procedures for handling employee questions, transactions and administration of human resource programs | Coordinates services with the human resource information systems, human resource program managers and technology specialists</v>
      </c>
      <c r="R380" s="22" t="str">
        <f>IF(LEFT(J380,1)="E","EX",LEFT(J380,1))</f>
        <v>U</v>
      </c>
      <c r="S380" s="22" t="str">
        <f>_xlfn.XLOOKUP($R380,'[1]Career Bands &amp; Levels'!A:A,'[1]Career Bands &amp; Levels'!C:C)</f>
        <v>● Performs clerical/administrative or specialized support tasks in an office, field or retail store/site setting
● May require vocational training or the equivalent experience, but does not require a university degree</v>
      </c>
      <c r="T380" s="22" t="str">
        <f>J380</f>
        <v>U2</v>
      </c>
      <c r="U380" s="40" t="str">
        <f t="shared" si="11"/>
        <v>U2</v>
      </c>
      <c r="V380" s="22" t="str">
        <f>_xlfn.XLOOKUP(T380,'[1]Career Bands &amp; Levels'!A:A,'[1]Career Bands &amp; Levels'!C:C)</f>
        <v xml:space="preserve">●	Has working knowledge and skills developed through formal training or work experience		
●	Works within established procedures with a moderate degree of supervision		
●	Identifies the problem and all relevant issues in straightforward situations, assesses each using standard procedures and makes sound decisions		</v>
      </c>
      <c r="W380" s="41" t="str">
        <f>J380&amp;"-"&amp;G380</f>
        <v>U2-05</v>
      </c>
      <c r="X380" s="42" t="str">
        <f>G380</f>
        <v>05</v>
      </c>
      <c r="Y380" s="22" t="str">
        <f>_xlfn.XLOOKUP(W380,'[1]Career Bands &amp; Levels'!A:A,'[1]Career Bands &amp; Levels'!C:C,"No Grade Differentiator")</f>
        <v xml:space="preserve">●	Has limited prior relevant training or work experience		
●	Has limited discretion to vary from established procedures		</v>
      </c>
      <c r="Z380" s="43" t="str">
        <f>IFERROR(O380&amp;" - "&amp;G380,"--")</f>
        <v>Assistant / Analyst HR Operations/Services - 05</v>
      </c>
      <c r="AA380" s="44" t="str">
        <f>_xlfn.XLOOKUP($H380,'[1]SIG Qualifications Input'!$D:$D,'[1]SIG Qualifications Input'!$H:$H)</f>
        <v>Vocational training in e.g. commercial field or equivalent work experience. Up to 5 years of experience, possibly further internal trainings.</v>
      </c>
    </row>
    <row r="381" spans="1:27" ht="183" thickBot="1" x14ac:dyDescent="0.2">
      <c r="A381" s="34" t="str">
        <f>_xlfn.XLOOKUP(C381,'[1]SIG Job Families &amp; Descriptions'!F:F,'[1]SIG Job Families &amp; Descriptions'!B:B)</f>
        <v>People &amp; Culture</v>
      </c>
      <c r="B381" s="34" t="str">
        <f>_xlfn.XLOOKUP(C381,'[1]SIG Job Families &amp; Descriptions'!F:F,'[1]SIG Job Families &amp; Descriptions'!D:D)</f>
        <v>General HR</v>
      </c>
      <c r="C381" s="34" t="s">
        <v>100</v>
      </c>
      <c r="D381" s="30" t="str">
        <f t="shared" si="10"/>
        <v>AHR</v>
      </c>
      <c r="E381" s="31" t="str">
        <f>_xlfn.XLOOKUP(C381,'[1]SIG Job Families &amp; Descriptions'!F:F,'[1]SIG Job Families &amp; Descriptions'!A:A)</f>
        <v>AHR000</v>
      </c>
      <c r="F381" s="32" t="s">
        <v>29</v>
      </c>
      <c r="G381" s="33" t="s">
        <v>30</v>
      </c>
      <c r="H381" s="34" t="str">
        <f>F381&amp;"-"&amp;G381</f>
        <v>Management-15</v>
      </c>
      <c r="I381" s="35" t="str">
        <f>IF(ISERROR(_xlfn.XLOOKUP(H381,'[1]SIG Level Structure'!D:D,'[1]SIG Level Structure'!D:D)),"0","1")</f>
        <v>1</v>
      </c>
      <c r="J381" s="36" t="str">
        <f>_xlfn.XLOOKUP($H381,'[1]SIG Level Structure'!$D:$D,'[1]SIG Level Structure'!F:F)</f>
        <v>M3</v>
      </c>
      <c r="K381" s="37" t="str">
        <f>E381&amp;"-"&amp;J381&amp;"-"&amp;G381</f>
        <v>AHR000-M3-15</v>
      </c>
      <c r="L381" s="37" t="str">
        <f>IFERROR(D381&amp;"-"&amp;LEFT(J381,1),"--")</f>
        <v>AHR-M</v>
      </c>
      <c r="M381" s="37" t="str">
        <f>VLOOKUP(L381,'[1]Compatible JC'!$A:$A,1,FALSE)</f>
        <v>AHR-M</v>
      </c>
      <c r="N381" s="37" t="str">
        <f>IFERROR(_xlfn.XLOOKUP(H381,'[1]SIG Level Structure'!D:D,'[1]SIG Level Structure'!C:C),"--")</f>
        <v>Senior Manager</v>
      </c>
      <c r="O381" s="38" t="str">
        <f>IFERROR(TRIM(N381&amp;" "&amp;C381),"--")</f>
        <v>Senior Manager General HR</v>
      </c>
      <c r="P381" s="22" t="str">
        <f>_xlfn.XLOOKUP(E381,'[1]SIG Job Families &amp; Descriptions'!A:A,'[1]SIG Job Families &amp; Descriptions'!G:G)</f>
        <v xml:space="preserve">Designs, implements and monitors a variety of human resource programs. Anticipates and plans for long-term human resource needs and trends in partnership with business management. HR generalists are responsible for the deployment of all HR strategy processes and act as a business partner to operational staff.  Their role covers all or a large part of HR activities. Also HR Business Partnering positions and positions with regards to Labor Relations are covered here. </v>
      </c>
      <c r="Q381" s="39" t="str">
        <f>_xlfn.XLOOKUP(E381,'[1]2022 GI Position Descriptions'!E:E,'[1]2022 GI Position Descriptions'!G:G)</f>
        <v>Designs, implements and monitors a variety of human resource programs | Anticipates and plans for long-term human resource needs and trends in partnership with business management | Responsibilities are within the Human Resources Function as a generalist or in a combination of Disciplines</v>
      </c>
      <c r="R381" s="22" t="str">
        <f>IF(LEFT(J381,1)="E","EX",LEFT(J381,1))</f>
        <v>M</v>
      </c>
      <c r="S381" s="22" t="str">
        <f>_xlfn.XLOOKUP($R381,'[1]Career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381" s="22" t="str">
        <f>J381</f>
        <v>M3</v>
      </c>
      <c r="U381" s="40" t="str">
        <f t="shared" si="11"/>
        <v>M3</v>
      </c>
      <c r="V381" s="22" t="str">
        <f>_xlfn.XLOOKUP(T381,'[1]Career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381" s="41" t="str">
        <f>J381&amp;"-"&amp;G381</f>
        <v>M3-15</v>
      </c>
      <c r="X381" s="42" t="str">
        <f>G381</f>
        <v>15</v>
      </c>
      <c r="Y381" s="22" t="str">
        <f>_xlfn.XLOOKUP(W381,'[1]Career Bands &amp; Levels'!A:A,'[1]Career Bands &amp; Levels'!C:C,"No Grade Differentiator")</f>
        <v xml:space="preserve">●	Looks beyond existing methodologies and own discipline to define and resolve complex problems
●	Develops plans and delivers results in fast-changing businesses and/or regulatory environments
●	Provides input to functional or departmental strategy		
●	Manages large, potentially diverse teams of managers and/or senior professionals		
		</v>
      </c>
      <c r="Z381" s="43" t="str">
        <f>IFERROR(O381&amp;" - "&amp;G381,"--")</f>
        <v>Senior Manager General HR - 15</v>
      </c>
      <c r="AA381" s="44" t="str">
        <f>_xlfn.XLOOKUP($H381,'[1]SIG Qualifications Input'!$D:$D,'[1]SIG Qualifications Input'!$H:$H)</f>
        <v xml:space="preserve">University degree or equivalent and 10+ years of work experience or equivalent
Profound experience in managing performance and results of diverse activities / multiple teams </v>
      </c>
    </row>
    <row r="382" spans="1:27" ht="183" thickBot="1" x14ac:dyDescent="0.2">
      <c r="A382" s="34" t="str">
        <f>_xlfn.XLOOKUP(C382,'[1]SIG Job Families &amp; Descriptions'!F:F,'[1]SIG Job Families &amp; Descriptions'!B:B)</f>
        <v>People &amp; Culture</v>
      </c>
      <c r="B382" s="34" t="str">
        <f>_xlfn.XLOOKUP(C382,'[1]SIG Job Families &amp; Descriptions'!F:F,'[1]SIG Job Families &amp; Descriptions'!D:D)</f>
        <v>General HR</v>
      </c>
      <c r="C382" s="34" t="s">
        <v>100</v>
      </c>
      <c r="D382" s="30" t="str">
        <f t="shared" si="10"/>
        <v>AHR</v>
      </c>
      <c r="E382" s="31" t="str">
        <f>_xlfn.XLOOKUP(C382,'[1]SIG Job Families &amp; Descriptions'!F:F,'[1]SIG Job Families &amp; Descriptions'!A:A)</f>
        <v>AHR000</v>
      </c>
      <c r="F382" s="32" t="s">
        <v>29</v>
      </c>
      <c r="G382" s="33" t="s">
        <v>31</v>
      </c>
      <c r="H382" s="34" t="str">
        <f>F382&amp;"-"&amp;G382</f>
        <v>Management-14</v>
      </c>
      <c r="I382" s="35" t="str">
        <f>IF(ISERROR(_xlfn.XLOOKUP(H382,'[1]SIG Level Structure'!D:D,'[1]SIG Level Structure'!D:D)),"0","1")</f>
        <v>1</v>
      </c>
      <c r="J382" s="36" t="str">
        <f>_xlfn.XLOOKUP($H382,'[1]SIG Level Structure'!$D:$D,'[1]SIG Level Structure'!F:F)</f>
        <v>M3</v>
      </c>
      <c r="K382" s="37" t="str">
        <f>E382&amp;"-"&amp;J382&amp;"-"&amp;G382</f>
        <v>AHR000-M3-14</v>
      </c>
      <c r="L382" s="37" t="str">
        <f>IFERROR(D382&amp;"-"&amp;LEFT(J382,1),"--")</f>
        <v>AHR-M</v>
      </c>
      <c r="M382" s="37" t="str">
        <f>VLOOKUP(L382,'[1]Compatible JC'!$A:$A,1,FALSE)</f>
        <v>AHR-M</v>
      </c>
      <c r="N382" s="37" t="str">
        <f>IFERROR(_xlfn.XLOOKUP(H382,'[1]SIG Level Structure'!D:D,'[1]SIG Level Structure'!C:C),"--")</f>
        <v>Senior Manager</v>
      </c>
      <c r="O382" s="38" t="str">
        <f>IFERROR(TRIM(N382&amp;" "&amp;C382),"--")</f>
        <v>Senior Manager General HR</v>
      </c>
      <c r="P382" s="22" t="str">
        <f>_xlfn.XLOOKUP(E382,'[1]SIG Job Families &amp; Descriptions'!A:A,'[1]SIG Job Families &amp; Descriptions'!G:G)</f>
        <v xml:space="preserve">Designs, implements and monitors a variety of human resource programs. Anticipates and plans for long-term human resource needs and trends in partnership with business management. HR generalists are responsible for the deployment of all HR strategy processes and act as a business partner to operational staff.  Their role covers all or a large part of HR activities. Also HR Business Partnering positions and positions with regards to Labor Relations are covered here. </v>
      </c>
      <c r="Q382" s="39" t="str">
        <f>_xlfn.XLOOKUP(E382,'[1]2022 GI Position Descriptions'!E:E,'[1]2022 GI Position Descriptions'!G:G)</f>
        <v>Designs, implements and monitors a variety of human resource programs | Anticipates and plans for long-term human resource needs and trends in partnership with business management | Responsibilities are within the Human Resources Function as a generalist or in a combination of Disciplines</v>
      </c>
      <c r="R382" s="22" t="str">
        <f>IF(LEFT(J382,1)="E","EX",LEFT(J382,1))</f>
        <v>M</v>
      </c>
      <c r="S382" s="22" t="str">
        <f>_xlfn.XLOOKUP($R382,'[1]Career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382" s="22" t="str">
        <f>J382</f>
        <v>M3</v>
      </c>
      <c r="U382" s="40" t="str">
        <f t="shared" si="11"/>
        <v>M3</v>
      </c>
      <c r="V382" s="22" t="str">
        <f>_xlfn.XLOOKUP(T382,'[1]Career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382" s="41" t="str">
        <f>J382&amp;"-"&amp;G382</f>
        <v>M3-14</v>
      </c>
      <c r="X382" s="42" t="str">
        <f>G382</f>
        <v>14</v>
      </c>
      <c r="Y382" s="22" t="str">
        <f>_xlfn.XLOOKUP(W382,'[1]Career Bands &amp; Levels'!A:A,'[1]Career Bands &amp; Levels'!C:C,"No Grade Differentiator")</f>
        <v xml:space="preserve">●	Identifies applications of functional knowledge and existing methodologies to complex problems	
●	Manages large teams of professionals and/or junior managers		
		</v>
      </c>
      <c r="Z382" s="43" t="str">
        <f>IFERROR(O382&amp;" - "&amp;G382,"--")</f>
        <v>Senior Manager General HR - 14</v>
      </c>
      <c r="AA382" s="44" t="str">
        <f>_xlfn.XLOOKUP($H382,'[1]SIG Qualifications Input'!$D:$D,'[1]SIG Qualifications Input'!$H:$H)</f>
        <v xml:space="preserve">University degree or equivalent and 10+ years of work experience or equivalent
Profound experience in managing performance and results of diverse activities / multiple teams </v>
      </c>
    </row>
    <row r="383" spans="1:27" ht="183" thickBot="1" x14ac:dyDescent="0.2">
      <c r="A383" s="34" t="str">
        <f>_xlfn.XLOOKUP(C383,'[1]SIG Job Families &amp; Descriptions'!F:F,'[1]SIG Job Families &amp; Descriptions'!B:B)</f>
        <v>People &amp; Culture</v>
      </c>
      <c r="B383" s="34" t="str">
        <f>_xlfn.XLOOKUP(C383,'[1]SIG Job Families &amp; Descriptions'!F:F,'[1]SIG Job Families &amp; Descriptions'!D:D)</f>
        <v>General HR</v>
      </c>
      <c r="C383" s="34" t="s">
        <v>100</v>
      </c>
      <c r="D383" s="30" t="str">
        <f t="shared" si="10"/>
        <v>AHR</v>
      </c>
      <c r="E383" s="31" t="str">
        <f>_xlfn.XLOOKUP(C383,'[1]SIG Job Families &amp; Descriptions'!F:F,'[1]SIG Job Families &amp; Descriptions'!A:A)</f>
        <v>AHR000</v>
      </c>
      <c r="F383" s="32" t="s">
        <v>29</v>
      </c>
      <c r="G383" s="33" t="s">
        <v>33</v>
      </c>
      <c r="H383" s="34" t="str">
        <f>F383&amp;"-"&amp;G383</f>
        <v>Management-13</v>
      </c>
      <c r="I383" s="35" t="str">
        <f>IF(ISERROR(_xlfn.XLOOKUP(H383,'[1]SIG Level Structure'!D:D,'[1]SIG Level Structure'!D:D)),"0","1")</f>
        <v>1</v>
      </c>
      <c r="J383" s="36" t="str">
        <f>_xlfn.XLOOKUP($H383,'[1]SIG Level Structure'!$D:$D,'[1]SIG Level Structure'!F:F)</f>
        <v>M2</v>
      </c>
      <c r="K383" s="37" t="str">
        <f>E383&amp;"-"&amp;J383&amp;"-"&amp;G383</f>
        <v>AHR000-M2-13</v>
      </c>
      <c r="L383" s="37" t="str">
        <f>IFERROR(D383&amp;"-"&amp;LEFT(J383,1),"--")</f>
        <v>AHR-M</v>
      </c>
      <c r="M383" s="37" t="str">
        <f>VLOOKUP(L383,'[1]Compatible JC'!$A:$A,1,FALSE)</f>
        <v>AHR-M</v>
      </c>
      <c r="N383" s="37" t="str">
        <f>IFERROR(_xlfn.XLOOKUP(H383,'[1]SIG Level Structure'!D:D,'[1]SIG Level Structure'!C:C),"--")</f>
        <v>Manager</v>
      </c>
      <c r="O383" s="38" t="str">
        <f>IFERROR(TRIM(N383&amp;" "&amp;C383),"--")</f>
        <v>Manager General HR</v>
      </c>
      <c r="P383" s="22" t="str">
        <f>_xlfn.XLOOKUP(E383,'[1]SIG Job Families &amp; Descriptions'!A:A,'[1]SIG Job Families &amp; Descriptions'!G:G)</f>
        <v xml:space="preserve">Designs, implements and monitors a variety of human resource programs. Anticipates and plans for long-term human resource needs and trends in partnership with business management. HR generalists are responsible for the deployment of all HR strategy processes and act as a business partner to operational staff.  Their role covers all or a large part of HR activities. Also HR Business Partnering positions and positions with regards to Labor Relations are covered here. </v>
      </c>
      <c r="Q383" s="39" t="str">
        <f>_xlfn.XLOOKUP(E383,'[1]2022 GI Position Descriptions'!E:E,'[1]2022 GI Position Descriptions'!G:G)</f>
        <v>Designs, implements and monitors a variety of human resource programs | Anticipates and plans for long-term human resource needs and trends in partnership with business management | Responsibilities are within the Human Resources Function as a generalist or in a combination of Disciplines</v>
      </c>
      <c r="R383" s="22" t="str">
        <f>IF(LEFT(J383,1)="E","EX",LEFT(J383,1))</f>
        <v>M</v>
      </c>
      <c r="S383" s="22" t="str">
        <f>_xlfn.XLOOKUP($R383,'[1]Career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383" s="22" t="str">
        <f>J383</f>
        <v>M2</v>
      </c>
      <c r="U383" s="40" t="str">
        <f t="shared" si="11"/>
        <v>M2</v>
      </c>
      <c r="V383" s="22" t="str">
        <f>_xlfn.XLOOKUP(T383,'[1]Career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383" s="41" t="str">
        <f>J383&amp;"-"&amp;G383</f>
        <v>M2-13</v>
      </c>
      <c r="X383" s="42" t="str">
        <f>G383</f>
        <v>13</v>
      </c>
      <c r="Y383" s="22" t="str">
        <f>_xlfn.XLOOKUP(W383,'[1]Career Bands &amp; Levels'!A:A,'[1]Career Bands &amp; Levels'!C:C,"No Grade Differentiator")</f>
        <v>●	Accountable for the budget, performance and results of a medium-sized team or multiple small teams of employees		
●	Exercises full management authority, including performance reviews, pay decisions, recruitment, discipline, termination and other personnel actions		
●	Addresses issues with impact beyond own team based on knowledge of related disciplines</v>
      </c>
      <c r="Z383" s="43" t="str">
        <f>IFERROR(O383&amp;" - "&amp;G383,"--")</f>
        <v>Manager General HR - 13</v>
      </c>
      <c r="AA383" s="44" t="str">
        <f>_xlfn.XLOOKUP($H383,'[1]SIG Qualifications Input'!$D:$D,'[1]SIG Qualifications Input'!$H:$H)</f>
        <v>University degree or equivalent and 7-10 years of work experience or equivalent
Experience in managing mixed-level team(s) of professionals and subordinate managers</v>
      </c>
    </row>
    <row r="384" spans="1:27" ht="183" thickBot="1" x14ac:dyDescent="0.2">
      <c r="A384" s="34" t="str">
        <f>_xlfn.XLOOKUP(C384,'[1]SIG Job Families &amp; Descriptions'!F:F,'[1]SIG Job Families &amp; Descriptions'!B:B)</f>
        <v>People &amp; Culture</v>
      </c>
      <c r="B384" s="34" t="str">
        <f>_xlfn.XLOOKUP(C384,'[1]SIG Job Families &amp; Descriptions'!F:F,'[1]SIG Job Families &amp; Descriptions'!D:D)</f>
        <v>General HR</v>
      </c>
      <c r="C384" s="34" t="s">
        <v>100</v>
      </c>
      <c r="D384" s="30" t="str">
        <f t="shared" si="10"/>
        <v>AHR</v>
      </c>
      <c r="E384" s="31" t="str">
        <f>_xlfn.XLOOKUP(C384,'[1]SIG Job Families &amp; Descriptions'!F:F,'[1]SIG Job Families &amp; Descriptions'!A:A)</f>
        <v>AHR000</v>
      </c>
      <c r="F384" s="32" t="s">
        <v>29</v>
      </c>
      <c r="G384" s="33" t="s">
        <v>34</v>
      </c>
      <c r="H384" s="34" t="str">
        <f>F384&amp;"-"&amp;G384</f>
        <v>Management-12</v>
      </c>
      <c r="I384" s="35" t="str">
        <f>IF(ISERROR(_xlfn.XLOOKUP(H384,'[1]SIG Level Structure'!D:D,'[1]SIG Level Structure'!D:D)),"0","1")</f>
        <v>1</v>
      </c>
      <c r="J384" s="36" t="str">
        <f>_xlfn.XLOOKUP($H384,'[1]SIG Level Structure'!$D:$D,'[1]SIG Level Structure'!F:F)</f>
        <v>M2</v>
      </c>
      <c r="K384" s="37" t="str">
        <f>E384&amp;"-"&amp;J384&amp;"-"&amp;G384</f>
        <v>AHR000-M2-12</v>
      </c>
      <c r="L384" s="37" t="str">
        <f>IFERROR(D384&amp;"-"&amp;LEFT(J384,1),"--")</f>
        <v>AHR-M</v>
      </c>
      <c r="M384" s="37" t="str">
        <f>VLOOKUP(L384,'[1]Compatible JC'!$A:$A,1,FALSE)</f>
        <v>AHR-M</v>
      </c>
      <c r="N384" s="37" t="str">
        <f>IFERROR(_xlfn.XLOOKUP(H384,'[1]SIG Level Structure'!D:D,'[1]SIG Level Structure'!C:C),"--")</f>
        <v>Manager</v>
      </c>
      <c r="O384" s="38" t="str">
        <f>IFERROR(TRIM(N384&amp;" "&amp;C384),"--")</f>
        <v>Manager General HR</v>
      </c>
      <c r="P384" s="22" t="str">
        <f>_xlfn.XLOOKUP(E384,'[1]SIG Job Families &amp; Descriptions'!A:A,'[1]SIG Job Families &amp; Descriptions'!G:G)</f>
        <v xml:space="preserve">Designs, implements and monitors a variety of human resource programs. Anticipates and plans for long-term human resource needs and trends in partnership with business management. HR generalists are responsible for the deployment of all HR strategy processes and act as a business partner to operational staff.  Their role covers all or a large part of HR activities. Also HR Business Partnering positions and positions with regards to Labor Relations are covered here. </v>
      </c>
      <c r="Q384" s="39" t="str">
        <f>_xlfn.XLOOKUP(E384,'[1]2022 GI Position Descriptions'!E:E,'[1]2022 GI Position Descriptions'!G:G)</f>
        <v>Designs, implements and monitors a variety of human resource programs | Anticipates and plans for long-term human resource needs and trends in partnership with business management | Responsibilities are within the Human Resources Function as a generalist or in a combination of Disciplines</v>
      </c>
      <c r="R384" s="22" t="str">
        <f>IF(LEFT(J384,1)="E","EX",LEFT(J384,1))</f>
        <v>M</v>
      </c>
      <c r="S384" s="22" t="str">
        <f>_xlfn.XLOOKUP($R384,'[1]Career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384" s="22" t="str">
        <f>J384</f>
        <v>M2</v>
      </c>
      <c r="U384" s="40" t="str">
        <f t="shared" si="11"/>
        <v>M2</v>
      </c>
      <c r="V384" s="22" t="str">
        <f>_xlfn.XLOOKUP(T384,'[1]Career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384" s="41" t="str">
        <f>J384&amp;"-"&amp;G384</f>
        <v>M2-12</v>
      </c>
      <c r="X384" s="42" t="str">
        <f>G384</f>
        <v>12</v>
      </c>
      <c r="Y384" s="22" t="str">
        <f>_xlfn.XLOOKUP(W384,'[1]Career Bands &amp; Levels'!A:A,'[1]Career Bands &amp; Levels'!C:C,"No Grade Differentiator")</f>
        <v xml:space="preserve">●	Accountable for results of a small team of employees		
●	Exercises limited management authority; sets employee performance objectives, conducts performance reviews and recommends pay actions		
●	Defines team operating standards and ensures essential procedures are followed based on knowledge of own discipline		</v>
      </c>
      <c r="Z384" s="43" t="str">
        <f>IFERROR(O384&amp;" - "&amp;G384,"--")</f>
        <v>Manager General HR - 12</v>
      </c>
      <c r="AA384" s="44" t="str">
        <f>_xlfn.XLOOKUP($H384,'[1]SIG Qualifications Input'!$D:$D,'[1]SIG Qualifications Input'!$H:$H)</f>
        <v>University degree or equivalent and 7-10 years of work experience or equivalent
Experience in managing mixed-level team(s) of professionals and subordinate managers</v>
      </c>
    </row>
    <row r="385" spans="1:27" ht="183" thickBot="1" x14ac:dyDescent="0.2">
      <c r="A385" s="34" t="str">
        <f>_xlfn.XLOOKUP(C385,'[1]SIG Job Families &amp; Descriptions'!F:F,'[1]SIG Job Families &amp; Descriptions'!B:B)</f>
        <v>People &amp; Culture</v>
      </c>
      <c r="B385" s="34" t="str">
        <f>_xlfn.XLOOKUP(C385,'[1]SIG Job Families &amp; Descriptions'!F:F,'[1]SIG Job Families &amp; Descriptions'!D:D)</f>
        <v>General HR</v>
      </c>
      <c r="C385" s="34" t="s">
        <v>100</v>
      </c>
      <c r="D385" s="30" t="str">
        <f t="shared" si="10"/>
        <v>AHR</v>
      </c>
      <c r="E385" s="31" t="str">
        <f>_xlfn.XLOOKUP(C385,'[1]SIG Job Families &amp; Descriptions'!F:F,'[1]SIG Job Families &amp; Descriptions'!A:A)</f>
        <v>AHR000</v>
      </c>
      <c r="F385" s="32" t="s">
        <v>29</v>
      </c>
      <c r="G385" s="33" t="s">
        <v>35</v>
      </c>
      <c r="H385" s="34" t="str">
        <f>F385&amp;"-"&amp;G385</f>
        <v>Management-11</v>
      </c>
      <c r="I385" s="35" t="str">
        <f>IF(ISERROR(_xlfn.XLOOKUP(H385,'[1]SIG Level Structure'!D:D,'[1]SIG Level Structure'!D:D)),"0","1")</f>
        <v>1</v>
      </c>
      <c r="J385" s="36" t="str">
        <f>_xlfn.XLOOKUP($H385,'[1]SIG Level Structure'!$D:$D,'[1]SIG Level Structure'!F:F)</f>
        <v>M1</v>
      </c>
      <c r="K385" s="37" t="str">
        <f>E385&amp;"-"&amp;J385&amp;"-"&amp;G385</f>
        <v>AHR000-M1-11</v>
      </c>
      <c r="L385" s="37" t="str">
        <f>IFERROR(D385&amp;"-"&amp;LEFT(J385,1),"--")</f>
        <v>AHR-M</v>
      </c>
      <c r="M385" s="37" t="str">
        <f>VLOOKUP(L385,'[1]Compatible JC'!$A:$A,1,FALSE)</f>
        <v>AHR-M</v>
      </c>
      <c r="N385" s="37" t="str">
        <f>IFERROR(_xlfn.XLOOKUP(H385,'[1]SIG Level Structure'!D:D,'[1]SIG Level Structure'!C:C),"--")</f>
        <v>Supervisor</v>
      </c>
      <c r="O385" s="38" t="str">
        <f>IFERROR(TRIM(N385&amp;" "&amp;C385),"--")</f>
        <v>Supervisor General HR</v>
      </c>
      <c r="P385" s="22" t="str">
        <f>_xlfn.XLOOKUP(E385,'[1]SIG Job Families &amp; Descriptions'!A:A,'[1]SIG Job Families &amp; Descriptions'!G:G)</f>
        <v xml:space="preserve">Designs, implements and monitors a variety of human resource programs. Anticipates and plans for long-term human resource needs and trends in partnership with business management. HR generalists are responsible for the deployment of all HR strategy processes and act as a business partner to operational staff.  Their role covers all or a large part of HR activities. Also HR Business Partnering positions and positions with regards to Labor Relations are covered here. </v>
      </c>
      <c r="Q385" s="39" t="str">
        <f>_xlfn.XLOOKUP(E385,'[1]2022 GI Position Descriptions'!E:E,'[1]2022 GI Position Descriptions'!G:G)</f>
        <v>Designs, implements and monitors a variety of human resource programs | Anticipates and plans for long-term human resource needs and trends in partnership with business management | Responsibilities are within the Human Resources Function as a generalist or in a combination of Disciplines</v>
      </c>
      <c r="R385" s="22" t="str">
        <f>IF(LEFT(J385,1)="E","EX",LEFT(J385,1))</f>
        <v>M</v>
      </c>
      <c r="S385" s="22" t="str">
        <f>_xlfn.XLOOKUP($R385,'[1]Career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385" s="22" t="str">
        <f>J385</f>
        <v>M1</v>
      </c>
      <c r="U385" s="40" t="str">
        <f t="shared" si="11"/>
        <v>M1</v>
      </c>
      <c r="V385" s="22" t="str">
        <f>_xlfn.XLOOKUP(T385,'[1]Career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385" s="41" t="str">
        <f>J385&amp;"-"&amp;G385</f>
        <v>M1-11</v>
      </c>
      <c r="X385" s="42" t="str">
        <f>G385</f>
        <v>11</v>
      </c>
      <c r="Y385" s="22" t="str">
        <f>_xlfn.XLOOKUP(W385,'[1]Career Bands &amp; Levels'!A:A,'[1]Career Bands &amp; Levels'!C:C,"No Grade Differentiator")</f>
        <v xml:space="preserve">●	Accountable for the results of a large and/or moderately complex support or production operations team including subordinate work leaders		
●	Applies acquired expertise to analyze and solve problems without clear precedent		
●	Provides input on resource planning and policy development		
●	Coaches team members on performance, completes employee performance evaluations and recommends pay actions		</v>
      </c>
      <c r="Z385" s="43" t="str">
        <f>IFERROR(O385&amp;" - "&amp;G385,"--")</f>
        <v>Supervisor General HR - 11</v>
      </c>
      <c r="AA385" s="44" t="str">
        <f>_xlfn.XLOOKUP($H385,'[1]SIG Qualifications Input'!$D:$D,'[1]SIG Qualifications Input'!$H:$H)</f>
        <v>University degree or equivalent and 5-7 years of work experience or equivalent
Experienced in application of management techniques
Experience in operationally managing a mixed-level team</v>
      </c>
    </row>
    <row r="386" spans="1:27" ht="183" thickBot="1" x14ac:dyDescent="0.2">
      <c r="A386" s="34" t="str">
        <f>_xlfn.XLOOKUP(C386,'[1]SIG Job Families &amp; Descriptions'!F:F,'[1]SIG Job Families &amp; Descriptions'!B:B)</f>
        <v>People &amp; Culture</v>
      </c>
      <c r="B386" s="34" t="str">
        <f>_xlfn.XLOOKUP(C386,'[1]SIG Job Families &amp; Descriptions'!F:F,'[1]SIG Job Families &amp; Descriptions'!D:D)</f>
        <v>General HR</v>
      </c>
      <c r="C386" s="34" t="s">
        <v>100</v>
      </c>
      <c r="D386" s="30" t="str">
        <f t="shared" si="10"/>
        <v>AHR</v>
      </c>
      <c r="E386" s="31" t="str">
        <f>_xlfn.XLOOKUP(C386,'[1]SIG Job Families &amp; Descriptions'!F:F,'[1]SIG Job Families &amp; Descriptions'!A:A)</f>
        <v>AHR000</v>
      </c>
      <c r="F386" s="32" t="s">
        <v>29</v>
      </c>
      <c r="G386" s="33" t="s">
        <v>36</v>
      </c>
      <c r="H386" s="34" t="str">
        <f>F386&amp;"-"&amp;G386</f>
        <v>Management-10</v>
      </c>
      <c r="I386" s="35" t="str">
        <f>IF(ISERROR(_xlfn.XLOOKUP(H386,'[1]SIG Level Structure'!D:D,'[1]SIG Level Structure'!D:D)),"0","1")</f>
        <v>1</v>
      </c>
      <c r="J386" s="36" t="str">
        <f>_xlfn.XLOOKUP($H386,'[1]SIG Level Structure'!$D:$D,'[1]SIG Level Structure'!F:F)</f>
        <v>M1</v>
      </c>
      <c r="K386" s="37" t="str">
        <f>E386&amp;"-"&amp;J386&amp;"-"&amp;G386</f>
        <v>AHR000-M1-10</v>
      </c>
      <c r="L386" s="37" t="str">
        <f>IFERROR(D386&amp;"-"&amp;LEFT(J386,1),"--")</f>
        <v>AHR-M</v>
      </c>
      <c r="M386" s="37" t="str">
        <f>VLOOKUP(L386,'[1]Compatible JC'!$A:$A,1,FALSE)</f>
        <v>AHR-M</v>
      </c>
      <c r="N386" s="37" t="str">
        <f>IFERROR(_xlfn.XLOOKUP(H386,'[1]SIG Level Structure'!D:D,'[1]SIG Level Structure'!C:C),"--")</f>
        <v>Supervisor</v>
      </c>
      <c r="O386" s="38" t="str">
        <f>IFERROR(TRIM(N386&amp;" "&amp;C386),"--")</f>
        <v>Supervisor General HR</v>
      </c>
      <c r="P386" s="22" t="str">
        <f>_xlfn.XLOOKUP(E386,'[1]SIG Job Families &amp; Descriptions'!A:A,'[1]SIG Job Families &amp; Descriptions'!G:G)</f>
        <v xml:space="preserve">Designs, implements and monitors a variety of human resource programs. Anticipates and plans for long-term human resource needs and trends in partnership with business management. HR generalists are responsible for the deployment of all HR strategy processes and act as a business partner to operational staff.  Their role covers all or a large part of HR activities. Also HR Business Partnering positions and positions with regards to Labor Relations are covered here. </v>
      </c>
      <c r="Q386" s="39" t="str">
        <f>_xlfn.XLOOKUP(E386,'[1]2022 GI Position Descriptions'!E:E,'[1]2022 GI Position Descriptions'!G:G)</f>
        <v>Designs, implements and monitors a variety of human resource programs | Anticipates and plans for long-term human resource needs and trends in partnership with business management | Responsibilities are within the Human Resources Function as a generalist or in a combination of Disciplines</v>
      </c>
      <c r="R386" s="22" t="str">
        <f>IF(LEFT(J386,1)="E","EX",LEFT(J386,1))</f>
        <v>M</v>
      </c>
      <c r="S386" s="22" t="str">
        <f>_xlfn.XLOOKUP($R386,'[1]Career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386" s="22" t="str">
        <f>J386</f>
        <v>M1</v>
      </c>
      <c r="U386" s="40" t="str">
        <f t="shared" si="11"/>
        <v>M1</v>
      </c>
      <c r="V386" s="22" t="str">
        <f>_xlfn.XLOOKUP(T386,'[1]Career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386" s="41" t="str">
        <f>J386&amp;"-"&amp;G386</f>
        <v>M1-10</v>
      </c>
      <c r="X386" s="42" t="str">
        <f>G386</f>
        <v>10</v>
      </c>
      <c r="Y386" s="22" t="str">
        <f>_xlfn.XLOOKUP(W386,'[1]Career Bands &amp; Levels'!A:A,'[1]Career Bands &amp; Levels'!C:C,"No Grade Differentiator")</f>
        <v xml:space="preserve">●	Accountable for the results of medium-sized routine support or production operations teams		
●	Solves problems based on practice and precedent		
●	Trains team members and provides input to employee performance evaluations		</v>
      </c>
      <c r="Z386" s="43" t="str">
        <f>IFERROR(O386&amp;" - "&amp;G386,"--")</f>
        <v>Supervisor General HR - 10</v>
      </c>
      <c r="AA386" s="44" t="str">
        <f>_xlfn.XLOOKUP($H386,'[1]SIG Qualifications Input'!$D:$D,'[1]SIG Qualifications Input'!$H:$H)</f>
        <v>University degree or equivalent and 5-7 years of work experience or equivalent
Experienced in application of management techniques
Experience in operationally managing a mixed-level team</v>
      </c>
    </row>
    <row r="387" spans="1:27" ht="169" thickBot="1" x14ac:dyDescent="0.2">
      <c r="A387" s="34" t="str">
        <f>_xlfn.XLOOKUP(C387,'[1]SIG Job Families &amp; Descriptions'!F:F,'[1]SIG Job Families &amp; Descriptions'!B:B)</f>
        <v>People &amp; Culture</v>
      </c>
      <c r="B387" s="34" t="str">
        <f>_xlfn.XLOOKUP(C387,'[1]SIG Job Families &amp; Descriptions'!F:F,'[1]SIG Job Families &amp; Descriptions'!D:D)</f>
        <v>General HR</v>
      </c>
      <c r="C387" s="34" t="s">
        <v>100</v>
      </c>
      <c r="D387" s="30" t="str">
        <f t="shared" ref="D387:D450" si="12">LEFT(E387,3)</f>
        <v>AHR</v>
      </c>
      <c r="E387" s="31" t="str">
        <f>_xlfn.XLOOKUP(C387,'[1]SIG Job Families &amp; Descriptions'!F:F,'[1]SIG Job Families &amp; Descriptions'!A:A)</f>
        <v>AHR000</v>
      </c>
      <c r="F387" s="32" t="s">
        <v>32</v>
      </c>
      <c r="G387" s="33" t="s">
        <v>36</v>
      </c>
      <c r="H387" s="34" t="str">
        <f>F387&amp;"-"&amp;G387</f>
        <v>Professional-10</v>
      </c>
      <c r="I387" s="35" t="str">
        <f>IF(ISERROR(_xlfn.XLOOKUP(H387,'[1]SIG Level Structure'!D:D,'[1]SIG Level Structure'!D:D)),"0","1")</f>
        <v>1</v>
      </c>
      <c r="J387" s="36" t="str">
        <f>_xlfn.XLOOKUP($H387,'[1]SIG Level Structure'!$D:$D,'[1]SIG Level Structure'!F:F)</f>
        <v>P2</v>
      </c>
      <c r="K387" s="37" t="str">
        <f>E387&amp;"-"&amp;J387&amp;"-"&amp;G387</f>
        <v>AHR000-P2-10</v>
      </c>
      <c r="L387" s="37" t="str">
        <f>IFERROR(D387&amp;"-"&amp;LEFT(J387,1),"--")</f>
        <v>AHR-P</v>
      </c>
      <c r="M387" s="37" t="str">
        <f>VLOOKUP(L387,'[1]Compatible JC'!$A:$A,1,FALSE)</f>
        <v>AHR-P</v>
      </c>
      <c r="N387" s="37" t="str">
        <f>IFERROR(_xlfn.XLOOKUP(H387,'[1]SIG Level Structure'!D:D,'[1]SIG Level Structure'!C:C),"--")</f>
        <v>Senior Specialist</v>
      </c>
      <c r="O387" s="38" t="str">
        <f>IFERROR(TRIM(N387&amp;" "&amp;C387),"--")</f>
        <v>Senior Specialist General HR</v>
      </c>
      <c r="P387" s="22" t="str">
        <f>_xlfn.XLOOKUP(E387,'[1]SIG Job Families &amp; Descriptions'!A:A,'[1]SIG Job Families &amp; Descriptions'!G:G)</f>
        <v xml:space="preserve">Designs, implements and monitors a variety of human resource programs. Anticipates and plans for long-term human resource needs and trends in partnership with business management. HR generalists are responsible for the deployment of all HR strategy processes and act as a business partner to operational staff.  Their role covers all or a large part of HR activities. Also HR Business Partnering positions and positions with regards to Labor Relations are covered here. </v>
      </c>
      <c r="Q387" s="39" t="str">
        <f>_xlfn.XLOOKUP(E387,'[1]2022 GI Position Descriptions'!E:E,'[1]2022 GI Position Descriptions'!G:G)</f>
        <v>Designs, implements and monitors a variety of human resource programs | Anticipates and plans for long-term human resource needs and trends in partnership with business management | Responsibilities are within the Human Resources Function as a generalist or in a combination of Disciplines</v>
      </c>
      <c r="R387" s="22" t="str">
        <f>IF(LEFT(J387,1)="E","EX",LEFT(J387,1))</f>
        <v>P</v>
      </c>
      <c r="S387" s="22" t="str">
        <f>_xlfn.XLOOKUP($R387,'[1]Career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87" s="22" t="str">
        <f>J387</f>
        <v>P2</v>
      </c>
      <c r="U387" s="40" t="str">
        <f t="shared" ref="U387:U450" si="13">T387</f>
        <v>P2</v>
      </c>
      <c r="V387" s="22" t="str">
        <f>_xlfn.XLOOKUP(T387,'[1]Career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387" s="41" t="str">
        <f>J387&amp;"-"&amp;G387</f>
        <v>P2-10</v>
      </c>
      <c r="X387" s="42" t="str">
        <f>G387</f>
        <v>10</v>
      </c>
      <c r="Y387" s="22" t="str">
        <f>_xlfn.XLOOKUP(W387,'[1]Career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387" s="43" t="str">
        <f>IFERROR(O387&amp;" - "&amp;G387,"--")</f>
        <v>Senior Specialist General HR - 10</v>
      </c>
      <c r="AA387" s="44" t="str">
        <f>_xlfn.XLOOKUP($H387,'[1]SIG Qualifications Input'!$D:$D,'[1]SIG Qualifications Input'!$H:$H)</f>
        <v>University degree or equivalent and 2-4 years of work experience or equivalent</v>
      </c>
    </row>
    <row r="388" spans="1:27" ht="169" thickBot="1" x14ac:dyDescent="0.2">
      <c r="A388" s="34" t="str">
        <f>_xlfn.XLOOKUP(C388,'[1]SIG Job Families &amp; Descriptions'!F:F,'[1]SIG Job Families &amp; Descriptions'!B:B)</f>
        <v>People &amp; Culture</v>
      </c>
      <c r="B388" s="34" t="str">
        <f>_xlfn.XLOOKUP(C388,'[1]SIG Job Families &amp; Descriptions'!F:F,'[1]SIG Job Families &amp; Descriptions'!D:D)</f>
        <v>General HR</v>
      </c>
      <c r="C388" s="34" t="s">
        <v>100</v>
      </c>
      <c r="D388" s="30" t="str">
        <f t="shared" si="12"/>
        <v>AHR</v>
      </c>
      <c r="E388" s="31" t="str">
        <f>_xlfn.XLOOKUP(C388,'[1]SIG Job Families &amp; Descriptions'!F:F,'[1]SIG Job Families &amp; Descriptions'!A:A)</f>
        <v>AHR000</v>
      </c>
      <c r="F388" s="32" t="s">
        <v>32</v>
      </c>
      <c r="G388" s="33" t="s">
        <v>37</v>
      </c>
      <c r="H388" s="34" t="str">
        <f>F388&amp;"-"&amp;G388</f>
        <v>Professional-09</v>
      </c>
      <c r="I388" s="35" t="str">
        <f>IF(ISERROR(_xlfn.XLOOKUP(H388,'[1]SIG Level Structure'!D:D,'[1]SIG Level Structure'!D:D)),"0","1")</f>
        <v>1</v>
      </c>
      <c r="J388" s="36" t="str">
        <f>_xlfn.XLOOKUP($H388,'[1]SIG Level Structure'!$D:$D,'[1]SIG Level Structure'!F:F)</f>
        <v>P2</v>
      </c>
      <c r="K388" s="37" t="str">
        <f>E388&amp;"-"&amp;J388&amp;"-"&amp;G388</f>
        <v>AHR000-P2-09</v>
      </c>
      <c r="L388" s="37" t="str">
        <f>IFERROR(D388&amp;"-"&amp;LEFT(J388,1),"--")</f>
        <v>AHR-P</v>
      </c>
      <c r="M388" s="37" t="str">
        <f>VLOOKUP(L388,'[1]Compatible JC'!$A:$A,1,FALSE)</f>
        <v>AHR-P</v>
      </c>
      <c r="N388" s="37" t="str">
        <f>IFERROR(_xlfn.XLOOKUP(H388,'[1]SIG Level Structure'!D:D,'[1]SIG Level Structure'!C:C),"--")</f>
        <v>Senior Specialist</v>
      </c>
      <c r="O388" s="38" t="str">
        <f>IFERROR(TRIM(N388&amp;" "&amp;C388),"--")</f>
        <v>Senior Specialist General HR</v>
      </c>
      <c r="P388" s="22" t="str">
        <f>_xlfn.XLOOKUP(E388,'[1]SIG Job Families &amp; Descriptions'!A:A,'[1]SIG Job Families &amp; Descriptions'!G:G)</f>
        <v xml:space="preserve">Designs, implements and monitors a variety of human resource programs. Anticipates and plans for long-term human resource needs and trends in partnership with business management. HR generalists are responsible for the deployment of all HR strategy processes and act as a business partner to operational staff.  Their role covers all or a large part of HR activities. Also HR Business Partnering positions and positions with regards to Labor Relations are covered here. </v>
      </c>
      <c r="Q388" s="39" t="str">
        <f>_xlfn.XLOOKUP(E388,'[1]2022 GI Position Descriptions'!E:E,'[1]2022 GI Position Descriptions'!G:G)</f>
        <v>Designs, implements and monitors a variety of human resource programs | Anticipates and plans for long-term human resource needs and trends in partnership with business management | Responsibilities are within the Human Resources Function as a generalist or in a combination of Disciplines</v>
      </c>
      <c r="R388" s="22" t="str">
        <f>IF(LEFT(J388,1)="E","EX",LEFT(J388,1))</f>
        <v>P</v>
      </c>
      <c r="S388" s="22" t="str">
        <f>_xlfn.XLOOKUP($R388,'[1]Career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88" s="22" t="str">
        <f>J388</f>
        <v>P2</v>
      </c>
      <c r="U388" s="40" t="str">
        <f t="shared" si="13"/>
        <v>P2</v>
      </c>
      <c r="V388" s="22" t="str">
        <f>_xlfn.XLOOKUP(T388,'[1]Career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388" s="41" t="str">
        <f>J388&amp;"-"&amp;G388</f>
        <v>P2-09</v>
      </c>
      <c r="X388" s="42" t="str">
        <f>G388</f>
        <v>09</v>
      </c>
      <c r="Y388" s="22" t="str">
        <f>_xlfn.XLOOKUP(W388,'[1]Career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388" s="43" t="str">
        <f>IFERROR(O388&amp;" - "&amp;G388,"--")</f>
        <v>Senior Specialist General HR - 09</v>
      </c>
      <c r="AA388" s="44" t="str">
        <f>_xlfn.XLOOKUP($H388,'[1]SIG Qualifications Input'!$D:$D,'[1]SIG Qualifications Input'!$H:$H)</f>
        <v>University degree or equivalent and 2-4 years of work experience or equivalent</v>
      </c>
    </row>
    <row r="389" spans="1:27" ht="183" thickBot="1" x14ac:dyDescent="0.2">
      <c r="A389" s="34" t="str">
        <f>_xlfn.XLOOKUP(C389,'[1]SIG Job Families &amp; Descriptions'!F:F,'[1]SIG Job Families &amp; Descriptions'!B:B)</f>
        <v>People &amp; Culture</v>
      </c>
      <c r="B389" s="34" t="str">
        <f>_xlfn.XLOOKUP(C389,'[1]SIG Job Families &amp; Descriptions'!F:F,'[1]SIG Job Families &amp; Descriptions'!D:D)</f>
        <v>General HR</v>
      </c>
      <c r="C389" s="34" t="s">
        <v>101</v>
      </c>
      <c r="D389" s="30" t="str">
        <f t="shared" si="12"/>
        <v>AHR</v>
      </c>
      <c r="E389" s="31" t="str">
        <f>_xlfn.XLOOKUP(C389,'[1]SIG Job Families &amp; Descriptions'!F:F,'[1]SIG Job Families &amp; Descriptions'!A:A)</f>
        <v>AHR005</v>
      </c>
      <c r="F389" s="32" t="s">
        <v>29</v>
      </c>
      <c r="G389" s="33" t="s">
        <v>33</v>
      </c>
      <c r="H389" s="34" t="str">
        <f>F389&amp;"-"&amp;G389</f>
        <v>Management-13</v>
      </c>
      <c r="I389" s="35" t="str">
        <f>IF(ISERROR(_xlfn.XLOOKUP(H389,'[1]SIG Level Structure'!D:D,'[1]SIG Level Structure'!D:D)),"0","1")</f>
        <v>1</v>
      </c>
      <c r="J389" s="36" t="str">
        <f>_xlfn.XLOOKUP($H389,'[1]SIG Level Structure'!$D:$D,'[1]SIG Level Structure'!F:F)</f>
        <v>M2</v>
      </c>
      <c r="K389" s="37" t="str">
        <f>E389&amp;"-"&amp;J389&amp;"-"&amp;G389</f>
        <v>AHR005-M2-13</v>
      </c>
      <c r="L389" s="37" t="str">
        <f>IFERROR(D389&amp;"-"&amp;LEFT(J389,1),"--")</f>
        <v>AHR-M</v>
      </c>
      <c r="M389" s="37" t="str">
        <f>VLOOKUP(L389,'[1]Compatible JC'!$A:$A,1,FALSE)</f>
        <v>AHR-M</v>
      </c>
      <c r="N389" s="37" t="str">
        <f>IFERROR(_xlfn.XLOOKUP(H389,'[1]SIG Level Structure'!D:D,'[1]SIG Level Structure'!C:C),"--")</f>
        <v>Manager</v>
      </c>
      <c r="O389" s="38" t="str">
        <f>IFERROR(TRIM(N389&amp;" "&amp;C389),"--")</f>
        <v>Manager HR Business Partnering</v>
      </c>
      <c r="P389" s="22" t="str">
        <f>_xlfn.XLOOKUP(E389,'[1]SIG Job Families &amp; Descriptions'!A:A,'[1]SIG Job Families &amp; Descriptions'!G:G)</f>
        <v xml:space="preserve">Designs, implements and monitors a variety of human resource programs. Anticipates and plans for long-term human resource needs and trends in partnership with business management. HR generalists are responsible for the deployment of all HR strategy processes and act as a business partner to operational staff.  Their role covers all or a large part of HR activities. Also HR Business Partnering positions and positions with regards to Labor Relations are covered here. </v>
      </c>
      <c r="Q389" s="39" t="str">
        <f>_xlfn.XLOOKUP(E389,'[1]2022 GI Position Descriptions'!E:E,'[1]2022 GI Position Descriptions'!G:G)</f>
        <v>Works closely with senior management within specific business units or regions to develop and implement predominately medium to long-term HR solutions aligned to business strategy | Supported by centralized HR professionals who have specialized in particular functions</v>
      </c>
      <c r="R389" s="22" t="str">
        <f>IF(LEFT(J389,1)="E","EX",LEFT(J389,1))</f>
        <v>M</v>
      </c>
      <c r="S389" s="22" t="str">
        <f>_xlfn.XLOOKUP($R389,'[1]Career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389" s="22" t="str">
        <f>J389</f>
        <v>M2</v>
      </c>
      <c r="U389" s="40" t="str">
        <f t="shared" si="13"/>
        <v>M2</v>
      </c>
      <c r="V389" s="22" t="str">
        <f>_xlfn.XLOOKUP(T389,'[1]Career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389" s="41" t="str">
        <f>J389&amp;"-"&amp;G389</f>
        <v>M2-13</v>
      </c>
      <c r="X389" s="42" t="str">
        <f>G389</f>
        <v>13</v>
      </c>
      <c r="Y389" s="22" t="str">
        <f>_xlfn.XLOOKUP(W389,'[1]Career Bands &amp; Levels'!A:A,'[1]Career Bands &amp; Levels'!C:C,"No Grade Differentiator")</f>
        <v>●	Accountable for the budget, performance and results of a medium-sized team or multiple small teams of employees		
●	Exercises full management authority, including performance reviews, pay decisions, recruitment, discipline, termination and other personnel actions		
●	Addresses issues with impact beyond own team based on knowledge of related disciplines</v>
      </c>
      <c r="Z389" s="43" t="str">
        <f>IFERROR(O389&amp;" - "&amp;G389,"--")</f>
        <v>Manager HR Business Partnering - 13</v>
      </c>
      <c r="AA389" s="44" t="str">
        <f>_xlfn.XLOOKUP($H389,'[1]SIG Qualifications Input'!$D:$D,'[1]SIG Qualifications Input'!$H:$H)</f>
        <v>University degree or equivalent and 7-10 years of work experience or equivalent
Experience in managing mixed-level team(s) of professionals and subordinate managers</v>
      </c>
    </row>
    <row r="390" spans="1:27" ht="183" thickBot="1" x14ac:dyDescent="0.2">
      <c r="A390" s="34" t="str">
        <f>_xlfn.XLOOKUP(C390,'[1]SIG Job Families &amp; Descriptions'!F:F,'[1]SIG Job Families &amp; Descriptions'!B:B)</f>
        <v>People &amp; Culture</v>
      </c>
      <c r="B390" s="34" t="str">
        <f>_xlfn.XLOOKUP(C390,'[1]SIG Job Families &amp; Descriptions'!F:F,'[1]SIG Job Families &amp; Descriptions'!D:D)</f>
        <v>General HR</v>
      </c>
      <c r="C390" s="34" t="s">
        <v>101</v>
      </c>
      <c r="D390" s="30" t="str">
        <f t="shared" si="12"/>
        <v>AHR</v>
      </c>
      <c r="E390" s="31" t="str">
        <f>_xlfn.XLOOKUP(C390,'[1]SIG Job Families &amp; Descriptions'!F:F,'[1]SIG Job Families &amp; Descriptions'!A:A)</f>
        <v>AHR005</v>
      </c>
      <c r="F390" s="32" t="s">
        <v>29</v>
      </c>
      <c r="G390" s="33" t="s">
        <v>34</v>
      </c>
      <c r="H390" s="34" t="str">
        <f>F390&amp;"-"&amp;G390</f>
        <v>Management-12</v>
      </c>
      <c r="I390" s="35" t="str">
        <f>IF(ISERROR(_xlfn.XLOOKUP(H390,'[1]SIG Level Structure'!D:D,'[1]SIG Level Structure'!D:D)),"0","1")</f>
        <v>1</v>
      </c>
      <c r="J390" s="36" t="str">
        <f>_xlfn.XLOOKUP($H390,'[1]SIG Level Structure'!$D:$D,'[1]SIG Level Structure'!F:F)</f>
        <v>M2</v>
      </c>
      <c r="K390" s="37" t="str">
        <f>E390&amp;"-"&amp;J390&amp;"-"&amp;G390</f>
        <v>AHR005-M2-12</v>
      </c>
      <c r="L390" s="37" t="str">
        <f>IFERROR(D390&amp;"-"&amp;LEFT(J390,1),"--")</f>
        <v>AHR-M</v>
      </c>
      <c r="M390" s="37" t="str">
        <f>VLOOKUP(L390,'[1]Compatible JC'!$A:$A,1,FALSE)</f>
        <v>AHR-M</v>
      </c>
      <c r="N390" s="37" t="str">
        <f>IFERROR(_xlfn.XLOOKUP(H390,'[1]SIG Level Structure'!D:D,'[1]SIG Level Structure'!C:C),"--")</f>
        <v>Manager</v>
      </c>
      <c r="O390" s="38" t="str">
        <f>IFERROR(TRIM(N390&amp;" "&amp;C390),"--")</f>
        <v>Manager HR Business Partnering</v>
      </c>
      <c r="P390" s="22" t="str">
        <f>_xlfn.XLOOKUP(E390,'[1]SIG Job Families &amp; Descriptions'!A:A,'[1]SIG Job Families &amp; Descriptions'!G:G)</f>
        <v xml:space="preserve">Designs, implements and monitors a variety of human resource programs. Anticipates and plans for long-term human resource needs and trends in partnership with business management. HR generalists are responsible for the deployment of all HR strategy processes and act as a business partner to operational staff.  Their role covers all or a large part of HR activities. Also HR Business Partnering positions and positions with regards to Labor Relations are covered here. </v>
      </c>
      <c r="Q390" s="39" t="str">
        <f>_xlfn.XLOOKUP(E390,'[1]2022 GI Position Descriptions'!E:E,'[1]2022 GI Position Descriptions'!G:G)</f>
        <v>Works closely with senior management within specific business units or regions to develop and implement predominately medium to long-term HR solutions aligned to business strategy | Supported by centralized HR professionals who have specialized in particular functions</v>
      </c>
      <c r="R390" s="22" t="str">
        <f>IF(LEFT(J390,1)="E","EX",LEFT(J390,1))</f>
        <v>M</v>
      </c>
      <c r="S390" s="22" t="str">
        <f>_xlfn.XLOOKUP($R390,'[1]Career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390" s="22" t="str">
        <f>J390</f>
        <v>M2</v>
      </c>
      <c r="U390" s="40" t="str">
        <f t="shared" si="13"/>
        <v>M2</v>
      </c>
      <c r="V390" s="22" t="str">
        <f>_xlfn.XLOOKUP(T390,'[1]Career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390" s="41" t="str">
        <f>J390&amp;"-"&amp;G390</f>
        <v>M2-12</v>
      </c>
      <c r="X390" s="42" t="str">
        <f>G390</f>
        <v>12</v>
      </c>
      <c r="Y390" s="22" t="str">
        <f>_xlfn.XLOOKUP(W390,'[1]Career Bands &amp; Levels'!A:A,'[1]Career Bands &amp; Levels'!C:C,"No Grade Differentiator")</f>
        <v xml:space="preserve">●	Accountable for results of a small team of employees		
●	Exercises limited management authority; sets employee performance objectives, conducts performance reviews and recommends pay actions		
●	Defines team operating standards and ensures essential procedures are followed based on knowledge of own discipline		</v>
      </c>
      <c r="Z390" s="43" t="str">
        <f>IFERROR(O390&amp;" - "&amp;G390,"--")</f>
        <v>Manager HR Business Partnering - 12</v>
      </c>
      <c r="AA390" s="44" t="str">
        <f>_xlfn.XLOOKUP($H390,'[1]SIG Qualifications Input'!$D:$D,'[1]SIG Qualifications Input'!$H:$H)</f>
        <v>University degree or equivalent and 7-10 years of work experience or equivalent
Experience in managing mixed-level team(s) of professionals and subordinate managers</v>
      </c>
    </row>
    <row r="391" spans="1:27" ht="169" thickBot="1" x14ac:dyDescent="0.2">
      <c r="A391" s="34" t="str">
        <f>_xlfn.XLOOKUP(C391,'[1]SIG Job Families &amp; Descriptions'!F:F,'[1]SIG Job Families &amp; Descriptions'!B:B)</f>
        <v>People &amp; Culture</v>
      </c>
      <c r="B391" s="34" t="str">
        <f>_xlfn.XLOOKUP(C391,'[1]SIG Job Families &amp; Descriptions'!F:F,'[1]SIG Job Families &amp; Descriptions'!D:D)</f>
        <v>General HR</v>
      </c>
      <c r="C391" s="34" t="s">
        <v>101</v>
      </c>
      <c r="D391" s="30" t="str">
        <f t="shared" si="12"/>
        <v>AHR</v>
      </c>
      <c r="E391" s="31" t="str">
        <f>_xlfn.XLOOKUP(C391,'[1]SIG Job Families &amp; Descriptions'!F:F,'[1]SIG Job Families &amp; Descriptions'!A:A)</f>
        <v>AHR005</v>
      </c>
      <c r="F391" s="32" t="s">
        <v>32</v>
      </c>
      <c r="G391" s="33" t="s">
        <v>34</v>
      </c>
      <c r="H391" s="34" t="str">
        <f>F391&amp;"-"&amp;G391</f>
        <v>Professional-12</v>
      </c>
      <c r="I391" s="35" t="str">
        <f>IF(ISERROR(_xlfn.XLOOKUP(H391,'[1]SIG Level Structure'!D:D,'[1]SIG Level Structure'!D:D)),"0","1")</f>
        <v>1</v>
      </c>
      <c r="J391" s="36" t="str">
        <f>_xlfn.XLOOKUP($H391,'[1]SIG Level Structure'!$D:$D,'[1]SIG Level Structure'!F:F)</f>
        <v>P3</v>
      </c>
      <c r="K391" s="37" t="str">
        <f>E391&amp;"-"&amp;J391&amp;"-"&amp;G391</f>
        <v>AHR005-P3-12</v>
      </c>
      <c r="L391" s="37" t="str">
        <f>IFERROR(D391&amp;"-"&amp;LEFT(J391,1),"--")</f>
        <v>AHR-P</v>
      </c>
      <c r="M391" s="37" t="str">
        <f>VLOOKUP(L391,'[1]Compatible JC'!$A:$A,1,FALSE)</f>
        <v>AHR-P</v>
      </c>
      <c r="N391" s="37" t="str">
        <f>IFERROR(_xlfn.XLOOKUP(H391,'[1]SIG Level Structure'!D:D,'[1]SIG Level Structure'!C:C),"--")</f>
        <v>Expert</v>
      </c>
      <c r="O391" s="38" t="str">
        <f>IFERROR(TRIM(N391&amp;" "&amp;C391),"--")</f>
        <v>Expert HR Business Partnering</v>
      </c>
      <c r="P391" s="22" t="str">
        <f>_xlfn.XLOOKUP(E391,'[1]SIG Job Families &amp; Descriptions'!A:A,'[1]SIG Job Families &amp; Descriptions'!G:G)</f>
        <v xml:space="preserve">Designs, implements and monitors a variety of human resource programs. Anticipates and plans for long-term human resource needs and trends in partnership with business management. HR generalists are responsible for the deployment of all HR strategy processes and act as a business partner to operational staff.  Their role covers all or a large part of HR activities. Also HR Business Partnering positions and positions with regards to Labor Relations are covered here. </v>
      </c>
      <c r="Q391" s="39" t="str">
        <f>_xlfn.XLOOKUP(E391,'[1]2022 GI Position Descriptions'!E:E,'[1]2022 GI Position Descriptions'!G:G)</f>
        <v>Works closely with senior management within specific business units or regions to develop and implement predominately medium to long-term HR solutions aligned to business strategy | Supported by centralized HR professionals who have specialized in particular functions</v>
      </c>
      <c r="R391" s="22" t="str">
        <f>IF(LEFT(J391,1)="E","EX",LEFT(J391,1))</f>
        <v>P</v>
      </c>
      <c r="S391" s="22" t="str">
        <f>_xlfn.XLOOKUP($R391,'[1]Career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91" s="22" t="str">
        <f>J391</f>
        <v>P3</v>
      </c>
      <c r="U391" s="40" t="str">
        <f t="shared" si="13"/>
        <v>P3</v>
      </c>
      <c r="V391" s="22" t="str">
        <f>_xlfn.XLOOKUP(T391,'[1]Career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391" s="41" t="str">
        <f>J391&amp;"-"&amp;G391</f>
        <v>P3-12</v>
      </c>
      <c r="X391" s="42" t="str">
        <f>G391</f>
        <v>12</v>
      </c>
      <c r="Y391" s="22" t="str">
        <f>_xlfn.XLOOKUP(W391,'[1]Career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391" s="43" t="str">
        <f>IFERROR(O391&amp;" - "&amp;G391,"--")</f>
        <v>Expert HR Business Partnering - 12</v>
      </c>
      <c r="AA391" s="44" t="str">
        <f>_xlfn.XLOOKUP($H391,'[1]SIG Qualifications Input'!$D:$D,'[1]SIG Qualifications Input'!$H:$H)</f>
        <v>University degree or equivalent and 4-8 years of work experience or equivalent, 
Initial experience in functionally leading (sub-) projects</v>
      </c>
    </row>
    <row r="392" spans="1:27" ht="169" thickBot="1" x14ac:dyDescent="0.2">
      <c r="A392" s="34" t="str">
        <f>_xlfn.XLOOKUP(C392,'[1]SIG Job Families &amp; Descriptions'!F:F,'[1]SIG Job Families &amp; Descriptions'!B:B)</f>
        <v>People &amp; Culture</v>
      </c>
      <c r="B392" s="34" t="str">
        <f>_xlfn.XLOOKUP(C392,'[1]SIG Job Families &amp; Descriptions'!F:F,'[1]SIG Job Families &amp; Descriptions'!D:D)</f>
        <v>General HR</v>
      </c>
      <c r="C392" s="34" t="s">
        <v>101</v>
      </c>
      <c r="D392" s="30" t="str">
        <f t="shared" si="12"/>
        <v>AHR</v>
      </c>
      <c r="E392" s="31" t="str">
        <f>_xlfn.XLOOKUP(C392,'[1]SIG Job Families &amp; Descriptions'!F:F,'[1]SIG Job Families &amp; Descriptions'!A:A)</f>
        <v>AHR005</v>
      </c>
      <c r="F392" s="32" t="s">
        <v>32</v>
      </c>
      <c r="G392" s="33" t="s">
        <v>35</v>
      </c>
      <c r="H392" s="34" t="str">
        <f>F392&amp;"-"&amp;G392</f>
        <v>Professional-11</v>
      </c>
      <c r="I392" s="35" t="str">
        <f>IF(ISERROR(_xlfn.XLOOKUP(H392,'[1]SIG Level Structure'!D:D,'[1]SIG Level Structure'!D:D)),"0","1")</f>
        <v>1</v>
      </c>
      <c r="J392" s="36" t="str">
        <f>_xlfn.XLOOKUP($H392,'[1]SIG Level Structure'!$D:$D,'[1]SIG Level Structure'!F:F)</f>
        <v>P3</v>
      </c>
      <c r="K392" s="37" t="str">
        <f>E392&amp;"-"&amp;J392&amp;"-"&amp;G392</f>
        <v>AHR005-P3-11</v>
      </c>
      <c r="L392" s="37" t="str">
        <f>IFERROR(D392&amp;"-"&amp;LEFT(J392,1),"--")</f>
        <v>AHR-P</v>
      </c>
      <c r="M392" s="37" t="str">
        <f>VLOOKUP(L392,'[1]Compatible JC'!$A:$A,1,FALSE)</f>
        <v>AHR-P</v>
      </c>
      <c r="N392" s="37" t="str">
        <f>IFERROR(_xlfn.XLOOKUP(H392,'[1]SIG Level Structure'!D:D,'[1]SIG Level Structure'!C:C),"--")</f>
        <v>Expert</v>
      </c>
      <c r="O392" s="38" t="str">
        <f>IFERROR(TRIM(N392&amp;" "&amp;C392),"--")</f>
        <v>Expert HR Business Partnering</v>
      </c>
      <c r="P392" s="22" t="str">
        <f>_xlfn.XLOOKUP(E392,'[1]SIG Job Families &amp; Descriptions'!A:A,'[1]SIG Job Families &amp; Descriptions'!G:G)</f>
        <v xml:space="preserve">Designs, implements and monitors a variety of human resource programs. Anticipates and plans for long-term human resource needs and trends in partnership with business management. HR generalists are responsible for the deployment of all HR strategy processes and act as a business partner to operational staff.  Their role covers all or a large part of HR activities. Also HR Business Partnering positions and positions with regards to Labor Relations are covered here. </v>
      </c>
      <c r="Q392" s="39" t="str">
        <f>_xlfn.XLOOKUP(E392,'[1]2022 GI Position Descriptions'!E:E,'[1]2022 GI Position Descriptions'!G:G)</f>
        <v>Works closely with senior management within specific business units or regions to develop and implement predominately medium to long-term HR solutions aligned to business strategy | Supported by centralized HR professionals who have specialized in particular functions</v>
      </c>
      <c r="R392" s="22" t="str">
        <f>IF(LEFT(J392,1)="E","EX",LEFT(J392,1))</f>
        <v>P</v>
      </c>
      <c r="S392" s="22" t="str">
        <f>_xlfn.XLOOKUP($R392,'[1]Career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92" s="22" t="str">
        <f>J392</f>
        <v>P3</v>
      </c>
      <c r="U392" s="40" t="str">
        <f t="shared" si="13"/>
        <v>P3</v>
      </c>
      <c r="V392" s="22" t="str">
        <f>_xlfn.XLOOKUP(T392,'[1]Career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392" s="41" t="str">
        <f>J392&amp;"-"&amp;G392</f>
        <v>P3-11</v>
      </c>
      <c r="X392" s="42" t="str">
        <f>G392</f>
        <v>11</v>
      </c>
      <c r="Y392" s="22" t="str">
        <f>_xlfn.XLOOKUP(W392,'[1]Career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392" s="43" t="str">
        <f>IFERROR(O392&amp;" - "&amp;G392,"--")</f>
        <v>Expert HR Business Partnering - 11</v>
      </c>
      <c r="AA392" s="44" t="str">
        <f>_xlfn.XLOOKUP($H392,'[1]SIG Qualifications Input'!$D:$D,'[1]SIG Qualifications Input'!$H:$H)</f>
        <v>University degree or equivalent and 4-8 years of work experience or equivalent, 
Initial experience in functionally leading (sub-) projects</v>
      </c>
    </row>
    <row r="393" spans="1:27" ht="169" thickBot="1" x14ac:dyDescent="0.2">
      <c r="A393" s="34" t="str">
        <f>_xlfn.XLOOKUP(C393,'[1]SIG Job Families &amp; Descriptions'!F:F,'[1]SIG Job Families &amp; Descriptions'!B:B)</f>
        <v>People &amp; Culture</v>
      </c>
      <c r="B393" s="34" t="str">
        <f>_xlfn.XLOOKUP(C393,'[1]SIG Job Families &amp; Descriptions'!F:F,'[1]SIG Job Families &amp; Descriptions'!D:D)</f>
        <v>General HR</v>
      </c>
      <c r="C393" s="34" t="s">
        <v>101</v>
      </c>
      <c r="D393" s="30" t="str">
        <f t="shared" si="12"/>
        <v>AHR</v>
      </c>
      <c r="E393" s="31" t="str">
        <f>_xlfn.XLOOKUP(C393,'[1]SIG Job Families &amp; Descriptions'!F:F,'[1]SIG Job Families &amp; Descriptions'!A:A)</f>
        <v>AHR005</v>
      </c>
      <c r="F393" s="32" t="s">
        <v>32</v>
      </c>
      <c r="G393" s="33" t="s">
        <v>36</v>
      </c>
      <c r="H393" s="34" t="str">
        <f>F393&amp;"-"&amp;G393</f>
        <v>Professional-10</v>
      </c>
      <c r="I393" s="35" t="str">
        <f>IF(ISERROR(_xlfn.XLOOKUP(H393,'[1]SIG Level Structure'!D:D,'[1]SIG Level Structure'!D:D)),"0","1")</f>
        <v>1</v>
      </c>
      <c r="J393" s="36" t="str">
        <f>_xlfn.XLOOKUP($H393,'[1]SIG Level Structure'!$D:$D,'[1]SIG Level Structure'!F:F)</f>
        <v>P2</v>
      </c>
      <c r="K393" s="37" t="str">
        <f>E393&amp;"-"&amp;J393&amp;"-"&amp;G393</f>
        <v>AHR005-P2-10</v>
      </c>
      <c r="L393" s="37" t="str">
        <f>IFERROR(D393&amp;"-"&amp;LEFT(J393,1),"--")</f>
        <v>AHR-P</v>
      </c>
      <c r="M393" s="37" t="str">
        <f>VLOOKUP(L393,'[1]Compatible JC'!$A:$A,1,FALSE)</f>
        <v>AHR-P</v>
      </c>
      <c r="N393" s="37" t="str">
        <f>IFERROR(_xlfn.XLOOKUP(H393,'[1]SIG Level Structure'!D:D,'[1]SIG Level Structure'!C:C),"--")</f>
        <v>Senior Specialist</v>
      </c>
      <c r="O393" s="38" t="str">
        <f>IFERROR(TRIM(N393&amp;" "&amp;C393),"--")</f>
        <v>Senior Specialist HR Business Partnering</v>
      </c>
      <c r="P393" s="22" t="str">
        <f>_xlfn.XLOOKUP(E393,'[1]SIG Job Families &amp; Descriptions'!A:A,'[1]SIG Job Families &amp; Descriptions'!G:G)</f>
        <v xml:space="preserve">Designs, implements and monitors a variety of human resource programs. Anticipates and plans for long-term human resource needs and trends in partnership with business management. HR generalists are responsible for the deployment of all HR strategy processes and act as a business partner to operational staff.  Their role covers all or a large part of HR activities. Also HR Business Partnering positions and positions with regards to Labor Relations are covered here. </v>
      </c>
      <c r="Q393" s="39" t="str">
        <f>_xlfn.XLOOKUP(E393,'[1]2022 GI Position Descriptions'!E:E,'[1]2022 GI Position Descriptions'!G:G)</f>
        <v>Works closely with senior management within specific business units or regions to develop and implement predominately medium to long-term HR solutions aligned to business strategy | Supported by centralized HR professionals who have specialized in particular functions</v>
      </c>
      <c r="R393" s="22" t="str">
        <f>IF(LEFT(J393,1)="E","EX",LEFT(J393,1))</f>
        <v>P</v>
      </c>
      <c r="S393" s="22" t="str">
        <f>_xlfn.XLOOKUP($R393,'[1]Career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93" s="22" t="str">
        <f>J393</f>
        <v>P2</v>
      </c>
      <c r="U393" s="40" t="str">
        <f t="shared" si="13"/>
        <v>P2</v>
      </c>
      <c r="V393" s="22" t="str">
        <f>_xlfn.XLOOKUP(T393,'[1]Career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393" s="41" t="str">
        <f>J393&amp;"-"&amp;G393</f>
        <v>P2-10</v>
      </c>
      <c r="X393" s="42" t="str">
        <f>G393</f>
        <v>10</v>
      </c>
      <c r="Y393" s="22" t="str">
        <f>_xlfn.XLOOKUP(W393,'[1]Career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393" s="43" t="str">
        <f>IFERROR(O393&amp;" - "&amp;G393,"--")</f>
        <v>Senior Specialist HR Business Partnering - 10</v>
      </c>
      <c r="AA393" s="44" t="str">
        <f>_xlfn.XLOOKUP($H393,'[1]SIG Qualifications Input'!$D:$D,'[1]SIG Qualifications Input'!$H:$H)</f>
        <v>University degree or equivalent and 2-4 years of work experience or equivalent</v>
      </c>
    </row>
    <row r="394" spans="1:27" ht="169" thickBot="1" x14ac:dyDescent="0.2">
      <c r="A394" s="34" t="str">
        <f>_xlfn.XLOOKUP(C394,'[1]SIG Job Families &amp; Descriptions'!F:F,'[1]SIG Job Families &amp; Descriptions'!B:B)</f>
        <v>People &amp; Culture</v>
      </c>
      <c r="B394" s="34" t="str">
        <f>_xlfn.XLOOKUP(C394,'[1]SIG Job Families &amp; Descriptions'!F:F,'[1]SIG Job Families &amp; Descriptions'!D:D)</f>
        <v>General HR</v>
      </c>
      <c r="C394" s="34" t="s">
        <v>101</v>
      </c>
      <c r="D394" s="30" t="str">
        <f t="shared" si="12"/>
        <v>AHR</v>
      </c>
      <c r="E394" s="31" t="str">
        <f>_xlfn.XLOOKUP(C394,'[1]SIG Job Families &amp; Descriptions'!F:F,'[1]SIG Job Families &amp; Descriptions'!A:A)</f>
        <v>AHR005</v>
      </c>
      <c r="F394" s="32" t="s">
        <v>32</v>
      </c>
      <c r="G394" s="33" t="s">
        <v>37</v>
      </c>
      <c r="H394" s="34" t="str">
        <f>F394&amp;"-"&amp;G394</f>
        <v>Professional-09</v>
      </c>
      <c r="I394" s="35" t="str">
        <f>IF(ISERROR(_xlfn.XLOOKUP(H394,'[1]SIG Level Structure'!D:D,'[1]SIG Level Structure'!D:D)),"0","1")</f>
        <v>1</v>
      </c>
      <c r="J394" s="36" t="str">
        <f>_xlfn.XLOOKUP($H394,'[1]SIG Level Structure'!$D:$D,'[1]SIG Level Structure'!F:F)</f>
        <v>P2</v>
      </c>
      <c r="K394" s="37" t="str">
        <f>E394&amp;"-"&amp;J394&amp;"-"&amp;G394</f>
        <v>AHR005-P2-09</v>
      </c>
      <c r="L394" s="37" t="str">
        <f>IFERROR(D394&amp;"-"&amp;LEFT(J394,1),"--")</f>
        <v>AHR-P</v>
      </c>
      <c r="M394" s="37" t="str">
        <f>VLOOKUP(L394,'[1]Compatible JC'!$A:$A,1,FALSE)</f>
        <v>AHR-P</v>
      </c>
      <c r="N394" s="37" t="str">
        <f>IFERROR(_xlfn.XLOOKUP(H394,'[1]SIG Level Structure'!D:D,'[1]SIG Level Structure'!C:C),"--")</f>
        <v>Senior Specialist</v>
      </c>
      <c r="O394" s="38" t="str">
        <f>IFERROR(TRIM(N394&amp;" "&amp;C394),"--")</f>
        <v>Senior Specialist HR Business Partnering</v>
      </c>
      <c r="P394" s="22" t="str">
        <f>_xlfn.XLOOKUP(E394,'[1]SIG Job Families &amp; Descriptions'!A:A,'[1]SIG Job Families &amp; Descriptions'!G:G)</f>
        <v xml:space="preserve">Designs, implements and monitors a variety of human resource programs. Anticipates and plans for long-term human resource needs and trends in partnership with business management. HR generalists are responsible for the deployment of all HR strategy processes and act as a business partner to operational staff.  Their role covers all or a large part of HR activities. Also HR Business Partnering positions and positions with regards to Labor Relations are covered here. </v>
      </c>
      <c r="Q394" s="39" t="str">
        <f>_xlfn.XLOOKUP(E394,'[1]2022 GI Position Descriptions'!E:E,'[1]2022 GI Position Descriptions'!G:G)</f>
        <v>Works closely with senior management within specific business units or regions to develop and implement predominately medium to long-term HR solutions aligned to business strategy | Supported by centralized HR professionals who have specialized in particular functions</v>
      </c>
      <c r="R394" s="22" t="str">
        <f>IF(LEFT(J394,1)="E","EX",LEFT(J394,1))</f>
        <v>P</v>
      </c>
      <c r="S394" s="22" t="str">
        <f>_xlfn.XLOOKUP($R394,'[1]Career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94" s="22" t="str">
        <f>J394</f>
        <v>P2</v>
      </c>
      <c r="U394" s="40" t="str">
        <f t="shared" si="13"/>
        <v>P2</v>
      </c>
      <c r="V394" s="22" t="str">
        <f>_xlfn.XLOOKUP(T394,'[1]Career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394" s="41" t="str">
        <f>J394&amp;"-"&amp;G394</f>
        <v>P2-09</v>
      </c>
      <c r="X394" s="42" t="str">
        <f>G394</f>
        <v>09</v>
      </c>
      <c r="Y394" s="22" t="str">
        <f>_xlfn.XLOOKUP(W394,'[1]Career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394" s="43" t="str">
        <f>IFERROR(O394&amp;" - "&amp;G394,"--")</f>
        <v>Senior Specialist HR Business Partnering - 09</v>
      </c>
      <c r="AA394" s="44" t="str">
        <f>_xlfn.XLOOKUP($H394,'[1]SIG Qualifications Input'!$D:$D,'[1]SIG Qualifications Input'!$H:$H)</f>
        <v>University degree or equivalent and 2-4 years of work experience or equivalent</v>
      </c>
    </row>
    <row r="395" spans="1:27" ht="183" thickBot="1" x14ac:dyDescent="0.2">
      <c r="A395" s="34" t="str">
        <f>_xlfn.XLOOKUP(C395,'[1]SIG Job Families &amp; Descriptions'!F:F,'[1]SIG Job Families &amp; Descriptions'!B:B)</f>
        <v>People &amp; Culture</v>
      </c>
      <c r="B395" s="34" t="str">
        <f>_xlfn.XLOOKUP(C395,'[1]SIG Job Families &amp; Descriptions'!F:F,'[1]SIG Job Families &amp; Descriptions'!D:D)</f>
        <v>Total Rewards/ Compensation &amp; Benefits</v>
      </c>
      <c r="C395" s="34" t="s">
        <v>102</v>
      </c>
      <c r="D395" s="30" t="str">
        <f t="shared" si="12"/>
        <v>AHR</v>
      </c>
      <c r="E395" s="31" t="str">
        <f>_xlfn.XLOOKUP(C395,'[1]SIG Job Families &amp; Descriptions'!F:F,'[1]SIG Job Families &amp; Descriptions'!A:A)</f>
        <v>AHR010</v>
      </c>
      <c r="F395" s="32" t="s">
        <v>29</v>
      </c>
      <c r="G395" s="33" t="s">
        <v>33</v>
      </c>
      <c r="H395" s="34" t="str">
        <f>F395&amp;"-"&amp;G395</f>
        <v>Management-13</v>
      </c>
      <c r="I395" s="35" t="str">
        <f>IF(ISERROR(_xlfn.XLOOKUP(H395,'[1]SIG Level Structure'!D:D,'[1]SIG Level Structure'!D:D)),"0","1")</f>
        <v>1</v>
      </c>
      <c r="J395" s="36" t="str">
        <f>_xlfn.XLOOKUP($H395,'[1]SIG Level Structure'!$D:$D,'[1]SIG Level Structure'!F:F)</f>
        <v>M2</v>
      </c>
      <c r="K395" s="37" t="str">
        <f>E395&amp;"-"&amp;J395&amp;"-"&amp;G395</f>
        <v>AHR010-M2-13</v>
      </c>
      <c r="L395" s="37" t="str">
        <f>IFERROR(D395&amp;"-"&amp;LEFT(J395,1),"--")</f>
        <v>AHR-M</v>
      </c>
      <c r="M395" s="37" t="str">
        <f>VLOOKUP(L395,'[1]Compatible JC'!$A:$A,1,FALSE)</f>
        <v>AHR-M</v>
      </c>
      <c r="N395" s="37" t="str">
        <f>IFERROR(_xlfn.XLOOKUP(H395,'[1]SIG Level Structure'!D:D,'[1]SIG Level Structure'!C:C),"--")</f>
        <v>Manager</v>
      </c>
      <c r="O395" s="38" t="str">
        <f>IFERROR(TRIM(N395&amp;" "&amp;C395),"--")</f>
        <v>Manager Total Rewards/ Compensation &amp; Benefits</v>
      </c>
      <c r="P395" s="22" t="str">
        <f>_xlfn.XLOOKUP(E395,'[1]SIG Job Families &amp; Descriptions'!A:A,'[1]SIG Job Families &amp; Descriptions'!G:G)</f>
        <v>Plans, designs, evaluates, administers and implement employee compensation and benefit programs such as salaries, short- and long-term incentives, job evaluations, performance appraisals, salary increases and salary surveys, retirement plans, and life, health and disability insurance. May identify and incorporate environmental, social and governance (ESG) and diversity, equity and inclusion (DEI) considerations into compensation and benefit programs. Develops and evaluates wellness programs to support employees’ physical, emotional, social and/or financial wellbeing.</v>
      </c>
      <c r="Q395" s="39" t="str">
        <f>_xlfn.XLOOKUP(E395,'[1]2022 GI Position Descriptions'!E:E,'[1]2022 GI Position Descriptions'!G:G)</f>
        <v>Plans, designs, evaluates and administers employee compensation and benefit programs such as salaries, short- and long-term incentives, job evaluations, performance appraisals, retirement plans, and life, health and disability insurance</v>
      </c>
      <c r="R395" s="22" t="str">
        <f>IF(LEFT(J395,1)="E","EX",LEFT(J395,1))</f>
        <v>M</v>
      </c>
      <c r="S395" s="22" t="str">
        <f>_xlfn.XLOOKUP($R395,'[1]Career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395" s="22" t="str">
        <f>J395</f>
        <v>M2</v>
      </c>
      <c r="U395" s="40" t="str">
        <f t="shared" si="13"/>
        <v>M2</v>
      </c>
      <c r="V395" s="22" t="str">
        <f>_xlfn.XLOOKUP(T395,'[1]Career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395" s="41" t="str">
        <f>J395&amp;"-"&amp;G395</f>
        <v>M2-13</v>
      </c>
      <c r="X395" s="42" t="str">
        <f>G395</f>
        <v>13</v>
      </c>
      <c r="Y395" s="22" t="str">
        <f>_xlfn.XLOOKUP(W395,'[1]Career Bands &amp; Levels'!A:A,'[1]Career Bands &amp; Levels'!C:C,"No Grade Differentiator")</f>
        <v>●	Accountable for the budget, performance and results of a medium-sized team or multiple small teams of employees		
●	Exercises full management authority, including performance reviews, pay decisions, recruitment, discipline, termination and other personnel actions		
●	Addresses issues with impact beyond own team based on knowledge of related disciplines</v>
      </c>
      <c r="Z395" s="43" t="str">
        <f>IFERROR(O395&amp;" - "&amp;G395,"--")</f>
        <v>Manager Total Rewards/ Compensation &amp; Benefits - 13</v>
      </c>
      <c r="AA395" s="44" t="str">
        <f>_xlfn.XLOOKUP($H395,'[1]SIG Qualifications Input'!$D:$D,'[1]SIG Qualifications Input'!$H:$H)</f>
        <v>University degree or equivalent and 7-10 years of work experience or equivalent
Experience in managing mixed-level team(s) of professionals and subordinate managers</v>
      </c>
    </row>
    <row r="396" spans="1:27" ht="183" thickBot="1" x14ac:dyDescent="0.2">
      <c r="A396" s="34" t="str">
        <f>_xlfn.XLOOKUP(C396,'[1]SIG Job Families &amp; Descriptions'!F:F,'[1]SIG Job Families &amp; Descriptions'!B:B)</f>
        <v>People &amp; Culture</v>
      </c>
      <c r="B396" s="34" t="str">
        <f>_xlfn.XLOOKUP(C396,'[1]SIG Job Families &amp; Descriptions'!F:F,'[1]SIG Job Families &amp; Descriptions'!D:D)</f>
        <v>Total Rewards/ Compensation &amp; Benefits</v>
      </c>
      <c r="C396" s="34" t="s">
        <v>102</v>
      </c>
      <c r="D396" s="30" t="str">
        <f t="shared" si="12"/>
        <v>AHR</v>
      </c>
      <c r="E396" s="31" t="str">
        <f>_xlfn.XLOOKUP(C396,'[1]SIG Job Families &amp; Descriptions'!F:F,'[1]SIG Job Families &amp; Descriptions'!A:A)</f>
        <v>AHR010</v>
      </c>
      <c r="F396" s="32" t="s">
        <v>29</v>
      </c>
      <c r="G396" s="33" t="s">
        <v>34</v>
      </c>
      <c r="H396" s="34" t="str">
        <f>F396&amp;"-"&amp;G396</f>
        <v>Management-12</v>
      </c>
      <c r="I396" s="35" t="str">
        <f>IF(ISERROR(_xlfn.XLOOKUP(H396,'[1]SIG Level Structure'!D:D,'[1]SIG Level Structure'!D:D)),"0","1")</f>
        <v>1</v>
      </c>
      <c r="J396" s="36" t="str">
        <f>_xlfn.XLOOKUP($H396,'[1]SIG Level Structure'!$D:$D,'[1]SIG Level Structure'!F:F)</f>
        <v>M2</v>
      </c>
      <c r="K396" s="37" t="str">
        <f>E396&amp;"-"&amp;J396&amp;"-"&amp;G396</f>
        <v>AHR010-M2-12</v>
      </c>
      <c r="L396" s="37" t="str">
        <f>IFERROR(D396&amp;"-"&amp;LEFT(J396,1),"--")</f>
        <v>AHR-M</v>
      </c>
      <c r="M396" s="37" t="str">
        <f>VLOOKUP(L396,'[1]Compatible JC'!$A:$A,1,FALSE)</f>
        <v>AHR-M</v>
      </c>
      <c r="N396" s="37" t="str">
        <f>IFERROR(_xlfn.XLOOKUP(H396,'[1]SIG Level Structure'!D:D,'[1]SIG Level Structure'!C:C),"--")</f>
        <v>Manager</v>
      </c>
      <c r="O396" s="38" t="str">
        <f>IFERROR(TRIM(N396&amp;" "&amp;C396),"--")</f>
        <v>Manager Total Rewards/ Compensation &amp; Benefits</v>
      </c>
      <c r="P396" s="22" t="str">
        <f>_xlfn.XLOOKUP(E396,'[1]SIG Job Families &amp; Descriptions'!A:A,'[1]SIG Job Families &amp; Descriptions'!G:G)</f>
        <v>Plans, designs, evaluates, administers and implement employee compensation and benefit programs such as salaries, short- and long-term incentives, job evaluations, performance appraisals, salary increases and salary surveys, retirement plans, and life, health and disability insurance. May identify and incorporate environmental, social and governance (ESG) and diversity, equity and inclusion (DEI) considerations into compensation and benefit programs. Develops and evaluates wellness programs to support employees’ physical, emotional, social and/or financial wellbeing.</v>
      </c>
      <c r="Q396" s="39" t="str">
        <f>_xlfn.XLOOKUP(E396,'[1]2022 GI Position Descriptions'!E:E,'[1]2022 GI Position Descriptions'!G:G)</f>
        <v>Plans, designs, evaluates and administers employee compensation and benefit programs such as salaries, short- and long-term incentives, job evaluations, performance appraisals, retirement plans, and life, health and disability insurance</v>
      </c>
      <c r="R396" s="22" t="str">
        <f>IF(LEFT(J396,1)="E","EX",LEFT(J396,1))</f>
        <v>M</v>
      </c>
      <c r="S396" s="22" t="str">
        <f>_xlfn.XLOOKUP($R396,'[1]Career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396" s="22" t="str">
        <f>J396</f>
        <v>M2</v>
      </c>
      <c r="U396" s="40" t="str">
        <f t="shared" si="13"/>
        <v>M2</v>
      </c>
      <c r="V396" s="22" t="str">
        <f>_xlfn.XLOOKUP(T396,'[1]Career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396" s="41" t="str">
        <f>J396&amp;"-"&amp;G396</f>
        <v>M2-12</v>
      </c>
      <c r="X396" s="42" t="str">
        <f>G396</f>
        <v>12</v>
      </c>
      <c r="Y396" s="22" t="str">
        <f>_xlfn.XLOOKUP(W396,'[1]Career Bands &amp; Levels'!A:A,'[1]Career Bands &amp; Levels'!C:C,"No Grade Differentiator")</f>
        <v xml:space="preserve">●	Accountable for results of a small team of employees		
●	Exercises limited management authority; sets employee performance objectives, conducts performance reviews and recommends pay actions		
●	Defines team operating standards and ensures essential procedures are followed based on knowledge of own discipline		</v>
      </c>
      <c r="Z396" s="43" t="str">
        <f>IFERROR(O396&amp;" - "&amp;G396,"--")</f>
        <v>Manager Total Rewards/ Compensation &amp; Benefits - 12</v>
      </c>
      <c r="AA396" s="44" t="str">
        <f>_xlfn.XLOOKUP($H396,'[1]SIG Qualifications Input'!$D:$D,'[1]SIG Qualifications Input'!$H:$H)</f>
        <v>University degree or equivalent and 7-10 years of work experience or equivalent
Experience in managing mixed-level team(s) of professionals and subordinate managers</v>
      </c>
    </row>
    <row r="397" spans="1:27" ht="169" thickBot="1" x14ac:dyDescent="0.2">
      <c r="A397" s="34" t="str">
        <f>_xlfn.XLOOKUP(C397,'[1]SIG Job Families &amp; Descriptions'!F:F,'[1]SIG Job Families &amp; Descriptions'!B:B)</f>
        <v>People &amp; Culture</v>
      </c>
      <c r="B397" s="34" t="str">
        <f>_xlfn.XLOOKUP(C397,'[1]SIG Job Families &amp; Descriptions'!F:F,'[1]SIG Job Families &amp; Descriptions'!D:D)</f>
        <v>Total Rewards/ Compensation &amp; Benefits</v>
      </c>
      <c r="C397" s="34" t="s">
        <v>102</v>
      </c>
      <c r="D397" s="30" t="str">
        <f t="shared" si="12"/>
        <v>AHR</v>
      </c>
      <c r="E397" s="31" t="str">
        <f>_xlfn.XLOOKUP(C397,'[1]SIG Job Families &amp; Descriptions'!F:F,'[1]SIG Job Families &amp; Descriptions'!A:A)</f>
        <v>AHR010</v>
      </c>
      <c r="F397" s="32" t="s">
        <v>32</v>
      </c>
      <c r="G397" s="33" t="s">
        <v>34</v>
      </c>
      <c r="H397" s="34" t="str">
        <f>F397&amp;"-"&amp;G397</f>
        <v>Professional-12</v>
      </c>
      <c r="I397" s="35" t="str">
        <f>IF(ISERROR(_xlfn.XLOOKUP(H397,'[1]SIG Level Structure'!D:D,'[1]SIG Level Structure'!D:D)),"0","1")</f>
        <v>1</v>
      </c>
      <c r="J397" s="36" t="str">
        <f>_xlfn.XLOOKUP($H397,'[1]SIG Level Structure'!$D:$D,'[1]SIG Level Structure'!F:F)</f>
        <v>P3</v>
      </c>
      <c r="K397" s="37" t="str">
        <f>E397&amp;"-"&amp;J397&amp;"-"&amp;G397</f>
        <v>AHR010-P3-12</v>
      </c>
      <c r="L397" s="37" t="str">
        <f>IFERROR(D397&amp;"-"&amp;LEFT(J397,1),"--")</f>
        <v>AHR-P</v>
      </c>
      <c r="M397" s="37" t="str">
        <f>VLOOKUP(L397,'[1]Compatible JC'!$A:$A,1,FALSE)</f>
        <v>AHR-P</v>
      </c>
      <c r="N397" s="37" t="str">
        <f>IFERROR(_xlfn.XLOOKUP(H397,'[1]SIG Level Structure'!D:D,'[1]SIG Level Structure'!C:C),"--")</f>
        <v>Expert</v>
      </c>
      <c r="O397" s="38" t="str">
        <f>IFERROR(TRIM(N397&amp;" "&amp;C397),"--")</f>
        <v>Expert Total Rewards/ Compensation &amp; Benefits</v>
      </c>
      <c r="P397" s="22" t="str">
        <f>_xlfn.XLOOKUP(E397,'[1]SIG Job Families &amp; Descriptions'!A:A,'[1]SIG Job Families &amp; Descriptions'!G:G)</f>
        <v>Plans, designs, evaluates, administers and implement employee compensation and benefit programs such as salaries, short- and long-term incentives, job evaluations, performance appraisals, salary increases and salary surveys, retirement plans, and life, health and disability insurance. May identify and incorporate environmental, social and governance (ESG) and diversity, equity and inclusion (DEI) considerations into compensation and benefit programs. Develops and evaluates wellness programs to support employees’ physical, emotional, social and/or financial wellbeing.</v>
      </c>
      <c r="Q397" s="39" t="str">
        <f>_xlfn.XLOOKUP(E397,'[1]2022 GI Position Descriptions'!E:E,'[1]2022 GI Position Descriptions'!G:G)</f>
        <v>Plans, designs, evaluates and administers employee compensation and benefit programs such as salaries, short- and long-term incentives, job evaluations, performance appraisals, retirement plans, and life, health and disability insurance</v>
      </c>
      <c r="R397" s="22" t="str">
        <f>IF(LEFT(J397,1)="E","EX",LEFT(J397,1))</f>
        <v>P</v>
      </c>
      <c r="S397" s="22" t="str">
        <f>_xlfn.XLOOKUP($R397,'[1]Career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97" s="22" t="str">
        <f>J397</f>
        <v>P3</v>
      </c>
      <c r="U397" s="40" t="str">
        <f t="shared" si="13"/>
        <v>P3</v>
      </c>
      <c r="V397" s="22" t="str">
        <f>_xlfn.XLOOKUP(T397,'[1]Career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397" s="41" t="str">
        <f>J397&amp;"-"&amp;G397</f>
        <v>P3-12</v>
      </c>
      <c r="X397" s="42" t="str">
        <f>G397</f>
        <v>12</v>
      </c>
      <c r="Y397" s="22" t="str">
        <f>_xlfn.XLOOKUP(W397,'[1]Career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397" s="43" t="str">
        <f>IFERROR(O397&amp;" - "&amp;G397,"--")</f>
        <v>Expert Total Rewards/ Compensation &amp; Benefits - 12</v>
      </c>
      <c r="AA397" s="44" t="str">
        <f>_xlfn.XLOOKUP($H397,'[1]SIG Qualifications Input'!$D:$D,'[1]SIG Qualifications Input'!$H:$H)</f>
        <v>University degree or equivalent and 4-8 years of work experience or equivalent, 
Initial experience in functionally leading (sub-) projects</v>
      </c>
    </row>
    <row r="398" spans="1:27" ht="169" thickBot="1" x14ac:dyDescent="0.2">
      <c r="A398" s="34" t="str">
        <f>_xlfn.XLOOKUP(C398,'[1]SIG Job Families &amp; Descriptions'!F:F,'[1]SIG Job Families &amp; Descriptions'!B:B)</f>
        <v>People &amp; Culture</v>
      </c>
      <c r="B398" s="34" t="str">
        <f>_xlfn.XLOOKUP(C398,'[1]SIG Job Families &amp; Descriptions'!F:F,'[1]SIG Job Families &amp; Descriptions'!D:D)</f>
        <v>Total Rewards/ Compensation &amp; Benefits</v>
      </c>
      <c r="C398" s="34" t="s">
        <v>102</v>
      </c>
      <c r="D398" s="30" t="str">
        <f t="shared" si="12"/>
        <v>AHR</v>
      </c>
      <c r="E398" s="31" t="str">
        <f>_xlfn.XLOOKUP(C398,'[1]SIG Job Families &amp; Descriptions'!F:F,'[1]SIG Job Families &amp; Descriptions'!A:A)</f>
        <v>AHR010</v>
      </c>
      <c r="F398" s="32" t="s">
        <v>32</v>
      </c>
      <c r="G398" s="33" t="s">
        <v>35</v>
      </c>
      <c r="H398" s="34" t="str">
        <f>F398&amp;"-"&amp;G398</f>
        <v>Professional-11</v>
      </c>
      <c r="I398" s="35" t="str">
        <f>IF(ISERROR(_xlfn.XLOOKUP(H398,'[1]SIG Level Structure'!D:D,'[1]SIG Level Structure'!D:D)),"0","1")</f>
        <v>1</v>
      </c>
      <c r="J398" s="36" t="str">
        <f>_xlfn.XLOOKUP($H398,'[1]SIG Level Structure'!$D:$D,'[1]SIG Level Structure'!F:F)</f>
        <v>P3</v>
      </c>
      <c r="K398" s="37" t="str">
        <f>E398&amp;"-"&amp;J398&amp;"-"&amp;G398</f>
        <v>AHR010-P3-11</v>
      </c>
      <c r="L398" s="37" t="str">
        <f>IFERROR(D398&amp;"-"&amp;LEFT(J398,1),"--")</f>
        <v>AHR-P</v>
      </c>
      <c r="M398" s="37" t="str">
        <f>VLOOKUP(L398,'[1]Compatible JC'!$A:$A,1,FALSE)</f>
        <v>AHR-P</v>
      </c>
      <c r="N398" s="37" t="str">
        <f>IFERROR(_xlfn.XLOOKUP(H398,'[1]SIG Level Structure'!D:D,'[1]SIG Level Structure'!C:C),"--")</f>
        <v>Expert</v>
      </c>
      <c r="O398" s="38" t="str">
        <f>IFERROR(TRIM(N398&amp;" "&amp;C398),"--")</f>
        <v>Expert Total Rewards/ Compensation &amp; Benefits</v>
      </c>
      <c r="P398" s="22" t="str">
        <f>_xlfn.XLOOKUP(E398,'[1]SIG Job Families &amp; Descriptions'!A:A,'[1]SIG Job Families &amp; Descriptions'!G:G)</f>
        <v>Plans, designs, evaluates, administers and implement employee compensation and benefit programs such as salaries, short- and long-term incentives, job evaluations, performance appraisals, salary increases and salary surveys, retirement plans, and life, health and disability insurance. May identify and incorporate environmental, social and governance (ESG) and diversity, equity and inclusion (DEI) considerations into compensation and benefit programs. Develops and evaluates wellness programs to support employees’ physical, emotional, social and/or financial wellbeing.</v>
      </c>
      <c r="Q398" s="39" t="str">
        <f>_xlfn.XLOOKUP(E398,'[1]2022 GI Position Descriptions'!E:E,'[1]2022 GI Position Descriptions'!G:G)</f>
        <v>Plans, designs, evaluates and administers employee compensation and benefit programs such as salaries, short- and long-term incentives, job evaluations, performance appraisals, retirement plans, and life, health and disability insurance</v>
      </c>
      <c r="R398" s="22" t="str">
        <f>IF(LEFT(J398,1)="E","EX",LEFT(J398,1))</f>
        <v>P</v>
      </c>
      <c r="S398" s="22" t="str">
        <f>_xlfn.XLOOKUP($R398,'[1]Career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98" s="22" t="str">
        <f>J398</f>
        <v>P3</v>
      </c>
      <c r="U398" s="40" t="str">
        <f t="shared" si="13"/>
        <v>P3</v>
      </c>
      <c r="V398" s="22" t="str">
        <f>_xlfn.XLOOKUP(T398,'[1]Career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398" s="41" t="str">
        <f>J398&amp;"-"&amp;G398</f>
        <v>P3-11</v>
      </c>
      <c r="X398" s="42" t="str">
        <f>G398</f>
        <v>11</v>
      </c>
      <c r="Y398" s="22" t="str">
        <f>_xlfn.XLOOKUP(W398,'[1]Career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398" s="43" t="str">
        <f>IFERROR(O398&amp;" - "&amp;G398,"--")</f>
        <v>Expert Total Rewards/ Compensation &amp; Benefits - 11</v>
      </c>
      <c r="AA398" s="44" t="str">
        <f>_xlfn.XLOOKUP($H398,'[1]SIG Qualifications Input'!$D:$D,'[1]SIG Qualifications Input'!$H:$H)</f>
        <v>University degree or equivalent and 4-8 years of work experience or equivalent, 
Initial experience in functionally leading (sub-) projects</v>
      </c>
    </row>
    <row r="399" spans="1:27" ht="169" thickBot="1" x14ac:dyDescent="0.2">
      <c r="A399" s="34" t="str">
        <f>_xlfn.XLOOKUP(C399,'[1]SIG Job Families &amp; Descriptions'!F:F,'[1]SIG Job Families &amp; Descriptions'!B:B)</f>
        <v>People &amp; Culture</v>
      </c>
      <c r="B399" s="34" t="str">
        <f>_xlfn.XLOOKUP(C399,'[1]SIG Job Families &amp; Descriptions'!F:F,'[1]SIG Job Families &amp; Descriptions'!D:D)</f>
        <v>Talent Acquisition</v>
      </c>
      <c r="C399" s="34" t="s">
        <v>103</v>
      </c>
      <c r="D399" s="30" t="str">
        <f t="shared" si="12"/>
        <v>AHR</v>
      </c>
      <c r="E399" s="31" t="str">
        <f>_xlfn.XLOOKUP(C399,'[1]SIG Job Families &amp; Descriptions'!F:F,'[1]SIG Job Families &amp; Descriptions'!A:A)</f>
        <v>AHR140</v>
      </c>
      <c r="F399" s="32" t="s">
        <v>32</v>
      </c>
      <c r="G399" s="33" t="s">
        <v>34</v>
      </c>
      <c r="H399" s="34" t="str">
        <f>F399&amp;"-"&amp;G399</f>
        <v>Professional-12</v>
      </c>
      <c r="I399" s="35" t="str">
        <f>IF(ISERROR(_xlfn.XLOOKUP(H399,'[1]SIG Level Structure'!D:D,'[1]SIG Level Structure'!D:D)),"0","1")</f>
        <v>1</v>
      </c>
      <c r="J399" s="36" t="str">
        <f>_xlfn.XLOOKUP($H399,'[1]SIG Level Structure'!$D:$D,'[1]SIG Level Structure'!F:F)</f>
        <v>P3</v>
      </c>
      <c r="K399" s="37" t="str">
        <f>E399&amp;"-"&amp;J399&amp;"-"&amp;G399</f>
        <v>AHR140-P3-12</v>
      </c>
      <c r="L399" s="37" t="str">
        <f>IFERROR(D399&amp;"-"&amp;LEFT(J399,1),"--")</f>
        <v>AHR-P</v>
      </c>
      <c r="M399" s="37" t="str">
        <f>VLOOKUP(L399,'[1]Compatible JC'!$A:$A,1,FALSE)</f>
        <v>AHR-P</v>
      </c>
      <c r="N399" s="37" t="str">
        <f>IFERROR(_xlfn.XLOOKUP(H399,'[1]SIG Level Structure'!D:D,'[1]SIG Level Structure'!C:C),"--")</f>
        <v>Expert</v>
      </c>
      <c r="O399" s="38" t="str">
        <f>IFERROR(TRIM(N399&amp;" "&amp;C399),"--")</f>
        <v>Expert Talent Acquisition</v>
      </c>
      <c r="P399" s="22" t="str">
        <f>_xlfn.XLOOKUP(E399,'[1]SIG Job Families &amp; Descriptions'!A:A,'[1]SIG Job Families &amp; Descriptions'!G:G)</f>
        <v>Sources, recruits, screens, interviews and recommends external and/or internal candidates for all level jobs, including entry level, experienced professional/technical, IT, support staff and hourly, and possibly management. May utilize the services of employment agencies. Places employment ads in appropriate sources, including the Internet and print media. Ensures the maintenance of accurate and concise records and reports concerning all phases of the recruitment process.</v>
      </c>
      <c r="Q399" s="39" t="str">
        <f>_xlfn.XLOOKUP(E399,'[1]2022 GI Position Descriptions'!E:E,'[1]2022 GI Position Descriptions'!G:G)</f>
        <v>Sources, recruits, screens, interviews and recommends external and/or internal candidates for all level jobs, including entry level, experienced professional/technical, IT, support staff and hourly, and possibly management | May utilize the services of employment agencies | Places employment ads in appropriate sources, including the Internet and print media | Ensures the maintenance of accurate and concise records and reports concerning all phases of the recruitment process, including EEO statistics | May recruit from colleges, technical schools and job fairs</v>
      </c>
      <c r="R399" s="22" t="str">
        <f>IF(LEFT(J399,1)="E","EX",LEFT(J399,1))</f>
        <v>P</v>
      </c>
      <c r="S399" s="22" t="str">
        <f>_xlfn.XLOOKUP($R399,'[1]Career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399" s="22" t="str">
        <f>J399</f>
        <v>P3</v>
      </c>
      <c r="U399" s="40" t="str">
        <f t="shared" si="13"/>
        <v>P3</v>
      </c>
      <c r="V399" s="22" t="str">
        <f>_xlfn.XLOOKUP(T399,'[1]Career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399" s="41" t="str">
        <f>J399&amp;"-"&amp;G399</f>
        <v>P3-12</v>
      </c>
      <c r="X399" s="42" t="str">
        <f>G399</f>
        <v>12</v>
      </c>
      <c r="Y399" s="22" t="str">
        <f>_xlfn.XLOOKUP(W399,'[1]Career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399" s="43" t="str">
        <f>IFERROR(O399&amp;" - "&amp;G399,"--")</f>
        <v>Expert Talent Acquisition - 12</v>
      </c>
      <c r="AA399" s="44" t="str">
        <f>_xlfn.XLOOKUP($H399,'[1]SIG Qualifications Input'!$D:$D,'[1]SIG Qualifications Input'!$H:$H)</f>
        <v>University degree or equivalent and 4-8 years of work experience or equivalent, 
Initial experience in functionally leading (sub-) projects</v>
      </c>
    </row>
    <row r="400" spans="1:27" ht="169" thickBot="1" x14ac:dyDescent="0.2">
      <c r="A400" s="34" t="str">
        <f>_xlfn.XLOOKUP(C400,'[1]SIG Job Families &amp; Descriptions'!F:F,'[1]SIG Job Families &amp; Descriptions'!B:B)</f>
        <v>People &amp; Culture</v>
      </c>
      <c r="B400" s="34" t="str">
        <f>_xlfn.XLOOKUP(C400,'[1]SIG Job Families &amp; Descriptions'!F:F,'[1]SIG Job Families &amp; Descriptions'!D:D)</f>
        <v>Talent Acquisition</v>
      </c>
      <c r="C400" s="34" t="s">
        <v>103</v>
      </c>
      <c r="D400" s="30" t="str">
        <f t="shared" si="12"/>
        <v>AHR</v>
      </c>
      <c r="E400" s="31" t="str">
        <f>_xlfn.XLOOKUP(C400,'[1]SIG Job Families &amp; Descriptions'!F:F,'[1]SIG Job Families &amp; Descriptions'!A:A)</f>
        <v>AHR140</v>
      </c>
      <c r="F400" s="32" t="s">
        <v>32</v>
      </c>
      <c r="G400" s="33" t="s">
        <v>35</v>
      </c>
      <c r="H400" s="34" t="str">
        <f>F400&amp;"-"&amp;G400</f>
        <v>Professional-11</v>
      </c>
      <c r="I400" s="35" t="str">
        <f>IF(ISERROR(_xlfn.XLOOKUP(H400,'[1]SIG Level Structure'!D:D,'[1]SIG Level Structure'!D:D)),"0","1")</f>
        <v>1</v>
      </c>
      <c r="J400" s="36" t="str">
        <f>_xlfn.XLOOKUP($H400,'[1]SIG Level Structure'!$D:$D,'[1]SIG Level Structure'!F:F)</f>
        <v>P3</v>
      </c>
      <c r="K400" s="37" t="str">
        <f>E400&amp;"-"&amp;J400&amp;"-"&amp;G400</f>
        <v>AHR140-P3-11</v>
      </c>
      <c r="L400" s="37" t="str">
        <f>IFERROR(D400&amp;"-"&amp;LEFT(J400,1),"--")</f>
        <v>AHR-P</v>
      </c>
      <c r="M400" s="37" t="str">
        <f>VLOOKUP(L400,'[1]Compatible JC'!$A:$A,1,FALSE)</f>
        <v>AHR-P</v>
      </c>
      <c r="N400" s="37" t="str">
        <f>IFERROR(_xlfn.XLOOKUP(H400,'[1]SIG Level Structure'!D:D,'[1]SIG Level Structure'!C:C),"--")</f>
        <v>Expert</v>
      </c>
      <c r="O400" s="38" t="str">
        <f>IFERROR(TRIM(N400&amp;" "&amp;C400),"--")</f>
        <v>Expert Talent Acquisition</v>
      </c>
      <c r="P400" s="22" t="str">
        <f>_xlfn.XLOOKUP(E400,'[1]SIG Job Families &amp; Descriptions'!A:A,'[1]SIG Job Families &amp; Descriptions'!G:G)</f>
        <v>Sources, recruits, screens, interviews and recommends external and/or internal candidates for all level jobs, including entry level, experienced professional/technical, IT, support staff and hourly, and possibly management. May utilize the services of employment agencies. Places employment ads in appropriate sources, including the Internet and print media. Ensures the maintenance of accurate and concise records and reports concerning all phases of the recruitment process.</v>
      </c>
      <c r="Q400" s="39" t="str">
        <f>_xlfn.XLOOKUP(E400,'[1]2022 GI Position Descriptions'!E:E,'[1]2022 GI Position Descriptions'!G:G)</f>
        <v>Sources, recruits, screens, interviews and recommends external and/or internal candidates for all level jobs, including entry level, experienced professional/technical, IT, support staff and hourly, and possibly management | May utilize the services of employment agencies | Places employment ads in appropriate sources, including the Internet and print media | Ensures the maintenance of accurate and concise records and reports concerning all phases of the recruitment process, including EEO statistics | May recruit from colleges, technical schools and job fairs</v>
      </c>
      <c r="R400" s="22" t="str">
        <f>IF(LEFT(J400,1)="E","EX",LEFT(J400,1))</f>
        <v>P</v>
      </c>
      <c r="S400" s="22" t="str">
        <f>_xlfn.XLOOKUP($R400,'[1]Career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00" s="22" t="str">
        <f>J400</f>
        <v>P3</v>
      </c>
      <c r="U400" s="40" t="str">
        <f t="shared" si="13"/>
        <v>P3</v>
      </c>
      <c r="V400" s="22" t="str">
        <f>_xlfn.XLOOKUP(T400,'[1]Career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400" s="41" t="str">
        <f>J400&amp;"-"&amp;G400</f>
        <v>P3-11</v>
      </c>
      <c r="X400" s="42" t="str">
        <f>G400</f>
        <v>11</v>
      </c>
      <c r="Y400" s="22" t="str">
        <f>_xlfn.XLOOKUP(W400,'[1]Career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400" s="43" t="str">
        <f>IFERROR(O400&amp;" - "&amp;G400,"--")</f>
        <v>Expert Talent Acquisition - 11</v>
      </c>
      <c r="AA400" s="44" t="str">
        <f>_xlfn.XLOOKUP($H400,'[1]SIG Qualifications Input'!$D:$D,'[1]SIG Qualifications Input'!$H:$H)</f>
        <v>University degree or equivalent and 4-8 years of work experience or equivalent, 
Initial experience in functionally leading (sub-) projects</v>
      </c>
    </row>
    <row r="401" spans="1:27" ht="169" thickBot="1" x14ac:dyDescent="0.2">
      <c r="A401" s="34" t="str">
        <f>_xlfn.XLOOKUP(C401,'[1]SIG Job Families &amp; Descriptions'!F:F,'[1]SIG Job Families &amp; Descriptions'!B:B)</f>
        <v>People &amp; Culture</v>
      </c>
      <c r="B401" s="34" t="str">
        <f>_xlfn.XLOOKUP(C401,'[1]SIG Job Families &amp; Descriptions'!F:F,'[1]SIG Job Families &amp; Descriptions'!D:D)</f>
        <v>Talent Acquisition</v>
      </c>
      <c r="C401" s="34" t="s">
        <v>103</v>
      </c>
      <c r="D401" s="30" t="str">
        <f t="shared" si="12"/>
        <v>AHR</v>
      </c>
      <c r="E401" s="31" t="str">
        <f>_xlfn.XLOOKUP(C401,'[1]SIG Job Families &amp; Descriptions'!F:F,'[1]SIG Job Families &amp; Descriptions'!A:A)</f>
        <v>AHR140</v>
      </c>
      <c r="F401" s="32" t="s">
        <v>32</v>
      </c>
      <c r="G401" s="33" t="s">
        <v>36</v>
      </c>
      <c r="H401" s="34" t="str">
        <f>F401&amp;"-"&amp;G401</f>
        <v>Professional-10</v>
      </c>
      <c r="I401" s="35" t="str">
        <f>IF(ISERROR(_xlfn.XLOOKUP(H401,'[1]SIG Level Structure'!D:D,'[1]SIG Level Structure'!D:D)),"0","1")</f>
        <v>1</v>
      </c>
      <c r="J401" s="36" t="str">
        <f>_xlfn.XLOOKUP($H401,'[1]SIG Level Structure'!$D:$D,'[1]SIG Level Structure'!F:F)</f>
        <v>P2</v>
      </c>
      <c r="K401" s="37" t="str">
        <f>E401&amp;"-"&amp;J401&amp;"-"&amp;G401</f>
        <v>AHR140-P2-10</v>
      </c>
      <c r="L401" s="37" t="str">
        <f>IFERROR(D401&amp;"-"&amp;LEFT(J401,1),"--")</f>
        <v>AHR-P</v>
      </c>
      <c r="M401" s="37" t="str">
        <f>VLOOKUP(L401,'[1]Compatible JC'!$A:$A,1,FALSE)</f>
        <v>AHR-P</v>
      </c>
      <c r="N401" s="37" t="str">
        <f>IFERROR(_xlfn.XLOOKUP(H401,'[1]SIG Level Structure'!D:D,'[1]SIG Level Structure'!C:C),"--")</f>
        <v>Senior Specialist</v>
      </c>
      <c r="O401" s="38" t="str">
        <f>IFERROR(TRIM(N401&amp;" "&amp;C401),"--")</f>
        <v>Senior Specialist Talent Acquisition</v>
      </c>
      <c r="P401" s="22" t="str">
        <f>_xlfn.XLOOKUP(E401,'[1]SIG Job Families &amp; Descriptions'!A:A,'[1]SIG Job Families &amp; Descriptions'!G:G)</f>
        <v>Sources, recruits, screens, interviews and recommends external and/or internal candidates for all level jobs, including entry level, experienced professional/technical, IT, support staff and hourly, and possibly management. May utilize the services of employment agencies. Places employment ads in appropriate sources, including the Internet and print media. Ensures the maintenance of accurate and concise records and reports concerning all phases of the recruitment process.</v>
      </c>
      <c r="Q401" s="39" t="str">
        <f>_xlfn.XLOOKUP(E401,'[1]2022 GI Position Descriptions'!E:E,'[1]2022 GI Position Descriptions'!G:G)</f>
        <v>Sources, recruits, screens, interviews and recommends external and/or internal candidates for all level jobs, including entry level, experienced professional/technical, IT, support staff and hourly, and possibly management | May utilize the services of employment agencies | Places employment ads in appropriate sources, including the Internet and print media | Ensures the maintenance of accurate and concise records and reports concerning all phases of the recruitment process, including EEO statistics | May recruit from colleges, technical schools and job fairs</v>
      </c>
      <c r="R401" s="22" t="str">
        <f>IF(LEFT(J401,1)="E","EX",LEFT(J401,1))</f>
        <v>P</v>
      </c>
      <c r="S401" s="22" t="str">
        <f>_xlfn.XLOOKUP($R401,'[1]Career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01" s="22" t="str">
        <f>J401</f>
        <v>P2</v>
      </c>
      <c r="U401" s="40" t="str">
        <f t="shared" si="13"/>
        <v>P2</v>
      </c>
      <c r="V401" s="22" t="str">
        <f>_xlfn.XLOOKUP(T401,'[1]Career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401" s="41" t="str">
        <f>J401&amp;"-"&amp;G401</f>
        <v>P2-10</v>
      </c>
      <c r="X401" s="42" t="str">
        <f>G401</f>
        <v>10</v>
      </c>
      <c r="Y401" s="22" t="str">
        <f>_xlfn.XLOOKUP(W401,'[1]Career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401" s="43" t="str">
        <f>IFERROR(O401&amp;" - "&amp;G401,"--")</f>
        <v>Senior Specialist Talent Acquisition - 10</v>
      </c>
      <c r="AA401" s="44" t="str">
        <f>_xlfn.XLOOKUP($H401,'[1]SIG Qualifications Input'!$D:$D,'[1]SIG Qualifications Input'!$H:$H)</f>
        <v>University degree or equivalent and 2-4 years of work experience or equivalent</v>
      </c>
    </row>
    <row r="402" spans="1:27" ht="169" thickBot="1" x14ac:dyDescent="0.2">
      <c r="A402" s="34" t="str">
        <f>_xlfn.XLOOKUP(C402,'[1]SIG Job Families &amp; Descriptions'!F:F,'[1]SIG Job Families &amp; Descriptions'!B:B)</f>
        <v>People &amp; Culture</v>
      </c>
      <c r="B402" s="34" t="str">
        <f>_xlfn.XLOOKUP(C402,'[1]SIG Job Families &amp; Descriptions'!F:F,'[1]SIG Job Families &amp; Descriptions'!D:D)</f>
        <v>Talent Acquisition</v>
      </c>
      <c r="C402" s="34" t="s">
        <v>103</v>
      </c>
      <c r="D402" s="30" t="str">
        <f t="shared" si="12"/>
        <v>AHR</v>
      </c>
      <c r="E402" s="31" t="str">
        <f>_xlfn.XLOOKUP(C402,'[1]SIG Job Families &amp; Descriptions'!F:F,'[1]SIG Job Families &amp; Descriptions'!A:A)</f>
        <v>AHR140</v>
      </c>
      <c r="F402" s="32" t="s">
        <v>32</v>
      </c>
      <c r="G402" s="33" t="s">
        <v>37</v>
      </c>
      <c r="H402" s="34" t="str">
        <f>F402&amp;"-"&amp;G402</f>
        <v>Professional-09</v>
      </c>
      <c r="I402" s="35" t="str">
        <f>IF(ISERROR(_xlfn.XLOOKUP(H402,'[1]SIG Level Structure'!D:D,'[1]SIG Level Structure'!D:D)),"0","1")</f>
        <v>1</v>
      </c>
      <c r="J402" s="36" t="str">
        <f>_xlfn.XLOOKUP($H402,'[1]SIG Level Structure'!$D:$D,'[1]SIG Level Structure'!F:F)</f>
        <v>P2</v>
      </c>
      <c r="K402" s="37" t="str">
        <f>E402&amp;"-"&amp;J402&amp;"-"&amp;G402</f>
        <v>AHR140-P2-09</v>
      </c>
      <c r="L402" s="37" t="str">
        <f>IFERROR(D402&amp;"-"&amp;LEFT(J402,1),"--")</f>
        <v>AHR-P</v>
      </c>
      <c r="M402" s="37" t="str">
        <f>VLOOKUP(L402,'[1]Compatible JC'!$A:$A,1,FALSE)</f>
        <v>AHR-P</v>
      </c>
      <c r="N402" s="37" t="str">
        <f>IFERROR(_xlfn.XLOOKUP(H402,'[1]SIG Level Structure'!D:D,'[1]SIG Level Structure'!C:C),"--")</f>
        <v>Senior Specialist</v>
      </c>
      <c r="O402" s="38" t="str">
        <f>IFERROR(TRIM(N402&amp;" "&amp;C402),"--")</f>
        <v>Senior Specialist Talent Acquisition</v>
      </c>
      <c r="P402" s="22" t="str">
        <f>_xlfn.XLOOKUP(E402,'[1]SIG Job Families &amp; Descriptions'!A:A,'[1]SIG Job Families &amp; Descriptions'!G:G)</f>
        <v>Sources, recruits, screens, interviews and recommends external and/or internal candidates for all level jobs, including entry level, experienced professional/technical, IT, support staff and hourly, and possibly management. May utilize the services of employment agencies. Places employment ads in appropriate sources, including the Internet and print media. Ensures the maintenance of accurate and concise records and reports concerning all phases of the recruitment process.</v>
      </c>
      <c r="Q402" s="39" t="str">
        <f>_xlfn.XLOOKUP(E402,'[1]2022 GI Position Descriptions'!E:E,'[1]2022 GI Position Descriptions'!G:G)</f>
        <v>Sources, recruits, screens, interviews and recommends external and/or internal candidates for all level jobs, including entry level, experienced professional/technical, IT, support staff and hourly, and possibly management | May utilize the services of employment agencies | Places employment ads in appropriate sources, including the Internet and print media | Ensures the maintenance of accurate and concise records and reports concerning all phases of the recruitment process, including EEO statistics | May recruit from colleges, technical schools and job fairs</v>
      </c>
      <c r="R402" s="22" t="str">
        <f>IF(LEFT(J402,1)="E","EX",LEFT(J402,1))</f>
        <v>P</v>
      </c>
      <c r="S402" s="22" t="str">
        <f>_xlfn.XLOOKUP($R402,'[1]Career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02" s="22" t="str">
        <f>J402</f>
        <v>P2</v>
      </c>
      <c r="U402" s="40" t="str">
        <f t="shared" si="13"/>
        <v>P2</v>
      </c>
      <c r="V402" s="22" t="str">
        <f>_xlfn.XLOOKUP(T402,'[1]Career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402" s="41" t="str">
        <f>J402&amp;"-"&amp;G402</f>
        <v>P2-09</v>
      </c>
      <c r="X402" s="42" t="str">
        <f>G402</f>
        <v>09</v>
      </c>
      <c r="Y402" s="22" t="str">
        <f>_xlfn.XLOOKUP(W402,'[1]Career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402" s="43" t="str">
        <f>IFERROR(O402&amp;" - "&amp;G402,"--")</f>
        <v>Senior Specialist Talent Acquisition - 09</v>
      </c>
      <c r="AA402" s="44" t="str">
        <f>_xlfn.XLOOKUP($H402,'[1]SIG Qualifications Input'!$D:$D,'[1]SIG Qualifications Input'!$H:$H)</f>
        <v>University degree or equivalent and 2-4 years of work experience or equivalent</v>
      </c>
    </row>
    <row r="403" spans="1:27" ht="169" thickBot="1" x14ac:dyDescent="0.2">
      <c r="A403" s="34" t="str">
        <f>_xlfn.XLOOKUP(C403,'[1]SIG Job Families &amp; Descriptions'!F:F,'[1]SIG Job Families &amp; Descriptions'!B:B)</f>
        <v>People &amp; Culture</v>
      </c>
      <c r="B403" s="34" t="str">
        <f>_xlfn.XLOOKUP(C403,'[1]SIG Job Families &amp; Descriptions'!F:F,'[1]SIG Job Families &amp; Descriptions'!D:D)</f>
        <v>Learning &amp; Development</v>
      </c>
      <c r="C403" s="34" t="s">
        <v>104</v>
      </c>
      <c r="D403" s="30" t="str">
        <f t="shared" si="12"/>
        <v>AHR</v>
      </c>
      <c r="E403" s="31" t="str">
        <f>_xlfn.XLOOKUP(C403,'[1]SIG Job Families &amp; Descriptions'!F:F,'[1]SIG Job Families &amp; Descriptions'!A:A)</f>
        <v>AHR130</v>
      </c>
      <c r="F403" s="32" t="s">
        <v>32</v>
      </c>
      <c r="G403" s="33" t="s">
        <v>34</v>
      </c>
      <c r="H403" s="34" t="str">
        <f>F403&amp;"-"&amp;G403</f>
        <v>Professional-12</v>
      </c>
      <c r="I403" s="35" t="str">
        <f>IF(ISERROR(_xlfn.XLOOKUP(H403,'[1]SIG Level Structure'!D:D,'[1]SIG Level Structure'!D:D)),"0","1")</f>
        <v>1</v>
      </c>
      <c r="J403" s="36" t="str">
        <f>_xlfn.XLOOKUP($H403,'[1]SIG Level Structure'!$D:$D,'[1]SIG Level Structure'!F:F)</f>
        <v>P3</v>
      </c>
      <c r="K403" s="37" t="str">
        <f>E403&amp;"-"&amp;J403&amp;"-"&amp;G403</f>
        <v>AHR130-P3-12</v>
      </c>
      <c r="L403" s="37" t="str">
        <f>IFERROR(D403&amp;"-"&amp;LEFT(J403,1),"--")</f>
        <v>AHR-P</v>
      </c>
      <c r="M403" s="37" t="str">
        <f>VLOOKUP(L403,'[1]Compatible JC'!$A:$A,1,FALSE)</f>
        <v>AHR-P</v>
      </c>
      <c r="N403" s="37" t="str">
        <f>IFERROR(_xlfn.XLOOKUP(H403,'[1]SIG Level Structure'!D:D,'[1]SIG Level Structure'!C:C),"--")</f>
        <v>Expert</v>
      </c>
      <c r="O403" s="38" t="str">
        <f>IFERROR(TRIM(N403&amp;" "&amp;C403),"--")</f>
        <v>Expert Learning &amp; Development</v>
      </c>
      <c r="P403" s="22" t="str">
        <f>_xlfn.XLOOKUP(E403,'[1]SIG Job Families &amp; Descriptions'!A:A,'[1]SIG Job Families &amp; Descriptions'!G:G)</f>
        <v>Develops, implements and evaluates employee development programs to support organizational needs through technical or nontechnical training or e-learning. Monitors employee development and training programs, assesses needs and results, develops new programs and modifies existing programs. Develops and implements training activities directed at developing employees in competencies such as teamwork, management skills and problem solving. Also positions with focus on identifying, managing and developing talents are covered here.</v>
      </c>
      <c r="Q403" s="39" t="str">
        <f>_xlfn.XLOOKUP(E403,'[1]2022 GI Position Descriptions'!E:E,'[1]2022 GI Position Descriptions'!G:G)</f>
        <v>Develops, implements and evaluates employee development plans and programs to support organizational needs as a generalist or in a combination of Disciplines such as management development, talent management, succession planning, technical or nontechnical training, or e-learning | Monitors employee development and training programs, assesses needs and results, develops new programs and modifies existing programs</v>
      </c>
      <c r="R403" s="22" t="str">
        <f>IF(LEFT(J403,1)="E","EX",LEFT(J403,1))</f>
        <v>P</v>
      </c>
      <c r="S403" s="22" t="str">
        <f>_xlfn.XLOOKUP($R403,'[1]Career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03" s="22" t="str">
        <f>J403</f>
        <v>P3</v>
      </c>
      <c r="U403" s="40" t="str">
        <f t="shared" si="13"/>
        <v>P3</v>
      </c>
      <c r="V403" s="22" t="str">
        <f>_xlfn.XLOOKUP(T403,'[1]Career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403" s="41" t="str">
        <f>J403&amp;"-"&amp;G403</f>
        <v>P3-12</v>
      </c>
      <c r="X403" s="42" t="str">
        <f>G403</f>
        <v>12</v>
      </c>
      <c r="Y403" s="22" t="str">
        <f>_xlfn.XLOOKUP(W403,'[1]Career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403" s="43" t="str">
        <f>IFERROR(O403&amp;" - "&amp;G403,"--")</f>
        <v>Expert Learning &amp; Development - 12</v>
      </c>
      <c r="AA403" s="44" t="str">
        <f>_xlfn.XLOOKUP($H403,'[1]SIG Qualifications Input'!$D:$D,'[1]SIG Qualifications Input'!$H:$H)</f>
        <v>University degree or equivalent and 4-8 years of work experience or equivalent, 
Initial experience in functionally leading (sub-) projects</v>
      </c>
    </row>
    <row r="404" spans="1:27" ht="169" thickBot="1" x14ac:dyDescent="0.2">
      <c r="A404" s="34" t="str">
        <f>_xlfn.XLOOKUP(C404,'[1]SIG Job Families &amp; Descriptions'!F:F,'[1]SIG Job Families &amp; Descriptions'!B:B)</f>
        <v>People &amp; Culture</v>
      </c>
      <c r="B404" s="34" t="str">
        <f>_xlfn.XLOOKUP(C404,'[1]SIG Job Families &amp; Descriptions'!F:F,'[1]SIG Job Families &amp; Descriptions'!D:D)</f>
        <v>Learning &amp; Development</v>
      </c>
      <c r="C404" s="34" t="s">
        <v>104</v>
      </c>
      <c r="D404" s="30" t="str">
        <f t="shared" si="12"/>
        <v>AHR</v>
      </c>
      <c r="E404" s="31" t="str">
        <f>_xlfn.XLOOKUP(C404,'[1]SIG Job Families &amp; Descriptions'!F:F,'[1]SIG Job Families &amp; Descriptions'!A:A)</f>
        <v>AHR130</v>
      </c>
      <c r="F404" s="32" t="s">
        <v>32</v>
      </c>
      <c r="G404" s="33" t="s">
        <v>35</v>
      </c>
      <c r="H404" s="34" t="str">
        <f>F404&amp;"-"&amp;G404</f>
        <v>Professional-11</v>
      </c>
      <c r="I404" s="35" t="str">
        <f>IF(ISERROR(_xlfn.XLOOKUP(H404,'[1]SIG Level Structure'!D:D,'[1]SIG Level Structure'!D:D)),"0","1")</f>
        <v>1</v>
      </c>
      <c r="J404" s="36" t="str">
        <f>_xlfn.XLOOKUP($H404,'[1]SIG Level Structure'!$D:$D,'[1]SIG Level Structure'!F:F)</f>
        <v>P3</v>
      </c>
      <c r="K404" s="37" t="str">
        <f>E404&amp;"-"&amp;J404&amp;"-"&amp;G404</f>
        <v>AHR130-P3-11</v>
      </c>
      <c r="L404" s="37" t="str">
        <f>IFERROR(D404&amp;"-"&amp;LEFT(J404,1),"--")</f>
        <v>AHR-P</v>
      </c>
      <c r="M404" s="37" t="str">
        <f>VLOOKUP(L404,'[1]Compatible JC'!$A:$A,1,FALSE)</f>
        <v>AHR-P</v>
      </c>
      <c r="N404" s="37" t="str">
        <f>IFERROR(_xlfn.XLOOKUP(H404,'[1]SIG Level Structure'!D:D,'[1]SIG Level Structure'!C:C),"--")</f>
        <v>Expert</v>
      </c>
      <c r="O404" s="38" t="str">
        <f>IFERROR(TRIM(N404&amp;" "&amp;C404),"--")</f>
        <v>Expert Learning &amp; Development</v>
      </c>
      <c r="P404" s="22" t="str">
        <f>_xlfn.XLOOKUP(E404,'[1]SIG Job Families &amp; Descriptions'!A:A,'[1]SIG Job Families &amp; Descriptions'!G:G)</f>
        <v>Develops, implements and evaluates employee development programs to support organizational needs through technical or nontechnical training or e-learning. Monitors employee development and training programs, assesses needs and results, develops new programs and modifies existing programs. Develops and implements training activities directed at developing employees in competencies such as teamwork, management skills and problem solving. Also positions with focus on identifying, managing and developing talents are covered here.</v>
      </c>
      <c r="Q404" s="39" t="str">
        <f>_xlfn.XLOOKUP(E404,'[1]2022 GI Position Descriptions'!E:E,'[1]2022 GI Position Descriptions'!G:G)</f>
        <v>Develops, implements and evaluates employee development plans and programs to support organizational needs as a generalist or in a combination of Disciplines such as management development, talent management, succession planning, technical or nontechnical training, or e-learning | Monitors employee development and training programs, assesses needs and results, develops new programs and modifies existing programs</v>
      </c>
      <c r="R404" s="22" t="str">
        <f>IF(LEFT(J404,1)="E","EX",LEFT(J404,1))</f>
        <v>P</v>
      </c>
      <c r="S404" s="22" t="str">
        <f>_xlfn.XLOOKUP($R404,'[1]Career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04" s="22" t="str">
        <f>J404</f>
        <v>P3</v>
      </c>
      <c r="U404" s="40" t="str">
        <f t="shared" si="13"/>
        <v>P3</v>
      </c>
      <c r="V404" s="22" t="str">
        <f>_xlfn.XLOOKUP(T404,'[1]Career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404" s="41" t="str">
        <f>J404&amp;"-"&amp;G404</f>
        <v>P3-11</v>
      </c>
      <c r="X404" s="42" t="str">
        <f>G404</f>
        <v>11</v>
      </c>
      <c r="Y404" s="22" t="str">
        <f>_xlfn.XLOOKUP(W404,'[1]Career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404" s="43" t="str">
        <f>IFERROR(O404&amp;" - "&amp;G404,"--")</f>
        <v>Expert Learning &amp; Development - 11</v>
      </c>
      <c r="AA404" s="44" t="str">
        <f>_xlfn.XLOOKUP($H404,'[1]SIG Qualifications Input'!$D:$D,'[1]SIG Qualifications Input'!$H:$H)</f>
        <v>University degree or equivalent and 4-8 years of work experience or equivalent, 
Initial experience in functionally leading (sub-) projects</v>
      </c>
    </row>
    <row r="405" spans="1:27" ht="169" thickBot="1" x14ac:dyDescent="0.2">
      <c r="A405" s="34" t="str">
        <f>_xlfn.XLOOKUP(C405,'[1]SIG Job Families &amp; Descriptions'!F:F,'[1]SIG Job Families &amp; Descriptions'!B:B)</f>
        <v>People &amp; Culture</v>
      </c>
      <c r="B405" s="34" t="str">
        <f>_xlfn.XLOOKUP(C405,'[1]SIG Job Families &amp; Descriptions'!F:F,'[1]SIG Job Families &amp; Descriptions'!D:D)</f>
        <v>Learning &amp; Development</v>
      </c>
      <c r="C405" s="34" t="s">
        <v>105</v>
      </c>
      <c r="D405" s="30" t="str">
        <f t="shared" si="12"/>
        <v>AHR</v>
      </c>
      <c r="E405" s="31" t="str">
        <f>_xlfn.XLOOKUP(C405,'[1]SIG Job Families &amp; Descriptions'!F:F,'[1]SIG Job Families &amp; Descriptions'!A:A)</f>
        <v>AHR125</v>
      </c>
      <c r="F405" s="32" t="s">
        <v>32</v>
      </c>
      <c r="G405" s="33" t="s">
        <v>34</v>
      </c>
      <c r="H405" s="34" t="str">
        <f>F405&amp;"-"&amp;G405</f>
        <v>Professional-12</v>
      </c>
      <c r="I405" s="35" t="str">
        <f>IF(ISERROR(_xlfn.XLOOKUP(H405,'[1]SIG Level Structure'!D:D,'[1]SIG Level Structure'!D:D)),"0","1")</f>
        <v>1</v>
      </c>
      <c r="J405" s="36" t="str">
        <f>_xlfn.XLOOKUP($H405,'[1]SIG Level Structure'!$D:$D,'[1]SIG Level Structure'!F:F)</f>
        <v>P3</v>
      </c>
      <c r="K405" s="37" t="str">
        <f>E405&amp;"-"&amp;J405&amp;"-"&amp;G405</f>
        <v>AHR125-P3-12</v>
      </c>
      <c r="L405" s="37" t="str">
        <f>IFERROR(D405&amp;"-"&amp;LEFT(J405,1),"--")</f>
        <v>AHR-P</v>
      </c>
      <c r="M405" s="37" t="str">
        <f>VLOOKUP(L405,'[1]Compatible JC'!$A:$A,1,FALSE)</f>
        <v>AHR-P</v>
      </c>
      <c r="N405" s="37" t="str">
        <f>IFERROR(_xlfn.XLOOKUP(H405,'[1]SIG Level Structure'!D:D,'[1]SIG Level Structure'!C:C),"--")</f>
        <v>Expert</v>
      </c>
      <c r="O405" s="38" t="str">
        <f>IFERROR(TRIM(N405&amp;" "&amp;C405),"--")</f>
        <v>Expert Talent Management</v>
      </c>
      <c r="P405" s="22" t="str">
        <f>_xlfn.XLOOKUP(E405,'[1]SIG Job Families &amp; Descriptions'!A:A,'[1]SIG Job Families &amp; Descriptions'!G:G)</f>
        <v>Develops, implements and evaluates employee development programs to support organizational needs through technical or nontechnical training or e-learning. Monitors employee development and training programs, assesses needs and results, develops new programs and modifies existing programs. Develops and implements training activities directed at developing employees in competencies such as teamwork, management skills and problem solving. Also positions with focus on identifying, managing and developing talents are covered here.</v>
      </c>
      <c r="Q405" s="39" t="str">
        <f>_xlfn.XLOOKUP(E405,'[1]2022 GI Position Descriptions'!E:E,'[1]2022 GI Position Descriptions'!G:G)</f>
        <v>Identifies and develops talents of employees based upon current and future business objectives | Identifies required skills within the organization and develops training and procedures to ensure the current skills remain within the organization</v>
      </c>
      <c r="R405" s="22" t="str">
        <f>IF(LEFT(J405,1)="E","EX",LEFT(J405,1))</f>
        <v>P</v>
      </c>
      <c r="S405" s="22" t="str">
        <f>_xlfn.XLOOKUP($R405,'[1]Career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05" s="22" t="str">
        <f>J405</f>
        <v>P3</v>
      </c>
      <c r="U405" s="40" t="str">
        <f t="shared" si="13"/>
        <v>P3</v>
      </c>
      <c r="V405" s="22" t="str">
        <f>_xlfn.XLOOKUP(T405,'[1]Career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405" s="41" t="str">
        <f>J405&amp;"-"&amp;G405</f>
        <v>P3-12</v>
      </c>
      <c r="X405" s="42" t="str">
        <f>G405</f>
        <v>12</v>
      </c>
      <c r="Y405" s="22" t="str">
        <f>_xlfn.XLOOKUP(W405,'[1]Career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405" s="43" t="str">
        <f>IFERROR(O405&amp;" - "&amp;G405,"--")</f>
        <v>Expert Talent Management - 12</v>
      </c>
      <c r="AA405" s="44" t="str">
        <f>_xlfn.XLOOKUP($H405,'[1]SIG Qualifications Input'!$D:$D,'[1]SIG Qualifications Input'!$H:$H)</f>
        <v>University degree or equivalent and 4-8 years of work experience or equivalent, 
Initial experience in functionally leading (sub-) projects</v>
      </c>
    </row>
    <row r="406" spans="1:27" ht="169" thickBot="1" x14ac:dyDescent="0.2">
      <c r="A406" s="34" t="str">
        <f>_xlfn.XLOOKUP(C406,'[1]SIG Job Families &amp; Descriptions'!F:F,'[1]SIG Job Families &amp; Descriptions'!B:B)</f>
        <v>People &amp; Culture</v>
      </c>
      <c r="B406" s="34" t="str">
        <f>_xlfn.XLOOKUP(C406,'[1]SIG Job Families &amp; Descriptions'!F:F,'[1]SIG Job Families &amp; Descriptions'!D:D)</f>
        <v>Learning &amp; Development</v>
      </c>
      <c r="C406" s="34" t="s">
        <v>105</v>
      </c>
      <c r="D406" s="30" t="str">
        <f t="shared" si="12"/>
        <v>AHR</v>
      </c>
      <c r="E406" s="31" t="str">
        <f>_xlfn.XLOOKUP(C406,'[1]SIG Job Families &amp; Descriptions'!F:F,'[1]SIG Job Families &amp; Descriptions'!A:A)</f>
        <v>AHR125</v>
      </c>
      <c r="F406" s="32" t="s">
        <v>32</v>
      </c>
      <c r="G406" s="33" t="s">
        <v>35</v>
      </c>
      <c r="H406" s="34" t="str">
        <f>F406&amp;"-"&amp;G406</f>
        <v>Professional-11</v>
      </c>
      <c r="I406" s="35" t="str">
        <f>IF(ISERROR(_xlfn.XLOOKUP(H406,'[1]SIG Level Structure'!D:D,'[1]SIG Level Structure'!D:D)),"0","1")</f>
        <v>1</v>
      </c>
      <c r="J406" s="36" t="str">
        <f>_xlfn.XLOOKUP($H406,'[1]SIG Level Structure'!$D:$D,'[1]SIG Level Structure'!F:F)</f>
        <v>P3</v>
      </c>
      <c r="K406" s="37" t="str">
        <f>E406&amp;"-"&amp;J406&amp;"-"&amp;G406</f>
        <v>AHR125-P3-11</v>
      </c>
      <c r="L406" s="37" t="str">
        <f>IFERROR(D406&amp;"-"&amp;LEFT(J406,1),"--")</f>
        <v>AHR-P</v>
      </c>
      <c r="M406" s="37" t="str">
        <f>VLOOKUP(L406,'[1]Compatible JC'!$A:$A,1,FALSE)</f>
        <v>AHR-P</v>
      </c>
      <c r="N406" s="37" t="str">
        <f>IFERROR(_xlfn.XLOOKUP(H406,'[1]SIG Level Structure'!D:D,'[1]SIG Level Structure'!C:C),"--")</f>
        <v>Expert</v>
      </c>
      <c r="O406" s="38" t="str">
        <f>IFERROR(TRIM(N406&amp;" "&amp;C406),"--")</f>
        <v>Expert Talent Management</v>
      </c>
      <c r="P406" s="22" t="str">
        <f>_xlfn.XLOOKUP(E406,'[1]SIG Job Families &amp; Descriptions'!A:A,'[1]SIG Job Families &amp; Descriptions'!G:G)</f>
        <v>Develops, implements and evaluates employee development programs to support organizational needs through technical or nontechnical training or e-learning. Monitors employee development and training programs, assesses needs and results, develops new programs and modifies existing programs. Develops and implements training activities directed at developing employees in competencies such as teamwork, management skills and problem solving. Also positions with focus on identifying, managing and developing talents are covered here.</v>
      </c>
      <c r="Q406" s="39" t="str">
        <f>_xlfn.XLOOKUP(E406,'[1]2022 GI Position Descriptions'!E:E,'[1]2022 GI Position Descriptions'!G:G)</f>
        <v>Identifies and develops talents of employees based upon current and future business objectives | Identifies required skills within the organization and develops training and procedures to ensure the current skills remain within the organization</v>
      </c>
      <c r="R406" s="22" t="str">
        <f>IF(LEFT(J406,1)="E","EX",LEFT(J406,1))</f>
        <v>P</v>
      </c>
      <c r="S406" s="22" t="str">
        <f>_xlfn.XLOOKUP($R406,'[1]Career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06" s="22" t="str">
        <f>J406</f>
        <v>P3</v>
      </c>
      <c r="U406" s="40" t="str">
        <f t="shared" si="13"/>
        <v>P3</v>
      </c>
      <c r="V406" s="22" t="str">
        <f>_xlfn.XLOOKUP(T406,'[1]Career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406" s="41" t="str">
        <f>J406&amp;"-"&amp;G406</f>
        <v>P3-11</v>
      </c>
      <c r="X406" s="42" t="str">
        <f>G406</f>
        <v>11</v>
      </c>
      <c r="Y406" s="22" t="str">
        <f>_xlfn.XLOOKUP(W406,'[1]Career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406" s="43" t="str">
        <f>IFERROR(O406&amp;" - "&amp;G406,"--")</f>
        <v>Expert Talent Management - 11</v>
      </c>
      <c r="AA406" s="44" t="str">
        <f>_xlfn.XLOOKUP($H406,'[1]SIG Qualifications Input'!$D:$D,'[1]SIG Qualifications Input'!$H:$H)</f>
        <v>University degree or equivalent and 4-8 years of work experience or equivalent, 
Initial experience in functionally leading (sub-) projects</v>
      </c>
    </row>
    <row r="407" spans="1:27" ht="183" thickBot="1" x14ac:dyDescent="0.2">
      <c r="A407" s="34" t="str">
        <f>_xlfn.XLOOKUP(C407,'[1]SIG Job Families &amp; Descriptions'!F:F,'[1]SIG Job Families &amp; Descriptions'!B:B)</f>
        <v>People &amp; Culture</v>
      </c>
      <c r="B407" s="34" t="str">
        <f>_xlfn.XLOOKUP(C407,'[1]SIG Job Families &amp; Descriptions'!F:F,'[1]SIG Job Families &amp; Descriptions'!D:D)</f>
        <v>HR Operations/Services</v>
      </c>
      <c r="C407" s="34" t="s">
        <v>99</v>
      </c>
      <c r="D407" s="30" t="str">
        <f t="shared" si="12"/>
        <v>AHR</v>
      </c>
      <c r="E407" s="31" t="str">
        <f>_xlfn.XLOOKUP(C407,'[1]SIG Job Families &amp; Descriptions'!F:F,'[1]SIG Job Families &amp; Descriptions'!A:A)</f>
        <v>AHR160</v>
      </c>
      <c r="F407" s="32" t="s">
        <v>29</v>
      </c>
      <c r="G407" s="33" t="s">
        <v>33</v>
      </c>
      <c r="H407" s="34" t="str">
        <f>F407&amp;"-"&amp;G407</f>
        <v>Management-13</v>
      </c>
      <c r="I407" s="35" t="str">
        <f>IF(ISERROR(_xlfn.XLOOKUP(H407,'[1]SIG Level Structure'!D:D,'[1]SIG Level Structure'!D:D)),"0","1")</f>
        <v>1</v>
      </c>
      <c r="J407" s="36" t="str">
        <f>_xlfn.XLOOKUP($H407,'[1]SIG Level Structure'!$D:$D,'[1]SIG Level Structure'!F:F)</f>
        <v>M2</v>
      </c>
      <c r="K407" s="37" t="str">
        <f>E407&amp;"-"&amp;J407&amp;"-"&amp;G407</f>
        <v>AHR160-M2-13</v>
      </c>
      <c r="L407" s="37" t="str">
        <f>IFERROR(D407&amp;"-"&amp;LEFT(J407,1),"--")</f>
        <v>AHR-M</v>
      </c>
      <c r="M407" s="37" t="str">
        <f>VLOOKUP(L407,'[1]Compatible JC'!$A:$A,1,FALSE)</f>
        <v>AHR-M</v>
      </c>
      <c r="N407" s="37" t="str">
        <f>IFERROR(_xlfn.XLOOKUP(H407,'[1]SIG Level Structure'!D:D,'[1]SIG Level Structure'!C:C),"--")</f>
        <v>Manager</v>
      </c>
      <c r="O407" s="38" t="str">
        <f>IFERROR(TRIM(N407&amp;" "&amp;C407),"--")</f>
        <v>Manager HR Operations/Services</v>
      </c>
      <c r="P407" s="22" t="str">
        <f>_xlfn.XLOOKUP(E407,'[1]SIG Job Families &amp; Descriptions'!A:A,'[1]SIG Job Families &amp; Descriptions'!G:G)</f>
        <v xml:space="preserve">Provides centralized human resource services focused on employment relationship, benefits and other transactions. Establishes standards and procedures for handling employee questions, transactions and administration of human resource programs. Ensures efficiency of service center operations, technology and transaction processes.
</v>
      </c>
      <c r="Q407" s="39" t="str">
        <f>_xlfn.XLOOKUP(E407,'[1]2022 GI Position Descriptions'!E:E,'[1]2022 GI Position Descriptions'!G:G)</f>
        <v>Provides centralized human resource services spanning payroll, benefits and other transactions | Ensures efficiency of service center operations, technology and transaction processes | Establishes standards and procedures for handling employee questions, transactions and administration of human resource programs | Coordinates services with the human resource information systems, human resource program managers and technology specialists</v>
      </c>
      <c r="R407" s="22" t="str">
        <f>IF(LEFT(J407,1)="E","EX",LEFT(J407,1))</f>
        <v>M</v>
      </c>
      <c r="S407" s="22" t="str">
        <f>_xlfn.XLOOKUP($R407,'[1]Career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407" s="22" t="str">
        <f>J407</f>
        <v>M2</v>
      </c>
      <c r="U407" s="40" t="str">
        <f t="shared" si="13"/>
        <v>M2</v>
      </c>
      <c r="V407" s="22" t="str">
        <f>_xlfn.XLOOKUP(T407,'[1]Career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407" s="41" t="str">
        <f>J407&amp;"-"&amp;G407</f>
        <v>M2-13</v>
      </c>
      <c r="X407" s="42" t="str">
        <f>G407</f>
        <v>13</v>
      </c>
      <c r="Y407" s="22" t="str">
        <f>_xlfn.XLOOKUP(W407,'[1]Career Bands &amp; Levels'!A:A,'[1]Career Bands &amp; Levels'!C:C,"No Grade Differentiator")</f>
        <v>●	Accountable for the budget, performance and results of a medium-sized team or multiple small teams of employees		
●	Exercises full management authority, including performance reviews, pay decisions, recruitment, discipline, termination and other personnel actions		
●	Addresses issues with impact beyond own team based on knowledge of related disciplines</v>
      </c>
      <c r="Z407" s="43" t="str">
        <f>IFERROR(O407&amp;" - "&amp;G407,"--")</f>
        <v>Manager HR Operations/Services - 13</v>
      </c>
      <c r="AA407" s="44" t="str">
        <f>_xlfn.XLOOKUP($H407,'[1]SIG Qualifications Input'!$D:$D,'[1]SIG Qualifications Input'!$H:$H)</f>
        <v>University degree or equivalent and 7-10 years of work experience or equivalent
Experience in managing mixed-level team(s) of professionals and subordinate managers</v>
      </c>
    </row>
    <row r="408" spans="1:27" ht="183" thickBot="1" x14ac:dyDescent="0.2">
      <c r="A408" s="34" t="str">
        <f>_xlfn.XLOOKUP(C408,'[1]SIG Job Families &amp; Descriptions'!F:F,'[1]SIG Job Families &amp; Descriptions'!B:B)</f>
        <v>People &amp; Culture</v>
      </c>
      <c r="B408" s="34" t="str">
        <f>_xlfn.XLOOKUP(C408,'[1]SIG Job Families &amp; Descriptions'!F:F,'[1]SIG Job Families &amp; Descriptions'!D:D)</f>
        <v>HR Operations/Services</v>
      </c>
      <c r="C408" s="34" t="s">
        <v>99</v>
      </c>
      <c r="D408" s="30" t="str">
        <f t="shared" si="12"/>
        <v>AHR</v>
      </c>
      <c r="E408" s="31" t="str">
        <f>_xlfn.XLOOKUP(C408,'[1]SIG Job Families &amp; Descriptions'!F:F,'[1]SIG Job Families &amp; Descriptions'!A:A)</f>
        <v>AHR160</v>
      </c>
      <c r="F408" s="32" t="s">
        <v>29</v>
      </c>
      <c r="G408" s="33" t="s">
        <v>34</v>
      </c>
      <c r="H408" s="34" t="str">
        <f>F408&amp;"-"&amp;G408</f>
        <v>Management-12</v>
      </c>
      <c r="I408" s="35" t="str">
        <f>IF(ISERROR(_xlfn.XLOOKUP(H408,'[1]SIG Level Structure'!D:D,'[1]SIG Level Structure'!D:D)),"0","1")</f>
        <v>1</v>
      </c>
      <c r="J408" s="36" t="str">
        <f>_xlfn.XLOOKUP($H408,'[1]SIG Level Structure'!$D:$D,'[1]SIG Level Structure'!F:F)</f>
        <v>M2</v>
      </c>
      <c r="K408" s="37" t="str">
        <f>E408&amp;"-"&amp;J408&amp;"-"&amp;G408</f>
        <v>AHR160-M2-12</v>
      </c>
      <c r="L408" s="37" t="str">
        <f>IFERROR(D408&amp;"-"&amp;LEFT(J408,1),"--")</f>
        <v>AHR-M</v>
      </c>
      <c r="M408" s="37" t="str">
        <f>VLOOKUP(L408,'[1]Compatible JC'!$A:$A,1,FALSE)</f>
        <v>AHR-M</v>
      </c>
      <c r="N408" s="37" t="str">
        <f>IFERROR(_xlfn.XLOOKUP(H408,'[1]SIG Level Structure'!D:D,'[1]SIG Level Structure'!C:C),"--")</f>
        <v>Manager</v>
      </c>
      <c r="O408" s="38" t="str">
        <f>IFERROR(TRIM(N408&amp;" "&amp;C408),"--")</f>
        <v>Manager HR Operations/Services</v>
      </c>
      <c r="P408" s="22" t="str">
        <f>_xlfn.XLOOKUP(E408,'[1]SIG Job Families &amp; Descriptions'!A:A,'[1]SIG Job Families &amp; Descriptions'!G:G)</f>
        <v xml:space="preserve">Provides centralized human resource services focused on employment relationship, benefits and other transactions. Establishes standards and procedures for handling employee questions, transactions and administration of human resource programs. Ensures efficiency of service center operations, technology and transaction processes.
</v>
      </c>
      <c r="Q408" s="39" t="str">
        <f>_xlfn.XLOOKUP(E408,'[1]2022 GI Position Descriptions'!E:E,'[1]2022 GI Position Descriptions'!G:G)</f>
        <v>Provides centralized human resource services spanning payroll, benefits and other transactions | Ensures efficiency of service center operations, technology and transaction processes | Establishes standards and procedures for handling employee questions, transactions and administration of human resource programs | Coordinates services with the human resource information systems, human resource program managers and technology specialists</v>
      </c>
      <c r="R408" s="22" t="str">
        <f>IF(LEFT(J408,1)="E","EX",LEFT(J408,1))</f>
        <v>M</v>
      </c>
      <c r="S408" s="22" t="str">
        <f>_xlfn.XLOOKUP($R408,'[1]Career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408" s="22" t="str">
        <f>J408</f>
        <v>M2</v>
      </c>
      <c r="U408" s="40" t="str">
        <f t="shared" si="13"/>
        <v>M2</v>
      </c>
      <c r="V408" s="22" t="str">
        <f>_xlfn.XLOOKUP(T408,'[1]Career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408" s="41" t="str">
        <f>J408&amp;"-"&amp;G408</f>
        <v>M2-12</v>
      </c>
      <c r="X408" s="42" t="str">
        <f>G408</f>
        <v>12</v>
      </c>
      <c r="Y408" s="22" t="str">
        <f>_xlfn.XLOOKUP(W408,'[1]Career Bands &amp; Levels'!A:A,'[1]Career Bands &amp; Levels'!C:C,"No Grade Differentiator")</f>
        <v xml:space="preserve">●	Accountable for results of a small team of employees		
●	Exercises limited management authority; sets employee performance objectives, conducts performance reviews and recommends pay actions		
●	Defines team operating standards and ensures essential procedures are followed based on knowledge of own discipline		</v>
      </c>
      <c r="Z408" s="43" t="str">
        <f>IFERROR(O408&amp;" - "&amp;G408,"--")</f>
        <v>Manager HR Operations/Services - 12</v>
      </c>
      <c r="AA408" s="44" t="str">
        <f>_xlfn.XLOOKUP($H408,'[1]SIG Qualifications Input'!$D:$D,'[1]SIG Qualifications Input'!$H:$H)</f>
        <v>University degree or equivalent and 7-10 years of work experience or equivalent
Experience in managing mixed-level team(s) of professionals and subordinate managers</v>
      </c>
    </row>
    <row r="409" spans="1:27" ht="183" thickBot="1" x14ac:dyDescent="0.2">
      <c r="A409" s="34" t="str">
        <f>_xlfn.XLOOKUP(C409,'[1]SIG Job Families &amp; Descriptions'!F:F,'[1]SIG Job Families &amp; Descriptions'!B:B)</f>
        <v>People &amp; Culture</v>
      </c>
      <c r="B409" s="34" t="str">
        <f>_xlfn.XLOOKUP(C409,'[1]SIG Job Families &amp; Descriptions'!F:F,'[1]SIG Job Families &amp; Descriptions'!D:D)</f>
        <v>HR Operations/Services</v>
      </c>
      <c r="C409" s="34" t="s">
        <v>99</v>
      </c>
      <c r="D409" s="30" t="str">
        <f t="shared" si="12"/>
        <v>AHR</v>
      </c>
      <c r="E409" s="31" t="str">
        <f>_xlfn.XLOOKUP(C409,'[1]SIG Job Families &amp; Descriptions'!F:F,'[1]SIG Job Families &amp; Descriptions'!A:A)</f>
        <v>AHR160</v>
      </c>
      <c r="F409" s="32" t="s">
        <v>29</v>
      </c>
      <c r="G409" s="33" t="s">
        <v>35</v>
      </c>
      <c r="H409" s="34" t="str">
        <f>F409&amp;"-"&amp;G409</f>
        <v>Management-11</v>
      </c>
      <c r="I409" s="35" t="str">
        <f>IF(ISERROR(_xlfn.XLOOKUP(H409,'[1]SIG Level Structure'!D:D,'[1]SIG Level Structure'!D:D)),"0","1")</f>
        <v>1</v>
      </c>
      <c r="J409" s="36" t="str">
        <f>_xlfn.XLOOKUP($H409,'[1]SIG Level Structure'!$D:$D,'[1]SIG Level Structure'!F:F)</f>
        <v>M1</v>
      </c>
      <c r="K409" s="37" t="str">
        <f>E409&amp;"-"&amp;J409&amp;"-"&amp;G409</f>
        <v>AHR160-M1-11</v>
      </c>
      <c r="L409" s="37" t="str">
        <f>IFERROR(D409&amp;"-"&amp;LEFT(J409,1),"--")</f>
        <v>AHR-M</v>
      </c>
      <c r="M409" s="37" t="str">
        <f>VLOOKUP(L409,'[1]Compatible JC'!$A:$A,1,FALSE)</f>
        <v>AHR-M</v>
      </c>
      <c r="N409" s="37" t="str">
        <f>IFERROR(_xlfn.XLOOKUP(H409,'[1]SIG Level Structure'!D:D,'[1]SIG Level Structure'!C:C),"--")</f>
        <v>Supervisor</v>
      </c>
      <c r="O409" s="38" t="str">
        <f>IFERROR(TRIM(N409&amp;" "&amp;C409),"--")</f>
        <v>Supervisor HR Operations/Services</v>
      </c>
      <c r="P409" s="22" t="str">
        <f>_xlfn.XLOOKUP(E409,'[1]SIG Job Families &amp; Descriptions'!A:A,'[1]SIG Job Families &amp; Descriptions'!G:G)</f>
        <v xml:space="preserve">Provides centralized human resource services focused on employment relationship, benefits and other transactions. Establishes standards and procedures for handling employee questions, transactions and administration of human resource programs. Ensures efficiency of service center operations, technology and transaction processes.
</v>
      </c>
      <c r="Q409" s="39" t="str">
        <f>_xlfn.XLOOKUP(E409,'[1]2022 GI Position Descriptions'!E:E,'[1]2022 GI Position Descriptions'!G:G)</f>
        <v>Provides centralized human resource services spanning payroll, benefits and other transactions | Ensures efficiency of service center operations, technology and transaction processes | Establishes standards and procedures for handling employee questions, transactions and administration of human resource programs | Coordinates services with the human resource information systems, human resource program managers and technology specialists</v>
      </c>
      <c r="R409" s="22" t="str">
        <f>IF(LEFT(J409,1)="E","EX",LEFT(J409,1))</f>
        <v>M</v>
      </c>
      <c r="S409" s="22" t="str">
        <f>_xlfn.XLOOKUP($R409,'[1]Career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409" s="22" t="str">
        <f>J409</f>
        <v>M1</v>
      </c>
      <c r="U409" s="40" t="str">
        <f t="shared" si="13"/>
        <v>M1</v>
      </c>
      <c r="V409" s="22" t="str">
        <f>_xlfn.XLOOKUP(T409,'[1]Career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409" s="41" t="str">
        <f>J409&amp;"-"&amp;G409</f>
        <v>M1-11</v>
      </c>
      <c r="X409" s="42" t="str">
        <f>G409</f>
        <v>11</v>
      </c>
      <c r="Y409" s="22" t="str">
        <f>_xlfn.XLOOKUP(W409,'[1]Career Bands &amp; Levels'!A:A,'[1]Career Bands &amp; Levels'!C:C,"No Grade Differentiator")</f>
        <v xml:space="preserve">●	Accountable for the results of a large and/or moderately complex support or production operations team including subordinate work leaders		
●	Applies acquired expertise to analyze and solve problems without clear precedent		
●	Provides input on resource planning and policy development		
●	Coaches team members on performance, completes employee performance evaluations and recommends pay actions		</v>
      </c>
      <c r="Z409" s="43" t="str">
        <f>IFERROR(O409&amp;" - "&amp;G409,"--")</f>
        <v>Supervisor HR Operations/Services - 11</v>
      </c>
      <c r="AA409" s="44" t="str">
        <f>_xlfn.XLOOKUP($H409,'[1]SIG Qualifications Input'!$D:$D,'[1]SIG Qualifications Input'!$H:$H)</f>
        <v>University degree or equivalent and 5-7 years of work experience or equivalent
Experienced in application of management techniques
Experience in operationally managing a mixed-level team</v>
      </c>
    </row>
    <row r="410" spans="1:27" ht="183" thickBot="1" x14ac:dyDescent="0.2">
      <c r="A410" s="34" t="str">
        <f>_xlfn.XLOOKUP(C410,'[1]SIG Job Families &amp; Descriptions'!F:F,'[1]SIG Job Families &amp; Descriptions'!B:B)</f>
        <v>People &amp; Culture</v>
      </c>
      <c r="B410" s="34" t="str">
        <f>_xlfn.XLOOKUP(C410,'[1]SIG Job Families &amp; Descriptions'!F:F,'[1]SIG Job Families &amp; Descriptions'!D:D)</f>
        <v>HR Operations/Services</v>
      </c>
      <c r="C410" s="34" t="s">
        <v>99</v>
      </c>
      <c r="D410" s="30" t="str">
        <f t="shared" si="12"/>
        <v>AHR</v>
      </c>
      <c r="E410" s="31" t="str">
        <f>_xlfn.XLOOKUP(C410,'[1]SIG Job Families &amp; Descriptions'!F:F,'[1]SIG Job Families &amp; Descriptions'!A:A)</f>
        <v>AHR160</v>
      </c>
      <c r="F410" s="32" t="s">
        <v>29</v>
      </c>
      <c r="G410" s="33" t="s">
        <v>36</v>
      </c>
      <c r="H410" s="34" t="str">
        <f>F410&amp;"-"&amp;G410</f>
        <v>Management-10</v>
      </c>
      <c r="I410" s="35" t="str">
        <f>IF(ISERROR(_xlfn.XLOOKUP(H410,'[1]SIG Level Structure'!D:D,'[1]SIG Level Structure'!D:D)),"0","1")</f>
        <v>1</v>
      </c>
      <c r="J410" s="36" t="str">
        <f>_xlfn.XLOOKUP($H410,'[1]SIG Level Structure'!$D:$D,'[1]SIG Level Structure'!F:F)</f>
        <v>M1</v>
      </c>
      <c r="K410" s="37" t="str">
        <f>E410&amp;"-"&amp;J410&amp;"-"&amp;G410</f>
        <v>AHR160-M1-10</v>
      </c>
      <c r="L410" s="37" t="str">
        <f>IFERROR(D410&amp;"-"&amp;LEFT(J410,1),"--")</f>
        <v>AHR-M</v>
      </c>
      <c r="M410" s="37" t="str">
        <f>VLOOKUP(L410,'[1]Compatible JC'!$A:$A,1,FALSE)</f>
        <v>AHR-M</v>
      </c>
      <c r="N410" s="37" t="str">
        <f>IFERROR(_xlfn.XLOOKUP(H410,'[1]SIG Level Structure'!D:D,'[1]SIG Level Structure'!C:C),"--")</f>
        <v>Supervisor</v>
      </c>
      <c r="O410" s="38" t="str">
        <f>IFERROR(TRIM(N410&amp;" "&amp;C410),"--")</f>
        <v>Supervisor HR Operations/Services</v>
      </c>
      <c r="P410" s="22" t="str">
        <f>_xlfn.XLOOKUP(E410,'[1]SIG Job Families &amp; Descriptions'!A:A,'[1]SIG Job Families &amp; Descriptions'!G:G)</f>
        <v xml:space="preserve">Provides centralized human resource services focused on employment relationship, benefits and other transactions. Establishes standards and procedures for handling employee questions, transactions and administration of human resource programs. Ensures efficiency of service center operations, technology and transaction processes.
</v>
      </c>
      <c r="Q410" s="39" t="str">
        <f>_xlfn.XLOOKUP(E410,'[1]2022 GI Position Descriptions'!E:E,'[1]2022 GI Position Descriptions'!G:G)</f>
        <v>Provides centralized human resource services spanning payroll, benefits and other transactions | Ensures efficiency of service center operations, technology and transaction processes | Establishes standards and procedures for handling employee questions, transactions and administration of human resource programs | Coordinates services with the human resource information systems, human resource program managers and technology specialists</v>
      </c>
      <c r="R410" s="22" t="str">
        <f>IF(LEFT(J410,1)="E","EX",LEFT(J410,1))</f>
        <v>M</v>
      </c>
      <c r="S410" s="22" t="str">
        <f>_xlfn.XLOOKUP($R410,'[1]Career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410" s="22" t="str">
        <f>J410</f>
        <v>M1</v>
      </c>
      <c r="U410" s="40" t="str">
        <f t="shared" si="13"/>
        <v>M1</v>
      </c>
      <c r="V410" s="22" t="str">
        <f>_xlfn.XLOOKUP(T410,'[1]Career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410" s="41" t="str">
        <f>J410&amp;"-"&amp;G410</f>
        <v>M1-10</v>
      </c>
      <c r="X410" s="42" t="str">
        <f>G410</f>
        <v>10</v>
      </c>
      <c r="Y410" s="22" t="str">
        <f>_xlfn.XLOOKUP(W410,'[1]Career Bands &amp; Levels'!A:A,'[1]Career Bands &amp; Levels'!C:C,"No Grade Differentiator")</f>
        <v xml:space="preserve">●	Accountable for the results of medium-sized routine support or production operations teams		
●	Solves problems based on practice and precedent		
●	Trains team members and provides input to employee performance evaluations		</v>
      </c>
      <c r="Z410" s="43" t="str">
        <f>IFERROR(O410&amp;" - "&amp;G410,"--")</f>
        <v>Supervisor HR Operations/Services - 10</v>
      </c>
      <c r="AA410" s="44" t="str">
        <f>_xlfn.XLOOKUP($H410,'[1]SIG Qualifications Input'!$D:$D,'[1]SIG Qualifications Input'!$H:$H)</f>
        <v>University degree or equivalent and 5-7 years of work experience or equivalent
Experienced in application of management techniques
Experience in operationally managing a mixed-level team</v>
      </c>
    </row>
    <row r="411" spans="1:27" ht="169" thickBot="1" x14ac:dyDescent="0.2">
      <c r="A411" s="34" t="str">
        <f>_xlfn.XLOOKUP(C411,'[1]SIG Job Families &amp; Descriptions'!F:F,'[1]SIG Job Families &amp; Descriptions'!B:B)</f>
        <v>People &amp; Culture</v>
      </c>
      <c r="B411" s="34" t="str">
        <f>_xlfn.XLOOKUP(C411,'[1]SIG Job Families &amp; Descriptions'!F:F,'[1]SIG Job Families &amp; Descriptions'!D:D)</f>
        <v>HR Operations/Services</v>
      </c>
      <c r="C411" s="34" t="s">
        <v>99</v>
      </c>
      <c r="D411" s="30" t="str">
        <f t="shared" si="12"/>
        <v>AHR</v>
      </c>
      <c r="E411" s="31" t="str">
        <f>_xlfn.XLOOKUP(C411,'[1]SIG Job Families &amp; Descriptions'!F:F,'[1]SIG Job Families &amp; Descriptions'!A:A)</f>
        <v>AHR160</v>
      </c>
      <c r="F411" s="32" t="s">
        <v>32</v>
      </c>
      <c r="G411" s="33" t="s">
        <v>34</v>
      </c>
      <c r="H411" s="34" t="str">
        <f>F411&amp;"-"&amp;G411</f>
        <v>Professional-12</v>
      </c>
      <c r="I411" s="35" t="str">
        <f>IF(ISERROR(_xlfn.XLOOKUP(H411,'[1]SIG Level Structure'!D:D,'[1]SIG Level Structure'!D:D)),"0","1")</f>
        <v>1</v>
      </c>
      <c r="J411" s="36" t="str">
        <f>_xlfn.XLOOKUP($H411,'[1]SIG Level Structure'!$D:$D,'[1]SIG Level Structure'!F:F)</f>
        <v>P3</v>
      </c>
      <c r="K411" s="37" t="str">
        <f>E411&amp;"-"&amp;J411&amp;"-"&amp;G411</f>
        <v>AHR160-P3-12</v>
      </c>
      <c r="L411" s="37" t="str">
        <f>IFERROR(D411&amp;"-"&amp;LEFT(J411,1),"--")</f>
        <v>AHR-P</v>
      </c>
      <c r="M411" s="37" t="str">
        <f>VLOOKUP(L411,'[1]Compatible JC'!$A:$A,1,FALSE)</f>
        <v>AHR-P</v>
      </c>
      <c r="N411" s="37" t="str">
        <f>IFERROR(_xlfn.XLOOKUP(H411,'[1]SIG Level Structure'!D:D,'[1]SIG Level Structure'!C:C),"--")</f>
        <v>Expert</v>
      </c>
      <c r="O411" s="38" t="str">
        <f>IFERROR(TRIM(N411&amp;" "&amp;C411),"--")</f>
        <v>Expert HR Operations/Services</v>
      </c>
      <c r="P411" s="22" t="str">
        <f>_xlfn.XLOOKUP(E411,'[1]SIG Job Families &amp; Descriptions'!A:A,'[1]SIG Job Families &amp; Descriptions'!G:G)</f>
        <v xml:space="preserve">Provides centralized human resource services focused on employment relationship, benefits and other transactions. Establishes standards and procedures for handling employee questions, transactions and administration of human resource programs. Ensures efficiency of service center operations, technology and transaction processes.
</v>
      </c>
      <c r="Q411" s="39" t="str">
        <f>_xlfn.XLOOKUP(E411,'[1]2022 GI Position Descriptions'!E:E,'[1]2022 GI Position Descriptions'!G:G)</f>
        <v>Provides centralized human resource services spanning payroll, benefits and other transactions | Ensures efficiency of service center operations, technology and transaction processes | Establishes standards and procedures for handling employee questions, transactions and administration of human resource programs | Coordinates services with the human resource information systems, human resource program managers and technology specialists</v>
      </c>
      <c r="R411" s="22" t="str">
        <f>IF(LEFT(J411,1)="E","EX",LEFT(J411,1))</f>
        <v>P</v>
      </c>
      <c r="S411" s="22" t="str">
        <f>_xlfn.XLOOKUP($R411,'[1]Career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11" s="22" t="str">
        <f>J411</f>
        <v>P3</v>
      </c>
      <c r="U411" s="40" t="str">
        <f t="shared" si="13"/>
        <v>P3</v>
      </c>
      <c r="V411" s="22" t="str">
        <f>_xlfn.XLOOKUP(T411,'[1]Career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411" s="41" t="str">
        <f>J411&amp;"-"&amp;G411</f>
        <v>P3-12</v>
      </c>
      <c r="X411" s="42" t="str">
        <f>G411</f>
        <v>12</v>
      </c>
      <c r="Y411" s="22" t="str">
        <f>_xlfn.XLOOKUP(W411,'[1]Career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411" s="43" t="str">
        <f>IFERROR(O411&amp;" - "&amp;G411,"--")</f>
        <v>Expert HR Operations/Services - 12</v>
      </c>
      <c r="AA411" s="44" t="str">
        <f>_xlfn.XLOOKUP($H411,'[1]SIG Qualifications Input'!$D:$D,'[1]SIG Qualifications Input'!$H:$H)</f>
        <v>University degree or equivalent and 4-8 years of work experience or equivalent, 
Initial experience in functionally leading (sub-) projects</v>
      </c>
    </row>
    <row r="412" spans="1:27" ht="169" thickBot="1" x14ac:dyDescent="0.2">
      <c r="A412" s="34" t="str">
        <f>_xlfn.XLOOKUP(C412,'[1]SIG Job Families &amp; Descriptions'!F:F,'[1]SIG Job Families &amp; Descriptions'!B:B)</f>
        <v>People &amp; Culture</v>
      </c>
      <c r="B412" s="34" t="str">
        <f>_xlfn.XLOOKUP(C412,'[1]SIG Job Families &amp; Descriptions'!F:F,'[1]SIG Job Families &amp; Descriptions'!D:D)</f>
        <v>HR Operations/Services</v>
      </c>
      <c r="C412" s="34" t="s">
        <v>99</v>
      </c>
      <c r="D412" s="30" t="str">
        <f t="shared" si="12"/>
        <v>AHR</v>
      </c>
      <c r="E412" s="31" t="str">
        <f>_xlfn.XLOOKUP(C412,'[1]SIG Job Families &amp; Descriptions'!F:F,'[1]SIG Job Families &amp; Descriptions'!A:A)</f>
        <v>AHR160</v>
      </c>
      <c r="F412" s="32" t="s">
        <v>32</v>
      </c>
      <c r="G412" s="33" t="s">
        <v>35</v>
      </c>
      <c r="H412" s="34" t="str">
        <f>F412&amp;"-"&amp;G412</f>
        <v>Professional-11</v>
      </c>
      <c r="I412" s="35" t="str">
        <f>IF(ISERROR(_xlfn.XLOOKUP(H412,'[1]SIG Level Structure'!D:D,'[1]SIG Level Structure'!D:D)),"0","1")</f>
        <v>1</v>
      </c>
      <c r="J412" s="36" t="str">
        <f>_xlfn.XLOOKUP($H412,'[1]SIG Level Structure'!$D:$D,'[1]SIG Level Structure'!F:F)</f>
        <v>P3</v>
      </c>
      <c r="K412" s="37" t="str">
        <f>E412&amp;"-"&amp;J412&amp;"-"&amp;G412</f>
        <v>AHR160-P3-11</v>
      </c>
      <c r="L412" s="37" t="str">
        <f>IFERROR(D412&amp;"-"&amp;LEFT(J412,1),"--")</f>
        <v>AHR-P</v>
      </c>
      <c r="M412" s="37" t="str">
        <f>VLOOKUP(L412,'[1]Compatible JC'!$A:$A,1,FALSE)</f>
        <v>AHR-P</v>
      </c>
      <c r="N412" s="37" t="str">
        <f>IFERROR(_xlfn.XLOOKUP(H412,'[1]SIG Level Structure'!D:D,'[1]SIG Level Structure'!C:C),"--")</f>
        <v>Expert</v>
      </c>
      <c r="O412" s="38" t="str">
        <f>IFERROR(TRIM(N412&amp;" "&amp;C412),"--")</f>
        <v>Expert HR Operations/Services</v>
      </c>
      <c r="P412" s="22" t="str">
        <f>_xlfn.XLOOKUP(E412,'[1]SIG Job Families &amp; Descriptions'!A:A,'[1]SIG Job Families &amp; Descriptions'!G:G)</f>
        <v xml:space="preserve">Provides centralized human resource services focused on employment relationship, benefits and other transactions. Establishes standards and procedures for handling employee questions, transactions and administration of human resource programs. Ensures efficiency of service center operations, technology and transaction processes.
</v>
      </c>
      <c r="Q412" s="39" t="str">
        <f>_xlfn.XLOOKUP(E412,'[1]2022 GI Position Descriptions'!E:E,'[1]2022 GI Position Descriptions'!G:G)</f>
        <v>Provides centralized human resource services spanning payroll, benefits and other transactions | Ensures efficiency of service center operations, technology and transaction processes | Establishes standards and procedures for handling employee questions, transactions and administration of human resource programs | Coordinates services with the human resource information systems, human resource program managers and technology specialists</v>
      </c>
      <c r="R412" s="22" t="str">
        <f>IF(LEFT(J412,1)="E","EX",LEFT(J412,1))</f>
        <v>P</v>
      </c>
      <c r="S412" s="22" t="str">
        <f>_xlfn.XLOOKUP($R412,'[1]Career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12" s="22" t="str">
        <f>J412</f>
        <v>P3</v>
      </c>
      <c r="U412" s="40" t="str">
        <f t="shared" si="13"/>
        <v>P3</v>
      </c>
      <c r="V412" s="22" t="str">
        <f>_xlfn.XLOOKUP(T412,'[1]Career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412" s="41" t="str">
        <f>J412&amp;"-"&amp;G412</f>
        <v>P3-11</v>
      </c>
      <c r="X412" s="42" t="str">
        <f>G412</f>
        <v>11</v>
      </c>
      <c r="Y412" s="22" t="str">
        <f>_xlfn.XLOOKUP(W412,'[1]Career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412" s="43" t="str">
        <f>IFERROR(O412&amp;" - "&amp;G412,"--")</f>
        <v>Expert HR Operations/Services - 11</v>
      </c>
      <c r="AA412" s="44" t="str">
        <f>_xlfn.XLOOKUP($H412,'[1]SIG Qualifications Input'!$D:$D,'[1]SIG Qualifications Input'!$H:$H)</f>
        <v>University degree or equivalent and 4-8 years of work experience or equivalent, 
Initial experience in functionally leading (sub-) projects</v>
      </c>
    </row>
    <row r="413" spans="1:27" ht="169" thickBot="1" x14ac:dyDescent="0.2">
      <c r="A413" s="34" t="str">
        <f>_xlfn.XLOOKUP(C413,'[1]SIG Job Families &amp; Descriptions'!F:F,'[1]SIG Job Families &amp; Descriptions'!B:B)</f>
        <v>People &amp; Culture</v>
      </c>
      <c r="B413" s="34" t="str">
        <f>_xlfn.XLOOKUP(C413,'[1]SIG Job Families &amp; Descriptions'!F:F,'[1]SIG Job Families &amp; Descriptions'!D:D)</f>
        <v>HR Operations/Services</v>
      </c>
      <c r="C413" s="34" t="s">
        <v>99</v>
      </c>
      <c r="D413" s="30" t="str">
        <f t="shared" si="12"/>
        <v>AHR</v>
      </c>
      <c r="E413" s="31" t="str">
        <f>_xlfn.XLOOKUP(C413,'[1]SIG Job Families &amp; Descriptions'!F:F,'[1]SIG Job Families &amp; Descriptions'!A:A)</f>
        <v>AHR160</v>
      </c>
      <c r="F413" s="32" t="s">
        <v>32</v>
      </c>
      <c r="G413" s="33" t="s">
        <v>43</v>
      </c>
      <c r="H413" s="34" t="str">
        <f>F413&amp;"-"&amp;G413</f>
        <v>Professional-08</v>
      </c>
      <c r="I413" s="35" t="str">
        <f>IF(ISERROR(_xlfn.XLOOKUP(H413,'[1]SIG Level Structure'!D:D,'[1]SIG Level Structure'!D:D)),"0","1")</f>
        <v>1</v>
      </c>
      <c r="J413" s="36" t="str">
        <f>_xlfn.XLOOKUP($H413,'[1]SIG Level Structure'!$D:$D,'[1]SIG Level Structure'!F:F)</f>
        <v>P1</v>
      </c>
      <c r="K413" s="37" t="str">
        <f>E413&amp;"-"&amp;J413&amp;"-"&amp;G413</f>
        <v>AHR160-P1-08</v>
      </c>
      <c r="L413" s="37" t="str">
        <f>IFERROR(D413&amp;"-"&amp;LEFT(J413,1),"--")</f>
        <v>AHR-P</v>
      </c>
      <c r="M413" s="37" t="str">
        <f>VLOOKUP(L413,'[1]Compatible JC'!$A:$A,1,FALSE)</f>
        <v>AHR-P</v>
      </c>
      <c r="N413" s="37" t="str">
        <f>IFERROR(_xlfn.XLOOKUP(H413,'[1]SIG Level Structure'!D:D,'[1]SIG Level Structure'!C:C),"--")</f>
        <v>Specialist</v>
      </c>
      <c r="O413" s="38" t="str">
        <f>IFERROR(TRIM(N413&amp;" "&amp;C413),"--")</f>
        <v>Specialist HR Operations/Services</v>
      </c>
      <c r="P413" s="22" t="str">
        <f>_xlfn.XLOOKUP(E413,'[1]SIG Job Families &amp; Descriptions'!A:A,'[1]SIG Job Families &amp; Descriptions'!G:G)</f>
        <v xml:space="preserve">Provides centralized human resource services focused on employment relationship, benefits and other transactions. Establishes standards and procedures for handling employee questions, transactions and administration of human resource programs. Ensures efficiency of service center operations, technology and transaction processes.
</v>
      </c>
      <c r="Q413" s="39" t="str">
        <f>_xlfn.XLOOKUP(E413,'[1]2022 GI Position Descriptions'!E:E,'[1]2022 GI Position Descriptions'!G:G)</f>
        <v>Provides centralized human resource services spanning payroll, benefits and other transactions | Ensures efficiency of service center operations, technology and transaction processes | Establishes standards and procedures for handling employee questions, transactions and administration of human resource programs | Coordinates services with the human resource information systems, human resource program managers and technology specialists</v>
      </c>
      <c r="R413" s="22" t="str">
        <f>IF(LEFT(J413,1)="E","EX",LEFT(J413,1))</f>
        <v>P</v>
      </c>
      <c r="S413" s="22" t="str">
        <f>_xlfn.XLOOKUP($R413,'[1]Career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13" s="22" t="str">
        <f>J413</f>
        <v>P1</v>
      </c>
      <c r="U413" s="40" t="str">
        <f t="shared" si="13"/>
        <v>P1</v>
      </c>
      <c r="V413" s="22" t="str">
        <f>_xlfn.XLOOKUP(T413,'[1]Career Bands &amp; Levels'!A:A,'[1]Career Bands &amp; Levels'!C:C)</f>
        <v xml:space="preserve">●	Performs routine assignments in the entry level of the Professional Career Band		
●	Typically requires a college or university degree or the equivalent work experience and has conceptual knowledge of fundamental theories, principles and practices 		
●	Has no discretion to vary from established procedures by performing structured work assignments		
●	Uses existing procedures to solve routine or standard problems		
●	Receives instruction, guidance and direction from more senior level roles		</v>
      </c>
      <c r="W413" s="41" t="str">
        <f>J413&amp;"-"&amp;G413</f>
        <v>P1-08</v>
      </c>
      <c r="X413" s="42" t="str">
        <f>G413</f>
        <v>08</v>
      </c>
      <c r="Y413" s="22" t="str">
        <f>_xlfn.XLOOKUP(W413,'[1]Career Bands &amp; Levels'!A:A,'[1]Career Bands &amp; Levels'!C:C,"No Grade Differentiator")</f>
        <v>No Grade Differentiator</v>
      </c>
      <c r="Z413" s="43" t="str">
        <f>IFERROR(O413&amp;" - "&amp;G413,"--")</f>
        <v>Specialist HR Operations/Services - 08</v>
      </c>
      <c r="AA413" s="44" t="str">
        <f>_xlfn.XLOOKUP($H413,'[1]SIG Qualifications Input'!$D:$D,'[1]SIG Qualifications Input'!$H:$H)</f>
        <v>University degree or equivalent and 0-1 year of work experience or equivalent</v>
      </c>
    </row>
    <row r="414" spans="1:27" ht="141" thickBot="1" x14ac:dyDescent="0.2">
      <c r="A414" s="34" t="str">
        <f>_xlfn.XLOOKUP(C414,'[1]SIG Job Families &amp; Descriptions'!F:F,'[1]SIG Job Families &amp; Descriptions'!B:B)</f>
        <v>People &amp; Culture</v>
      </c>
      <c r="B414" s="34" t="str">
        <f>_xlfn.XLOOKUP(C414,'[1]SIG Job Families &amp; Descriptions'!F:F,'[1]SIG Job Families &amp; Descriptions'!D:D)</f>
        <v>HR Operations/Services</v>
      </c>
      <c r="C414" s="34" t="s">
        <v>99</v>
      </c>
      <c r="D414" s="30" t="str">
        <f t="shared" si="12"/>
        <v>AHR</v>
      </c>
      <c r="E414" s="31" t="str">
        <f>_xlfn.XLOOKUP(C414,'[1]SIG Job Families &amp; Descriptions'!F:F,'[1]SIG Job Families &amp; Descriptions'!A:A)</f>
        <v>AHR160</v>
      </c>
      <c r="F414" s="32" t="s">
        <v>32</v>
      </c>
      <c r="G414" s="33" t="s">
        <v>52</v>
      </c>
      <c r="H414" s="34" t="str">
        <f>F414&amp;"-"&amp;G414</f>
        <v>Professional-07</v>
      </c>
      <c r="I414" s="35" t="str">
        <f>IF(ISERROR(_xlfn.XLOOKUP(H414,'[1]SIG Level Structure'!D:D,'[1]SIG Level Structure'!D:D)),"0","1")</f>
        <v>1</v>
      </c>
      <c r="J414" s="36" t="str">
        <f>_xlfn.XLOOKUP($H414,'[1]SIG Level Structure'!$D:$D,'[1]SIG Level Structure'!F:F)</f>
        <v>U3</v>
      </c>
      <c r="K414" s="37" t="str">
        <f>E414&amp;"-"&amp;J414&amp;"-"&amp;G414</f>
        <v>AHR160-U3-07</v>
      </c>
      <c r="L414" s="37" t="str">
        <f>IFERROR(D414&amp;"-"&amp;LEFT(J414,1),"--")</f>
        <v>AHR-U</v>
      </c>
      <c r="M414" s="37" t="str">
        <f>VLOOKUP(L414,'[1]Compatible JC'!$A:$A,1,FALSE)</f>
        <v>AHR-U</v>
      </c>
      <c r="N414" s="37" t="str">
        <f>IFERROR(_xlfn.XLOOKUP(H414,'[1]SIG Level Structure'!D:D,'[1]SIG Level Structure'!C:C),"--")</f>
        <v>Assistant / Analyst</v>
      </c>
      <c r="O414" s="38" t="str">
        <f>IFERROR(TRIM(N414&amp;" "&amp;C414),"--")</f>
        <v>Assistant / Analyst HR Operations/Services</v>
      </c>
      <c r="P414" s="22" t="str">
        <f>_xlfn.XLOOKUP(E414,'[1]SIG Job Families &amp; Descriptions'!A:A,'[1]SIG Job Families &amp; Descriptions'!G:G)</f>
        <v xml:space="preserve">Provides centralized human resource services focused on employment relationship, benefits and other transactions. Establishes standards and procedures for handling employee questions, transactions and administration of human resource programs. Ensures efficiency of service center operations, technology and transaction processes.
</v>
      </c>
      <c r="Q414" s="39" t="str">
        <f>_xlfn.XLOOKUP(E414,'[1]2022 GI Position Descriptions'!E:E,'[1]2022 GI Position Descriptions'!G:G)</f>
        <v>Provides centralized human resource services spanning payroll, benefits and other transactions | Ensures efficiency of service center operations, technology and transaction processes | Establishes standards and procedures for handling employee questions, transactions and administration of human resource programs | Coordinates services with the human resource information systems, human resource program managers and technology specialists</v>
      </c>
      <c r="R414" s="22" t="str">
        <f>IF(LEFT(J414,1)="E","EX",LEFT(J414,1))</f>
        <v>U</v>
      </c>
      <c r="S414" s="22" t="str">
        <f>_xlfn.XLOOKUP($R414,'[1]Career Bands &amp; Levels'!A:A,'[1]Career Bands &amp; Levels'!C:C)</f>
        <v>● Performs clerical/administrative or specialized support tasks in an office, field or retail store/site setting
● May require vocational training or the equivalent experience, but does not require a university degree</v>
      </c>
      <c r="T414" s="22" t="str">
        <f>J414</f>
        <v>U3</v>
      </c>
      <c r="U414" s="40" t="str">
        <f t="shared" si="13"/>
        <v>U3</v>
      </c>
      <c r="V414" s="22" t="str">
        <f>_xlfn.XLOOKUP(T414,'[1]Career Bands &amp; Levels'!A:A,'[1]Career Bands &amp; Levels'!C:C)</f>
        <v xml:space="preserve">●	Has full proficiency gained through job-related training and considerable work experience		
●	Completes work with a limited degree of supervision		
●	Likely to act as an informal resource for colleagues with less experience		
●	Identifies key issues and patterns from partial/conflicting data		
●	Takes a broad perspective to problems and spots new, less obvious solutions		</v>
      </c>
      <c r="W414" s="41" t="str">
        <f>J414&amp;"-"&amp;G414</f>
        <v>U3-07</v>
      </c>
      <c r="X414" s="42" t="str">
        <f>G414</f>
        <v>07</v>
      </c>
      <c r="Y414" s="22" t="str">
        <f>_xlfn.XLOOKUP(W414,'[1]Career Bands &amp; Levels'!A:A,'[1]Career Bands &amp; Levels'!C:C,"No Grade Differentiator")</f>
        <v>No Grade Differentiator</v>
      </c>
      <c r="Z414" s="43" t="str">
        <f>IFERROR(O414&amp;" - "&amp;G414,"--")</f>
        <v>Assistant / Analyst HR Operations/Services - 07</v>
      </c>
      <c r="AA414" s="44" t="str">
        <f>_xlfn.XLOOKUP($H414,'[1]SIG Qualifications Input'!$D:$D,'[1]SIG Qualifications Input'!$H:$H)</f>
        <v>Vocational training in e.g. commercial field or equivalent work experience. Up to 5 years of experience, possibly further internal trainings.</v>
      </c>
    </row>
    <row r="415" spans="1:27" ht="169" thickBot="1" x14ac:dyDescent="0.2">
      <c r="A415" s="34" t="str">
        <f>_xlfn.XLOOKUP(C415,'[1]SIG Job Families &amp; Descriptions'!F:F,'[1]SIG Job Families &amp; Descriptions'!B:B)</f>
        <v>People &amp; Culture</v>
      </c>
      <c r="B415" s="34" t="str">
        <f>_xlfn.XLOOKUP(C415,'[1]SIG Job Families &amp; Descriptions'!F:F,'[1]SIG Job Families &amp; Descriptions'!D:D)</f>
        <v>General HR</v>
      </c>
      <c r="C415" s="34" t="s">
        <v>101</v>
      </c>
      <c r="D415" s="30" t="str">
        <f t="shared" si="12"/>
        <v>AHR</v>
      </c>
      <c r="E415" s="31" t="str">
        <f>_xlfn.XLOOKUP(C415,'[1]SIG Job Families &amp; Descriptions'!F:F,'[1]SIG Job Families &amp; Descriptions'!A:A)</f>
        <v>AHR005</v>
      </c>
      <c r="F415" s="32" t="s">
        <v>32</v>
      </c>
      <c r="G415" s="33" t="s">
        <v>31</v>
      </c>
      <c r="H415" s="34" t="str">
        <f>F415&amp;"-"&amp;G415</f>
        <v>Professional-14</v>
      </c>
      <c r="I415" s="35" t="str">
        <f>IF(ISERROR(_xlfn.XLOOKUP(H415,'[1]SIG Level Structure'!D:D,'[1]SIG Level Structure'!D:D)),"0","1")</f>
        <v>1</v>
      </c>
      <c r="J415" s="36" t="str">
        <f>_xlfn.XLOOKUP($H415,'[1]SIG Level Structure'!$D:$D,'[1]SIG Level Structure'!F:F)</f>
        <v>P4</v>
      </c>
      <c r="K415" s="37" t="str">
        <f>E415&amp;"-"&amp;J415&amp;"-"&amp;G415</f>
        <v>AHR005-P4-14</v>
      </c>
      <c r="L415" s="37" t="str">
        <f>IFERROR(D415&amp;"-"&amp;LEFT(J415,1),"--")</f>
        <v>AHR-P</v>
      </c>
      <c r="M415" s="37" t="str">
        <f>VLOOKUP(L415,'[1]Compatible JC'!$A:$A,1,FALSE)</f>
        <v>AHR-P</v>
      </c>
      <c r="N415" s="37" t="str">
        <f>IFERROR(_xlfn.XLOOKUP(H415,'[1]SIG Level Structure'!D:D,'[1]SIG Level Structure'!C:C),"--")</f>
        <v>Senior Expert</v>
      </c>
      <c r="O415" s="38" t="str">
        <f>IFERROR(TRIM(N415&amp;" "&amp;C415),"--")</f>
        <v>Senior Expert HR Business Partnering</v>
      </c>
      <c r="P415" s="22" t="str">
        <f>_xlfn.XLOOKUP(E415,'[1]SIG Job Families &amp; Descriptions'!A:A,'[1]SIG Job Families &amp; Descriptions'!G:G)</f>
        <v xml:space="preserve">Designs, implements and monitors a variety of human resource programs. Anticipates and plans for long-term human resource needs and trends in partnership with business management. HR generalists are responsible for the deployment of all HR strategy processes and act as a business partner to operational staff.  Their role covers all or a large part of HR activities. Also HR Business Partnering positions and positions with regards to Labor Relations are covered here. </v>
      </c>
      <c r="Q415" s="39" t="str">
        <f>_xlfn.XLOOKUP(E415,'[1]2022 GI Position Descriptions'!E:E,'[1]2022 GI Position Descriptions'!G:G)</f>
        <v>Works closely with senior management within specific business units or regions to develop and implement predominately medium to long-term HR solutions aligned to business strategy | Supported by centralized HR professionals who have specialized in particular functions</v>
      </c>
      <c r="R415" s="22" t="str">
        <f>IF(LEFT(J415,1)="E","EX",LEFT(J415,1))</f>
        <v>P</v>
      </c>
      <c r="S415" s="22" t="str">
        <f>_xlfn.XLOOKUP($R415,'[1]Career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15" s="22" t="str">
        <f>J415</f>
        <v>P4</v>
      </c>
      <c r="U415" s="40" t="str">
        <f t="shared" si="13"/>
        <v>P4</v>
      </c>
      <c r="V415" s="22" t="str">
        <f>_xlfn.XLOOKUP(T415,'[1]Career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415" s="41" t="str">
        <f>J415&amp;"-"&amp;G415</f>
        <v>P4-14</v>
      </c>
      <c r="X415" s="42" t="str">
        <f>G415</f>
        <v>14</v>
      </c>
      <c r="Y415" s="22" t="str">
        <f>_xlfn.XLOOKUP(W415,'[1]Career Bands &amp; Levels'!A:A,'[1]Career Bands &amp; Levels'!C:C,"No Grade Differentiator")</f>
        <v xml:space="preserve">●	Guides others in resolving complex issues in own specialized area and solves complex problems with implications on cross-functional business processes and outcomes		
●	Serves as an advisor and applies knowledge of strategies that can be deployed within own function and discipline		
●	Applies working knowledge of the theories and concepts in other disciplines		
●	May lead teams or projects with broad visibility		</v>
      </c>
      <c r="Z415" s="43" t="str">
        <f>IFERROR(O415&amp;" - "&amp;G415,"--")</f>
        <v>Senior Expert HR Business Partnering - 14</v>
      </c>
      <c r="AA415" s="44" t="str">
        <f>_xlfn.XLOOKUP($H415,'[1]SIG Qualifications Input'!$D:$D,'[1]SIG Qualifications Input'!$H:$H)</f>
        <v>University degree or equivalent and 8-10 years of work experience or equivalent, 
Experience in functionally leading (sub-)projects / teams</v>
      </c>
    </row>
    <row r="416" spans="1:27" ht="169" thickBot="1" x14ac:dyDescent="0.2">
      <c r="A416" s="34" t="str">
        <f>_xlfn.XLOOKUP(C416,'[1]SIG Job Families &amp; Descriptions'!F:F,'[1]SIG Job Families &amp; Descriptions'!B:B)</f>
        <v>People &amp; Culture</v>
      </c>
      <c r="B416" s="34" t="str">
        <f>_xlfn.XLOOKUP(C416,'[1]SIG Job Families &amp; Descriptions'!F:F,'[1]SIG Job Families &amp; Descriptions'!D:D)</f>
        <v>General HR</v>
      </c>
      <c r="C416" s="34" t="s">
        <v>101</v>
      </c>
      <c r="D416" s="30" t="str">
        <f t="shared" si="12"/>
        <v>AHR</v>
      </c>
      <c r="E416" s="31" t="str">
        <f>_xlfn.XLOOKUP(C416,'[1]SIG Job Families &amp; Descriptions'!F:F,'[1]SIG Job Families &amp; Descriptions'!A:A)</f>
        <v>AHR005</v>
      </c>
      <c r="F416" s="32" t="s">
        <v>32</v>
      </c>
      <c r="G416" s="33" t="s">
        <v>33</v>
      </c>
      <c r="H416" s="34" t="str">
        <f>F416&amp;"-"&amp;G416</f>
        <v>Professional-13</v>
      </c>
      <c r="I416" s="35" t="str">
        <f>IF(ISERROR(_xlfn.XLOOKUP(H416,'[1]SIG Level Structure'!D:D,'[1]SIG Level Structure'!D:D)),"0","1")</f>
        <v>1</v>
      </c>
      <c r="J416" s="36" t="str">
        <f>_xlfn.XLOOKUP($H416,'[1]SIG Level Structure'!$D:$D,'[1]SIG Level Structure'!F:F)</f>
        <v>P4</v>
      </c>
      <c r="K416" s="37" t="str">
        <f>E416&amp;"-"&amp;J416&amp;"-"&amp;G416</f>
        <v>AHR005-P4-13</v>
      </c>
      <c r="L416" s="37" t="str">
        <f>IFERROR(D416&amp;"-"&amp;LEFT(J416,1),"--")</f>
        <v>AHR-P</v>
      </c>
      <c r="M416" s="37" t="str">
        <f>VLOOKUP(L416,'[1]Compatible JC'!$A:$A,1,FALSE)</f>
        <v>AHR-P</v>
      </c>
      <c r="N416" s="37" t="str">
        <f>IFERROR(_xlfn.XLOOKUP(H416,'[1]SIG Level Structure'!D:D,'[1]SIG Level Structure'!C:C),"--")</f>
        <v>Senior Expert</v>
      </c>
      <c r="O416" s="38" t="str">
        <f>IFERROR(TRIM(N416&amp;" "&amp;C416),"--")</f>
        <v>Senior Expert HR Business Partnering</v>
      </c>
      <c r="P416" s="22" t="str">
        <f>_xlfn.XLOOKUP(E416,'[1]SIG Job Families &amp; Descriptions'!A:A,'[1]SIG Job Families &amp; Descriptions'!G:G)</f>
        <v xml:space="preserve">Designs, implements and monitors a variety of human resource programs. Anticipates and plans for long-term human resource needs and trends in partnership with business management. HR generalists are responsible for the deployment of all HR strategy processes and act as a business partner to operational staff.  Their role covers all or a large part of HR activities. Also HR Business Partnering positions and positions with regards to Labor Relations are covered here. </v>
      </c>
      <c r="Q416" s="39" t="str">
        <f>_xlfn.XLOOKUP(E416,'[1]2022 GI Position Descriptions'!E:E,'[1]2022 GI Position Descriptions'!G:G)</f>
        <v>Works closely with senior management within specific business units or regions to develop and implement predominately medium to long-term HR solutions aligned to business strategy | Supported by centralized HR professionals who have specialized in particular functions</v>
      </c>
      <c r="R416" s="22" t="str">
        <f>IF(LEFT(J416,1)="E","EX",LEFT(J416,1))</f>
        <v>P</v>
      </c>
      <c r="S416" s="22" t="str">
        <f>_xlfn.XLOOKUP($R416,'[1]Career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16" s="22" t="str">
        <f>J416</f>
        <v>P4</v>
      </c>
      <c r="U416" s="40" t="str">
        <f t="shared" si="13"/>
        <v>P4</v>
      </c>
      <c r="V416" s="22" t="str">
        <f>_xlfn.XLOOKUP(T416,'[1]Career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416" s="41" t="str">
        <f>J416&amp;"-"&amp;G416</f>
        <v>P4-13</v>
      </c>
      <c r="X416" s="42" t="str">
        <f>G416</f>
        <v>13</v>
      </c>
      <c r="Y416" s="22" t="str">
        <f>_xlfn.XLOOKUP(W416,'[1]Career Bands &amp; Levels'!A:A,'[1]Career Bands &amp; Levels'!C:C,"No Grade Differentiator")</f>
        <v xml:space="preserve">●	Guides others in resolving complex issues in specialized area based on existing solutions and procedures		
●	Serves as an expert within own discipline		
●	May lead function teams or projects and serves as a best practices/quality resource		
●	Trains/mentors junior staff		</v>
      </c>
      <c r="Z416" s="43" t="str">
        <f>IFERROR(O416&amp;" - "&amp;G416,"--")</f>
        <v>Senior Expert HR Business Partnering - 13</v>
      </c>
      <c r="AA416" s="44" t="str">
        <f>_xlfn.XLOOKUP($H416,'[1]SIG Qualifications Input'!$D:$D,'[1]SIG Qualifications Input'!$H:$H)</f>
        <v>University degree or equivalent and 8-10 years of work experience or equivalent, 
Experience in functionally leading (sub-)projects / teams</v>
      </c>
    </row>
    <row r="417" spans="1:27" ht="183" thickBot="1" x14ac:dyDescent="0.2">
      <c r="A417" s="34" t="str">
        <f>_xlfn.XLOOKUP(C417,'[1]SIG Job Families &amp; Descriptions'!F:F,'[1]SIG Job Families &amp; Descriptions'!B:B)</f>
        <v>People &amp; Culture</v>
      </c>
      <c r="B417" s="34" t="str">
        <f>_xlfn.XLOOKUP(C417,'[1]SIG Job Families &amp; Descriptions'!F:F,'[1]SIG Job Families &amp; Descriptions'!D:D)</f>
        <v>Total Rewards/ Compensation &amp; Benefits</v>
      </c>
      <c r="C417" s="34" t="s">
        <v>102</v>
      </c>
      <c r="D417" s="30" t="str">
        <f t="shared" si="12"/>
        <v>AHR</v>
      </c>
      <c r="E417" s="31" t="str">
        <f>_xlfn.XLOOKUP(C417,'[1]SIG Job Families &amp; Descriptions'!F:F,'[1]SIG Job Families &amp; Descriptions'!A:A)</f>
        <v>AHR010</v>
      </c>
      <c r="F417" s="32" t="s">
        <v>29</v>
      </c>
      <c r="G417" s="33" t="s">
        <v>36</v>
      </c>
      <c r="H417" s="34" t="str">
        <f>F417&amp;"-"&amp;G417</f>
        <v>Management-10</v>
      </c>
      <c r="I417" s="35" t="str">
        <f>IF(ISERROR(_xlfn.XLOOKUP(H417,'[1]SIG Level Structure'!D:D,'[1]SIG Level Structure'!D:D)),"0","1")</f>
        <v>1</v>
      </c>
      <c r="J417" s="36" t="str">
        <f>_xlfn.XLOOKUP($H417,'[1]SIG Level Structure'!$D:$D,'[1]SIG Level Structure'!F:F)</f>
        <v>M1</v>
      </c>
      <c r="K417" s="37" t="str">
        <f>E417&amp;"-"&amp;J417&amp;"-"&amp;G417</f>
        <v>AHR010-M1-10</v>
      </c>
      <c r="L417" s="37" t="str">
        <f>IFERROR(D417&amp;"-"&amp;LEFT(J417,1),"--")</f>
        <v>AHR-M</v>
      </c>
      <c r="M417" s="37" t="str">
        <f>VLOOKUP(L417,'[1]Compatible JC'!$A:$A,1,FALSE)</f>
        <v>AHR-M</v>
      </c>
      <c r="N417" s="37" t="str">
        <f>IFERROR(_xlfn.XLOOKUP(H417,'[1]SIG Level Structure'!D:D,'[1]SIG Level Structure'!C:C),"--")</f>
        <v>Supervisor</v>
      </c>
      <c r="O417" s="38" t="str">
        <f>IFERROR(TRIM(N417&amp;" "&amp;C417),"--")</f>
        <v>Supervisor Total Rewards/ Compensation &amp; Benefits</v>
      </c>
      <c r="P417" s="22" t="str">
        <f>_xlfn.XLOOKUP(E417,'[1]SIG Job Families &amp; Descriptions'!A:A,'[1]SIG Job Families &amp; Descriptions'!G:G)</f>
        <v>Plans, designs, evaluates, administers and implement employee compensation and benefit programs such as salaries, short- and long-term incentives, job evaluations, performance appraisals, salary increases and salary surveys, retirement plans, and life, health and disability insurance. May identify and incorporate environmental, social and governance (ESG) and diversity, equity and inclusion (DEI) considerations into compensation and benefit programs. Develops and evaluates wellness programs to support employees’ physical, emotional, social and/or financial wellbeing.</v>
      </c>
      <c r="Q417" s="39" t="str">
        <f>_xlfn.XLOOKUP(E417,'[1]2022 GI Position Descriptions'!E:E,'[1]2022 GI Position Descriptions'!G:G)</f>
        <v>Plans, designs, evaluates and administers employee compensation and benefit programs such as salaries, short- and long-term incentives, job evaluations, performance appraisals, retirement plans, and life, health and disability insurance</v>
      </c>
      <c r="R417" s="22" t="str">
        <f>IF(LEFT(J417,1)="E","EX",LEFT(J417,1))</f>
        <v>M</v>
      </c>
      <c r="S417" s="22" t="str">
        <f>_xlfn.XLOOKUP($R417,'[1]Career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417" s="22" t="str">
        <f>J417</f>
        <v>M1</v>
      </c>
      <c r="U417" s="40" t="str">
        <f t="shared" si="13"/>
        <v>M1</v>
      </c>
      <c r="V417" s="22" t="str">
        <f>_xlfn.XLOOKUP(T417,'[1]Career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417" s="41" t="str">
        <f>J417&amp;"-"&amp;G417</f>
        <v>M1-10</v>
      </c>
      <c r="X417" s="42" t="str">
        <f>G417</f>
        <v>10</v>
      </c>
      <c r="Y417" s="22" t="str">
        <f>_xlfn.XLOOKUP(W417,'[1]Career Bands &amp; Levels'!A:A,'[1]Career Bands &amp; Levels'!C:C,"No Grade Differentiator")</f>
        <v xml:space="preserve">●	Accountable for the results of medium-sized routine support or production operations teams		
●	Solves problems based on practice and precedent		
●	Trains team members and provides input to employee performance evaluations		</v>
      </c>
      <c r="Z417" s="43" t="str">
        <f>IFERROR(O417&amp;" - "&amp;G417,"--")</f>
        <v>Supervisor Total Rewards/ Compensation &amp; Benefits - 10</v>
      </c>
      <c r="AA417" s="44" t="str">
        <f>_xlfn.XLOOKUP($H417,'[1]SIG Qualifications Input'!$D:$D,'[1]SIG Qualifications Input'!$H:$H)</f>
        <v>University degree or equivalent and 5-7 years of work experience or equivalent
Experienced in application of management techniques
Experience in operationally managing a mixed-level team</v>
      </c>
    </row>
    <row r="418" spans="1:27" ht="183" thickBot="1" x14ac:dyDescent="0.2">
      <c r="A418" s="34" t="str">
        <f>_xlfn.XLOOKUP(C418,'[1]SIG Job Families &amp; Descriptions'!F:F,'[1]SIG Job Families &amp; Descriptions'!B:B)</f>
        <v>People &amp; Culture</v>
      </c>
      <c r="B418" s="34" t="str">
        <f>_xlfn.XLOOKUP(C418,'[1]SIG Job Families &amp; Descriptions'!F:F,'[1]SIG Job Families &amp; Descriptions'!D:D)</f>
        <v>Total Rewards/ Compensation &amp; Benefits</v>
      </c>
      <c r="C418" s="34" t="s">
        <v>102</v>
      </c>
      <c r="D418" s="30" t="str">
        <f t="shared" si="12"/>
        <v>AHR</v>
      </c>
      <c r="E418" s="31" t="str">
        <f>_xlfn.XLOOKUP(C418,'[1]SIG Job Families &amp; Descriptions'!F:F,'[1]SIG Job Families &amp; Descriptions'!A:A)</f>
        <v>AHR010</v>
      </c>
      <c r="F418" s="32" t="s">
        <v>29</v>
      </c>
      <c r="G418" s="33" t="s">
        <v>35</v>
      </c>
      <c r="H418" s="34" t="str">
        <f>F418&amp;"-"&amp;G418</f>
        <v>Management-11</v>
      </c>
      <c r="I418" s="35" t="str">
        <f>IF(ISERROR(_xlfn.XLOOKUP(H418,'[1]SIG Level Structure'!D:D,'[1]SIG Level Structure'!D:D)),"0","1")</f>
        <v>1</v>
      </c>
      <c r="J418" s="36" t="str">
        <f>_xlfn.XLOOKUP($H418,'[1]SIG Level Structure'!$D:$D,'[1]SIG Level Structure'!F:F)</f>
        <v>M1</v>
      </c>
      <c r="K418" s="37" t="str">
        <f>E418&amp;"-"&amp;J418&amp;"-"&amp;G418</f>
        <v>AHR010-M1-11</v>
      </c>
      <c r="L418" s="37" t="str">
        <f>IFERROR(D418&amp;"-"&amp;LEFT(J418,1),"--")</f>
        <v>AHR-M</v>
      </c>
      <c r="M418" s="37" t="str">
        <f>VLOOKUP(L418,'[1]Compatible JC'!$A:$A,1,FALSE)</f>
        <v>AHR-M</v>
      </c>
      <c r="N418" s="37" t="str">
        <f>IFERROR(_xlfn.XLOOKUP(H418,'[1]SIG Level Structure'!D:D,'[1]SIG Level Structure'!C:C),"--")</f>
        <v>Supervisor</v>
      </c>
      <c r="O418" s="38" t="str">
        <f>IFERROR(TRIM(N418&amp;" "&amp;C418),"--")</f>
        <v>Supervisor Total Rewards/ Compensation &amp; Benefits</v>
      </c>
      <c r="P418" s="22" t="str">
        <f>_xlfn.XLOOKUP(E418,'[1]SIG Job Families &amp; Descriptions'!A:A,'[1]SIG Job Families &amp; Descriptions'!G:G)</f>
        <v>Plans, designs, evaluates, administers and implement employee compensation and benefit programs such as salaries, short- and long-term incentives, job evaluations, performance appraisals, salary increases and salary surveys, retirement plans, and life, health and disability insurance. May identify and incorporate environmental, social and governance (ESG) and diversity, equity and inclusion (DEI) considerations into compensation and benefit programs. Develops and evaluates wellness programs to support employees’ physical, emotional, social and/or financial wellbeing.</v>
      </c>
      <c r="Q418" s="39" t="str">
        <f>_xlfn.XLOOKUP(E418,'[1]2022 GI Position Descriptions'!E:E,'[1]2022 GI Position Descriptions'!G:G)</f>
        <v>Plans, designs, evaluates and administers employee compensation and benefit programs such as salaries, short- and long-term incentives, job evaluations, performance appraisals, retirement plans, and life, health and disability insurance</v>
      </c>
      <c r="R418" s="22" t="str">
        <f>IF(LEFT(J418,1)="E","EX",LEFT(J418,1))</f>
        <v>M</v>
      </c>
      <c r="S418" s="22" t="str">
        <f>_xlfn.XLOOKUP($R418,'[1]Career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418" s="22" t="str">
        <f>J418</f>
        <v>M1</v>
      </c>
      <c r="U418" s="40" t="str">
        <f t="shared" si="13"/>
        <v>M1</v>
      </c>
      <c r="V418" s="22" t="str">
        <f>_xlfn.XLOOKUP(T418,'[1]Career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418" s="41" t="str">
        <f>J418&amp;"-"&amp;G418</f>
        <v>M1-11</v>
      </c>
      <c r="X418" s="42" t="str">
        <f>G418</f>
        <v>11</v>
      </c>
      <c r="Y418" s="22" t="str">
        <f>_xlfn.XLOOKUP(W418,'[1]Career Bands &amp; Levels'!A:A,'[1]Career Bands &amp; Levels'!C:C,"No Grade Differentiator")</f>
        <v xml:space="preserve">●	Accountable for the results of a large and/or moderately complex support or production operations team including subordinate work leaders		
●	Applies acquired expertise to analyze and solve problems without clear precedent		
●	Provides input on resource planning and policy development		
●	Coaches team members on performance, completes employee performance evaluations and recommends pay actions		</v>
      </c>
      <c r="Z418" s="43" t="str">
        <f>IFERROR(O418&amp;" - "&amp;G418,"--")</f>
        <v>Supervisor Total Rewards/ Compensation &amp; Benefits - 11</v>
      </c>
      <c r="AA418" s="44" t="str">
        <f>_xlfn.XLOOKUP($H418,'[1]SIG Qualifications Input'!$D:$D,'[1]SIG Qualifications Input'!$H:$H)</f>
        <v>University degree or equivalent and 5-7 years of work experience or equivalent
Experienced in application of management techniques
Experience in operationally managing a mixed-level team</v>
      </c>
    </row>
    <row r="419" spans="1:27" ht="169" thickBot="1" x14ac:dyDescent="0.2">
      <c r="A419" s="34" t="str">
        <f>_xlfn.XLOOKUP(C419,'[1]SIG Job Families &amp; Descriptions'!F:F,'[1]SIG Job Families &amp; Descriptions'!B:B)</f>
        <v>People &amp; Culture</v>
      </c>
      <c r="B419" s="34" t="str">
        <f>_xlfn.XLOOKUP(C419,'[1]SIG Job Families &amp; Descriptions'!F:F,'[1]SIG Job Families &amp; Descriptions'!D:D)</f>
        <v>Total Rewards/ Compensation &amp; Benefits</v>
      </c>
      <c r="C419" s="34" t="s">
        <v>102</v>
      </c>
      <c r="D419" s="30" t="str">
        <f t="shared" si="12"/>
        <v>AHR</v>
      </c>
      <c r="E419" s="31" t="str">
        <f>_xlfn.XLOOKUP(C419,'[1]SIG Job Families &amp; Descriptions'!F:F,'[1]SIG Job Families &amp; Descriptions'!A:A)</f>
        <v>AHR010</v>
      </c>
      <c r="F419" s="32" t="s">
        <v>32</v>
      </c>
      <c r="G419" s="33" t="s">
        <v>33</v>
      </c>
      <c r="H419" s="34" t="str">
        <f>F419&amp;"-"&amp;G419</f>
        <v>Professional-13</v>
      </c>
      <c r="I419" s="35" t="str">
        <f>IF(ISERROR(_xlfn.XLOOKUP(H419,'[1]SIG Level Structure'!D:D,'[1]SIG Level Structure'!D:D)),"0","1")</f>
        <v>1</v>
      </c>
      <c r="J419" s="36" t="str">
        <f>_xlfn.XLOOKUP($H419,'[1]SIG Level Structure'!$D:$D,'[1]SIG Level Structure'!F:F)</f>
        <v>P4</v>
      </c>
      <c r="K419" s="37" t="str">
        <f>E419&amp;"-"&amp;J419&amp;"-"&amp;G419</f>
        <v>AHR010-P4-13</v>
      </c>
      <c r="L419" s="37" t="str">
        <f>IFERROR(D419&amp;"-"&amp;LEFT(J419,1),"--")</f>
        <v>AHR-P</v>
      </c>
      <c r="M419" s="37" t="str">
        <f>VLOOKUP(L419,'[1]Compatible JC'!$A:$A,1,FALSE)</f>
        <v>AHR-P</v>
      </c>
      <c r="N419" s="37" t="str">
        <f>IFERROR(_xlfn.XLOOKUP(H419,'[1]SIG Level Structure'!D:D,'[1]SIG Level Structure'!C:C),"--")</f>
        <v>Senior Expert</v>
      </c>
      <c r="O419" s="38" t="str">
        <f>IFERROR(TRIM(N419&amp;" "&amp;C419),"--")</f>
        <v>Senior Expert Total Rewards/ Compensation &amp; Benefits</v>
      </c>
      <c r="P419" s="22" t="str">
        <f>_xlfn.XLOOKUP(E419,'[1]SIG Job Families &amp; Descriptions'!A:A,'[1]SIG Job Families &amp; Descriptions'!G:G)</f>
        <v>Plans, designs, evaluates, administers and implement employee compensation and benefit programs such as salaries, short- and long-term incentives, job evaluations, performance appraisals, salary increases and salary surveys, retirement plans, and life, health and disability insurance. May identify and incorporate environmental, social and governance (ESG) and diversity, equity and inclusion (DEI) considerations into compensation and benefit programs. Develops and evaluates wellness programs to support employees’ physical, emotional, social and/or financial wellbeing.</v>
      </c>
      <c r="Q419" s="39" t="str">
        <f>_xlfn.XLOOKUP(E419,'[1]2022 GI Position Descriptions'!E:E,'[1]2022 GI Position Descriptions'!G:G)</f>
        <v>Plans, designs, evaluates and administers employee compensation and benefit programs such as salaries, short- and long-term incentives, job evaluations, performance appraisals, retirement plans, and life, health and disability insurance</v>
      </c>
      <c r="R419" s="22" t="str">
        <f>IF(LEFT(J419,1)="E","EX",LEFT(J419,1))</f>
        <v>P</v>
      </c>
      <c r="S419" s="22" t="str">
        <f>_xlfn.XLOOKUP($R419,'[1]Career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19" s="22" t="str">
        <f>J419</f>
        <v>P4</v>
      </c>
      <c r="U419" s="40" t="str">
        <f t="shared" si="13"/>
        <v>P4</v>
      </c>
      <c r="V419" s="22" t="str">
        <f>_xlfn.XLOOKUP(T419,'[1]Career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419" s="41" t="str">
        <f>J419&amp;"-"&amp;G419</f>
        <v>P4-13</v>
      </c>
      <c r="X419" s="42" t="str">
        <f>G419</f>
        <v>13</v>
      </c>
      <c r="Y419" s="22" t="str">
        <f>_xlfn.XLOOKUP(W419,'[1]Career Bands &amp; Levels'!A:A,'[1]Career Bands &amp; Levels'!C:C,"No Grade Differentiator")</f>
        <v xml:space="preserve">●	Guides others in resolving complex issues in specialized area based on existing solutions and procedures		
●	Serves as an expert within own discipline		
●	May lead function teams or projects and serves as a best practices/quality resource		
●	Trains/mentors junior staff		</v>
      </c>
      <c r="Z419" s="43" t="str">
        <f>IFERROR(O419&amp;" - "&amp;G419,"--")</f>
        <v>Senior Expert Total Rewards/ Compensation &amp; Benefits - 13</v>
      </c>
      <c r="AA419" s="44" t="str">
        <f>_xlfn.XLOOKUP($H419,'[1]SIG Qualifications Input'!$D:$D,'[1]SIG Qualifications Input'!$H:$H)</f>
        <v>University degree or equivalent and 8-10 years of work experience or equivalent, 
Experience in functionally leading (sub-)projects / teams</v>
      </c>
    </row>
    <row r="420" spans="1:27" ht="169" thickBot="1" x14ac:dyDescent="0.2">
      <c r="A420" s="34" t="str">
        <f>_xlfn.XLOOKUP(C420,'[1]SIG Job Families &amp; Descriptions'!F:F,'[1]SIG Job Families &amp; Descriptions'!B:B)</f>
        <v>People &amp; Culture</v>
      </c>
      <c r="B420" s="34" t="str">
        <f>_xlfn.XLOOKUP(C420,'[1]SIG Job Families &amp; Descriptions'!F:F,'[1]SIG Job Families &amp; Descriptions'!D:D)</f>
        <v>Total Rewards/ Compensation &amp; Benefits</v>
      </c>
      <c r="C420" s="34" t="s">
        <v>102</v>
      </c>
      <c r="D420" s="30" t="str">
        <f t="shared" si="12"/>
        <v>AHR</v>
      </c>
      <c r="E420" s="31" t="str">
        <f>_xlfn.XLOOKUP(C420,'[1]SIG Job Families &amp; Descriptions'!F:F,'[1]SIG Job Families &amp; Descriptions'!A:A)</f>
        <v>AHR010</v>
      </c>
      <c r="F420" s="32" t="s">
        <v>32</v>
      </c>
      <c r="G420" s="33" t="s">
        <v>31</v>
      </c>
      <c r="H420" s="34" t="str">
        <f>F420&amp;"-"&amp;G420</f>
        <v>Professional-14</v>
      </c>
      <c r="I420" s="35" t="str">
        <f>IF(ISERROR(_xlfn.XLOOKUP(H420,'[1]SIG Level Structure'!D:D,'[1]SIG Level Structure'!D:D)),"0","1")</f>
        <v>1</v>
      </c>
      <c r="J420" s="36" t="str">
        <f>_xlfn.XLOOKUP($H420,'[1]SIG Level Structure'!$D:$D,'[1]SIG Level Structure'!F:F)</f>
        <v>P4</v>
      </c>
      <c r="K420" s="37" t="str">
        <f>E420&amp;"-"&amp;J420&amp;"-"&amp;G420</f>
        <v>AHR010-P4-14</v>
      </c>
      <c r="L420" s="37" t="str">
        <f>IFERROR(D420&amp;"-"&amp;LEFT(J420,1),"--")</f>
        <v>AHR-P</v>
      </c>
      <c r="M420" s="37" t="str">
        <f>VLOOKUP(L420,'[1]Compatible JC'!$A:$A,1,FALSE)</f>
        <v>AHR-P</v>
      </c>
      <c r="N420" s="37" t="str">
        <f>IFERROR(_xlfn.XLOOKUP(H420,'[1]SIG Level Structure'!D:D,'[1]SIG Level Structure'!C:C),"--")</f>
        <v>Senior Expert</v>
      </c>
      <c r="O420" s="38" t="str">
        <f>IFERROR(TRIM(N420&amp;" "&amp;C420),"--")</f>
        <v>Senior Expert Total Rewards/ Compensation &amp; Benefits</v>
      </c>
      <c r="P420" s="22" t="str">
        <f>_xlfn.XLOOKUP(E420,'[1]SIG Job Families &amp; Descriptions'!A:A,'[1]SIG Job Families &amp; Descriptions'!G:G)</f>
        <v>Plans, designs, evaluates, administers and implement employee compensation and benefit programs such as salaries, short- and long-term incentives, job evaluations, performance appraisals, salary increases and salary surveys, retirement plans, and life, health and disability insurance. May identify and incorporate environmental, social and governance (ESG) and diversity, equity and inclusion (DEI) considerations into compensation and benefit programs. Develops and evaluates wellness programs to support employees’ physical, emotional, social and/or financial wellbeing.</v>
      </c>
      <c r="Q420" s="39" t="str">
        <f>_xlfn.XLOOKUP(E420,'[1]2022 GI Position Descriptions'!E:E,'[1]2022 GI Position Descriptions'!G:G)</f>
        <v>Plans, designs, evaluates and administers employee compensation and benefit programs such as salaries, short- and long-term incentives, job evaluations, performance appraisals, retirement plans, and life, health and disability insurance</v>
      </c>
      <c r="R420" s="22" t="str">
        <f>IF(LEFT(J420,1)="E","EX",LEFT(J420,1))</f>
        <v>P</v>
      </c>
      <c r="S420" s="22" t="str">
        <f>_xlfn.XLOOKUP($R420,'[1]Career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20" s="22" t="str">
        <f>J420</f>
        <v>P4</v>
      </c>
      <c r="U420" s="40" t="str">
        <f t="shared" si="13"/>
        <v>P4</v>
      </c>
      <c r="V420" s="22" t="str">
        <f>_xlfn.XLOOKUP(T420,'[1]Career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420" s="41" t="str">
        <f>J420&amp;"-"&amp;G420</f>
        <v>P4-14</v>
      </c>
      <c r="X420" s="42" t="str">
        <f>G420</f>
        <v>14</v>
      </c>
      <c r="Y420" s="22" t="str">
        <f>_xlfn.XLOOKUP(W420,'[1]Career Bands &amp; Levels'!A:A,'[1]Career Bands &amp; Levels'!C:C,"No Grade Differentiator")</f>
        <v xml:space="preserve">●	Guides others in resolving complex issues in own specialized area and solves complex problems with implications on cross-functional business processes and outcomes		
●	Serves as an advisor and applies knowledge of strategies that can be deployed within own function and discipline		
●	Applies working knowledge of the theories and concepts in other disciplines		
●	May lead teams or projects with broad visibility		</v>
      </c>
      <c r="Z420" s="43" t="str">
        <f>IFERROR(O420&amp;" - "&amp;G420,"--")</f>
        <v>Senior Expert Total Rewards/ Compensation &amp; Benefits - 14</v>
      </c>
      <c r="AA420" s="44" t="str">
        <f>_xlfn.XLOOKUP($H420,'[1]SIG Qualifications Input'!$D:$D,'[1]SIG Qualifications Input'!$H:$H)</f>
        <v>University degree or equivalent and 8-10 years of work experience or equivalent, 
Experience in functionally leading (sub-)projects / teams</v>
      </c>
    </row>
    <row r="421" spans="1:27" ht="169" thickBot="1" x14ac:dyDescent="0.2">
      <c r="A421" s="34" t="str">
        <f>_xlfn.XLOOKUP(C421,'[1]SIG Job Families &amp; Descriptions'!F:F,'[1]SIG Job Families &amp; Descriptions'!B:B)</f>
        <v>People &amp; Culture</v>
      </c>
      <c r="B421" s="34" t="str">
        <f>_xlfn.XLOOKUP(C421,'[1]SIG Job Families &amp; Descriptions'!F:F,'[1]SIG Job Families &amp; Descriptions'!D:D)</f>
        <v>Total Rewards/ Compensation &amp; Benefits</v>
      </c>
      <c r="C421" s="34" t="s">
        <v>102</v>
      </c>
      <c r="D421" s="30" t="str">
        <f t="shared" si="12"/>
        <v>AHR</v>
      </c>
      <c r="E421" s="31" t="str">
        <f>_xlfn.XLOOKUP(C421,'[1]SIG Job Families &amp; Descriptions'!F:F,'[1]SIG Job Families &amp; Descriptions'!A:A)</f>
        <v>AHR010</v>
      </c>
      <c r="F421" s="32" t="s">
        <v>32</v>
      </c>
      <c r="G421" s="33" t="s">
        <v>37</v>
      </c>
      <c r="H421" s="34" t="str">
        <f>F421&amp;"-"&amp;G421</f>
        <v>Professional-09</v>
      </c>
      <c r="I421" s="35" t="str">
        <f>IF(ISERROR(_xlfn.XLOOKUP(H421,'[1]SIG Level Structure'!D:D,'[1]SIG Level Structure'!D:D)),"0","1")</f>
        <v>1</v>
      </c>
      <c r="J421" s="36" t="str">
        <f>_xlfn.XLOOKUP($H421,'[1]SIG Level Structure'!$D:$D,'[1]SIG Level Structure'!F:F)</f>
        <v>P2</v>
      </c>
      <c r="K421" s="37" t="str">
        <f>E421&amp;"-"&amp;J421&amp;"-"&amp;G421</f>
        <v>AHR010-P2-09</v>
      </c>
      <c r="L421" s="37" t="str">
        <f>IFERROR(D421&amp;"-"&amp;LEFT(J421,1),"--")</f>
        <v>AHR-P</v>
      </c>
      <c r="M421" s="37" t="str">
        <f>VLOOKUP(L421,'[1]Compatible JC'!$A:$A,1,FALSE)</f>
        <v>AHR-P</v>
      </c>
      <c r="N421" s="37" t="str">
        <f>IFERROR(_xlfn.XLOOKUP(H421,'[1]SIG Level Structure'!D:D,'[1]SIG Level Structure'!C:C),"--")</f>
        <v>Senior Specialist</v>
      </c>
      <c r="O421" s="38" t="str">
        <f>IFERROR(TRIM(N421&amp;" "&amp;C421),"--")</f>
        <v>Senior Specialist Total Rewards/ Compensation &amp; Benefits</v>
      </c>
      <c r="P421" s="22" t="str">
        <f>_xlfn.XLOOKUP(E421,'[1]SIG Job Families &amp; Descriptions'!A:A,'[1]SIG Job Families &amp; Descriptions'!G:G)</f>
        <v>Plans, designs, evaluates, administers and implement employee compensation and benefit programs such as salaries, short- and long-term incentives, job evaluations, performance appraisals, salary increases and salary surveys, retirement plans, and life, health and disability insurance. May identify and incorporate environmental, social and governance (ESG) and diversity, equity and inclusion (DEI) considerations into compensation and benefit programs. Develops and evaluates wellness programs to support employees’ physical, emotional, social and/or financial wellbeing.</v>
      </c>
      <c r="Q421" s="39" t="str">
        <f>_xlfn.XLOOKUP(E421,'[1]2022 GI Position Descriptions'!E:E,'[1]2022 GI Position Descriptions'!G:G)</f>
        <v>Plans, designs, evaluates and administers employee compensation and benefit programs such as salaries, short- and long-term incentives, job evaluations, performance appraisals, retirement plans, and life, health and disability insurance</v>
      </c>
      <c r="R421" s="22" t="str">
        <f>IF(LEFT(J421,1)="E","EX",LEFT(J421,1))</f>
        <v>P</v>
      </c>
      <c r="S421" s="22" t="str">
        <f>_xlfn.XLOOKUP($R421,'[1]Career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21" s="22" t="str">
        <f>J421</f>
        <v>P2</v>
      </c>
      <c r="U421" s="40" t="str">
        <f t="shared" si="13"/>
        <v>P2</v>
      </c>
      <c r="V421" s="22" t="str">
        <f>_xlfn.XLOOKUP(T421,'[1]Career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421" s="41" t="str">
        <f>J421&amp;"-"&amp;G421</f>
        <v>P2-09</v>
      </c>
      <c r="X421" s="42" t="str">
        <f>G421</f>
        <v>09</v>
      </c>
      <c r="Y421" s="22" t="str">
        <f>_xlfn.XLOOKUP(W421,'[1]Career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421" s="43" t="str">
        <f>IFERROR(O421&amp;" - "&amp;G421,"--")</f>
        <v>Senior Specialist Total Rewards/ Compensation &amp; Benefits - 09</v>
      </c>
      <c r="AA421" s="44" t="str">
        <f>_xlfn.XLOOKUP($H421,'[1]SIG Qualifications Input'!$D:$D,'[1]SIG Qualifications Input'!$H:$H)</f>
        <v>University degree or equivalent and 2-4 years of work experience or equivalent</v>
      </c>
    </row>
    <row r="422" spans="1:27" ht="169" thickBot="1" x14ac:dyDescent="0.2">
      <c r="A422" s="34" t="str">
        <f>_xlfn.XLOOKUP(C422,'[1]SIG Job Families &amp; Descriptions'!F:F,'[1]SIG Job Families &amp; Descriptions'!B:B)</f>
        <v>People &amp; Culture</v>
      </c>
      <c r="B422" s="34" t="str">
        <f>_xlfn.XLOOKUP(C422,'[1]SIG Job Families &amp; Descriptions'!F:F,'[1]SIG Job Families &amp; Descriptions'!D:D)</f>
        <v>Total Rewards/ Compensation &amp; Benefits</v>
      </c>
      <c r="C422" s="34" t="s">
        <v>102</v>
      </c>
      <c r="D422" s="30" t="str">
        <f t="shared" si="12"/>
        <v>AHR</v>
      </c>
      <c r="E422" s="31" t="str">
        <f>_xlfn.XLOOKUP(C422,'[1]SIG Job Families &amp; Descriptions'!F:F,'[1]SIG Job Families &amp; Descriptions'!A:A)</f>
        <v>AHR010</v>
      </c>
      <c r="F422" s="32" t="s">
        <v>32</v>
      </c>
      <c r="G422" s="33" t="s">
        <v>36</v>
      </c>
      <c r="H422" s="34" t="str">
        <f>F422&amp;"-"&amp;G422</f>
        <v>Professional-10</v>
      </c>
      <c r="I422" s="35" t="str">
        <f>IF(ISERROR(_xlfn.XLOOKUP(H422,'[1]SIG Level Structure'!D:D,'[1]SIG Level Structure'!D:D)),"0","1")</f>
        <v>1</v>
      </c>
      <c r="J422" s="36" t="str">
        <f>_xlfn.XLOOKUP($H422,'[1]SIG Level Structure'!$D:$D,'[1]SIG Level Structure'!F:F)</f>
        <v>P2</v>
      </c>
      <c r="K422" s="37" t="str">
        <f>E422&amp;"-"&amp;J422&amp;"-"&amp;G422</f>
        <v>AHR010-P2-10</v>
      </c>
      <c r="L422" s="37" t="str">
        <f>IFERROR(D422&amp;"-"&amp;LEFT(J422,1),"--")</f>
        <v>AHR-P</v>
      </c>
      <c r="M422" s="37" t="str">
        <f>VLOOKUP(L422,'[1]Compatible JC'!$A:$A,1,FALSE)</f>
        <v>AHR-P</v>
      </c>
      <c r="N422" s="37" t="str">
        <f>IFERROR(_xlfn.XLOOKUP(H422,'[1]SIG Level Structure'!D:D,'[1]SIG Level Structure'!C:C),"--")</f>
        <v>Senior Specialist</v>
      </c>
      <c r="O422" s="38" t="str">
        <f>IFERROR(TRIM(N422&amp;" "&amp;C422),"--")</f>
        <v>Senior Specialist Total Rewards/ Compensation &amp; Benefits</v>
      </c>
      <c r="P422" s="22" t="str">
        <f>_xlfn.XLOOKUP(E422,'[1]SIG Job Families &amp; Descriptions'!A:A,'[1]SIG Job Families &amp; Descriptions'!G:G)</f>
        <v>Plans, designs, evaluates, administers and implement employee compensation and benefit programs such as salaries, short- and long-term incentives, job evaluations, performance appraisals, salary increases and salary surveys, retirement plans, and life, health and disability insurance. May identify and incorporate environmental, social and governance (ESG) and diversity, equity and inclusion (DEI) considerations into compensation and benefit programs. Develops and evaluates wellness programs to support employees’ physical, emotional, social and/or financial wellbeing.</v>
      </c>
      <c r="Q422" s="39" t="str">
        <f>_xlfn.XLOOKUP(E422,'[1]2022 GI Position Descriptions'!E:E,'[1]2022 GI Position Descriptions'!G:G)</f>
        <v>Plans, designs, evaluates and administers employee compensation and benefit programs such as salaries, short- and long-term incentives, job evaluations, performance appraisals, retirement plans, and life, health and disability insurance</v>
      </c>
      <c r="R422" s="22" t="str">
        <f>IF(LEFT(J422,1)="E","EX",LEFT(J422,1))</f>
        <v>P</v>
      </c>
      <c r="S422" s="22" t="str">
        <f>_xlfn.XLOOKUP($R422,'[1]Career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22" s="22" t="str">
        <f>J422</f>
        <v>P2</v>
      </c>
      <c r="U422" s="40" t="str">
        <f t="shared" si="13"/>
        <v>P2</v>
      </c>
      <c r="V422" s="22" t="str">
        <f>_xlfn.XLOOKUP(T422,'[1]Career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422" s="41" t="str">
        <f>J422&amp;"-"&amp;G422</f>
        <v>P2-10</v>
      </c>
      <c r="X422" s="42" t="str">
        <f>G422</f>
        <v>10</v>
      </c>
      <c r="Y422" s="22" t="str">
        <f>_xlfn.XLOOKUP(W422,'[1]Career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422" s="43" t="str">
        <f>IFERROR(O422&amp;" - "&amp;G422,"--")</f>
        <v>Senior Specialist Total Rewards/ Compensation &amp; Benefits - 10</v>
      </c>
      <c r="AA422" s="44" t="str">
        <f>_xlfn.XLOOKUP($H422,'[1]SIG Qualifications Input'!$D:$D,'[1]SIG Qualifications Input'!$H:$H)</f>
        <v>University degree or equivalent and 2-4 years of work experience or equivalent</v>
      </c>
    </row>
    <row r="423" spans="1:27" ht="169" thickBot="1" x14ac:dyDescent="0.2">
      <c r="A423" s="34" t="str">
        <f>_xlfn.XLOOKUP(C423,'[1]SIG Job Families &amp; Descriptions'!F:F,'[1]SIG Job Families &amp; Descriptions'!B:B)</f>
        <v>People &amp; Culture</v>
      </c>
      <c r="B423" s="34" t="str">
        <f>_xlfn.XLOOKUP(C423,'[1]SIG Job Families &amp; Descriptions'!F:F,'[1]SIG Job Families &amp; Descriptions'!D:D)</f>
        <v>HR Operations/Services</v>
      </c>
      <c r="C423" s="34" t="s">
        <v>99</v>
      </c>
      <c r="D423" s="30" t="str">
        <f t="shared" si="12"/>
        <v>AHR</v>
      </c>
      <c r="E423" s="31" t="str">
        <f>_xlfn.XLOOKUP(C423,'[1]SIG Job Families &amp; Descriptions'!F:F,'[1]SIG Job Families &amp; Descriptions'!A:A)</f>
        <v>AHR160</v>
      </c>
      <c r="F423" s="32" t="s">
        <v>32</v>
      </c>
      <c r="G423" s="33" t="s">
        <v>37</v>
      </c>
      <c r="H423" s="34" t="str">
        <f>F423&amp;"-"&amp;G423</f>
        <v>Professional-09</v>
      </c>
      <c r="I423" s="35" t="str">
        <f>IF(ISERROR(_xlfn.XLOOKUP(H423,'[1]SIG Level Structure'!D:D,'[1]SIG Level Structure'!D:D)),"0","1")</f>
        <v>1</v>
      </c>
      <c r="J423" s="36" t="str">
        <f>_xlfn.XLOOKUP($H423,'[1]SIG Level Structure'!$D:$D,'[1]SIG Level Structure'!F:F)</f>
        <v>P2</v>
      </c>
      <c r="K423" s="37" t="str">
        <f>E423&amp;"-"&amp;J423&amp;"-"&amp;G423</f>
        <v>AHR160-P2-09</v>
      </c>
      <c r="L423" s="37" t="str">
        <f>IFERROR(D423&amp;"-"&amp;LEFT(J423,1),"--")</f>
        <v>AHR-P</v>
      </c>
      <c r="M423" s="37" t="str">
        <f>VLOOKUP(L423,'[1]Compatible JC'!$A:$A,1,FALSE)</f>
        <v>AHR-P</v>
      </c>
      <c r="N423" s="37" t="str">
        <f>IFERROR(_xlfn.XLOOKUP(H423,'[1]SIG Level Structure'!D:D,'[1]SIG Level Structure'!C:C),"--")</f>
        <v>Senior Specialist</v>
      </c>
      <c r="O423" s="38" t="str">
        <f>IFERROR(TRIM(N423&amp;" "&amp;C423),"--")</f>
        <v>Senior Specialist HR Operations/Services</v>
      </c>
      <c r="P423" s="22" t="str">
        <f>_xlfn.XLOOKUP(E423,'[1]SIG Job Families &amp; Descriptions'!A:A,'[1]SIG Job Families &amp; Descriptions'!G:G)</f>
        <v xml:space="preserve">Provides centralized human resource services focused on employment relationship, benefits and other transactions. Establishes standards and procedures for handling employee questions, transactions and administration of human resource programs. Ensures efficiency of service center operations, technology and transaction processes.
</v>
      </c>
      <c r="Q423" s="39" t="str">
        <f>_xlfn.XLOOKUP(E423,'[1]2022 GI Position Descriptions'!E:E,'[1]2022 GI Position Descriptions'!G:G)</f>
        <v>Provides centralized human resource services spanning payroll, benefits and other transactions | Ensures efficiency of service center operations, technology and transaction processes | Establishes standards and procedures for handling employee questions, transactions and administration of human resource programs | Coordinates services with the human resource information systems, human resource program managers and technology specialists</v>
      </c>
      <c r="R423" s="22" t="str">
        <f>IF(LEFT(J423,1)="E","EX",LEFT(J423,1))</f>
        <v>P</v>
      </c>
      <c r="S423" s="22" t="str">
        <f>_xlfn.XLOOKUP($R423,'[1]Career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23" s="22" t="str">
        <f>J423</f>
        <v>P2</v>
      </c>
      <c r="U423" s="40" t="str">
        <f t="shared" si="13"/>
        <v>P2</v>
      </c>
      <c r="V423" s="22" t="str">
        <f>_xlfn.XLOOKUP(T423,'[1]Career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423" s="41" t="str">
        <f>J423&amp;"-"&amp;G423</f>
        <v>P2-09</v>
      </c>
      <c r="X423" s="42" t="str">
        <f>G423</f>
        <v>09</v>
      </c>
      <c r="Y423" s="22" t="str">
        <f>_xlfn.XLOOKUP(W423,'[1]Career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423" s="43" t="str">
        <f>IFERROR(O423&amp;" - "&amp;G423,"--")</f>
        <v>Senior Specialist HR Operations/Services - 09</v>
      </c>
      <c r="AA423" s="44" t="str">
        <f>_xlfn.XLOOKUP($H423,'[1]SIG Qualifications Input'!$D:$D,'[1]SIG Qualifications Input'!$H:$H)</f>
        <v>University degree or equivalent and 2-4 years of work experience or equivalent</v>
      </c>
    </row>
    <row r="424" spans="1:27" ht="169" thickBot="1" x14ac:dyDescent="0.2">
      <c r="A424" s="34" t="str">
        <f>_xlfn.XLOOKUP(C424,'[1]SIG Job Families &amp; Descriptions'!F:F,'[1]SIG Job Families &amp; Descriptions'!B:B)</f>
        <v>People &amp; Culture</v>
      </c>
      <c r="B424" s="34" t="str">
        <f>_xlfn.XLOOKUP(C424,'[1]SIG Job Families &amp; Descriptions'!F:F,'[1]SIG Job Families &amp; Descriptions'!D:D)</f>
        <v>HR Operations/Services</v>
      </c>
      <c r="C424" s="34" t="s">
        <v>99</v>
      </c>
      <c r="D424" s="30" t="str">
        <f t="shared" si="12"/>
        <v>AHR</v>
      </c>
      <c r="E424" s="31" t="str">
        <f>_xlfn.XLOOKUP(C424,'[1]SIG Job Families &amp; Descriptions'!F:F,'[1]SIG Job Families &amp; Descriptions'!A:A)</f>
        <v>AHR160</v>
      </c>
      <c r="F424" s="32" t="s">
        <v>32</v>
      </c>
      <c r="G424" s="33" t="s">
        <v>36</v>
      </c>
      <c r="H424" s="34" t="str">
        <f>F424&amp;"-"&amp;G424</f>
        <v>Professional-10</v>
      </c>
      <c r="I424" s="35" t="str">
        <f>IF(ISERROR(_xlfn.XLOOKUP(H424,'[1]SIG Level Structure'!D:D,'[1]SIG Level Structure'!D:D)),"0","1")</f>
        <v>1</v>
      </c>
      <c r="J424" s="36" t="str">
        <f>_xlfn.XLOOKUP($H424,'[1]SIG Level Structure'!$D:$D,'[1]SIG Level Structure'!F:F)</f>
        <v>P2</v>
      </c>
      <c r="K424" s="37" t="str">
        <f>E424&amp;"-"&amp;J424&amp;"-"&amp;G424</f>
        <v>AHR160-P2-10</v>
      </c>
      <c r="L424" s="37" t="str">
        <f>IFERROR(D424&amp;"-"&amp;LEFT(J424,1),"--")</f>
        <v>AHR-P</v>
      </c>
      <c r="M424" s="37" t="str">
        <f>VLOOKUP(L424,'[1]Compatible JC'!$A:$A,1,FALSE)</f>
        <v>AHR-P</v>
      </c>
      <c r="N424" s="37" t="str">
        <f>IFERROR(_xlfn.XLOOKUP(H424,'[1]SIG Level Structure'!D:D,'[1]SIG Level Structure'!C:C),"--")</f>
        <v>Senior Specialist</v>
      </c>
      <c r="O424" s="38" t="str">
        <f>IFERROR(TRIM(N424&amp;" "&amp;C424),"--")</f>
        <v>Senior Specialist HR Operations/Services</v>
      </c>
      <c r="P424" s="22" t="str">
        <f>_xlfn.XLOOKUP(E424,'[1]SIG Job Families &amp; Descriptions'!A:A,'[1]SIG Job Families &amp; Descriptions'!G:G)</f>
        <v xml:space="preserve">Provides centralized human resource services focused on employment relationship, benefits and other transactions. Establishes standards and procedures for handling employee questions, transactions and administration of human resource programs. Ensures efficiency of service center operations, technology and transaction processes.
</v>
      </c>
      <c r="Q424" s="39" t="str">
        <f>_xlfn.XLOOKUP(E424,'[1]2022 GI Position Descriptions'!E:E,'[1]2022 GI Position Descriptions'!G:G)</f>
        <v>Provides centralized human resource services spanning payroll, benefits and other transactions | Ensures efficiency of service center operations, technology and transaction processes | Establishes standards and procedures for handling employee questions, transactions and administration of human resource programs | Coordinates services with the human resource information systems, human resource program managers and technology specialists</v>
      </c>
      <c r="R424" s="22" t="str">
        <f>IF(LEFT(J424,1)="E","EX",LEFT(J424,1))</f>
        <v>P</v>
      </c>
      <c r="S424" s="22" t="str">
        <f>_xlfn.XLOOKUP($R424,'[1]Career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24" s="22" t="str">
        <f>J424</f>
        <v>P2</v>
      </c>
      <c r="U424" s="40" t="str">
        <f t="shared" si="13"/>
        <v>P2</v>
      </c>
      <c r="V424" s="22" t="str">
        <f>_xlfn.XLOOKUP(T424,'[1]Career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424" s="41" t="str">
        <f>J424&amp;"-"&amp;G424</f>
        <v>P2-10</v>
      </c>
      <c r="X424" s="42" t="str">
        <f>G424</f>
        <v>10</v>
      </c>
      <c r="Y424" s="22" t="str">
        <f>_xlfn.XLOOKUP(W424,'[1]Career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424" s="43" t="str">
        <f>IFERROR(O424&amp;" - "&amp;G424,"--")</f>
        <v>Senior Specialist HR Operations/Services - 10</v>
      </c>
      <c r="AA424" s="44" t="str">
        <f>_xlfn.XLOOKUP($H424,'[1]SIG Qualifications Input'!$D:$D,'[1]SIG Qualifications Input'!$H:$H)</f>
        <v>University degree or equivalent and 2-4 years of work experience or equivalent</v>
      </c>
    </row>
    <row r="425" spans="1:27" ht="169" thickBot="1" x14ac:dyDescent="0.2">
      <c r="A425" s="34" t="str">
        <f>_xlfn.XLOOKUP(C425,'[1]SIG Job Families &amp; Descriptions'!F:F,'[1]SIG Job Families &amp; Descriptions'!B:B)</f>
        <v>People &amp; Culture</v>
      </c>
      <c r="B425" s="34" t="str">
        <f>_xlfn.XLOOKUP(C425,'[1]SIG Job Families &amp; Descriptions'!F:F,'[1]SIG Job Families &amp; Descriptions'!D:D)</f>
        <v>Learning &amp; Development</v>
      </c>
      <c r="C425" s="34" t="s">
        <v>104</v>
      </c>
      <c r="D425" s="30" t="str">
        <f t="shared" si="12"/>
        <v>AHR</v>
      </c>
      <c r="E425" s="31" t="str">
        <f>_xlfn.XLOOKUP(C425,'[1]SIG Job Families &amp; Descriptions'!F:F,'[1]SIG Job Families &amp; Descriptions'!A:A)</f>
        <v>AHR130</v>
      </c>
      <c r="F425" s="32" t="s">
        <v>32</v>
      </c>
      <c r="G425" s="33" t="s">
        <v>33</v>
      </c>
      <c r="H425" s="34" t="str">
        <f>F425&amp;"-"&amp;G425</f>
        <v>Professional-13</v>
      </c>
      <c r="I425" s="35" t="str">
        <f>IF(ISERROR(_xlfn.XLOOKUP(H425,'[1]SIG Level Structure'!D:D,'[1]SIG Level Structure'!D:D)),"0","1")</f>
        <v>1</v>
      </c>
      <c r="J425" s="36" t="str">
        <f>_xlfn.XLOOKUP($H425,'[1]SIG Level Structure'!$D:$D,'[1]SIG Level Structure'!F:F)</f>
        <v>P4</v>
      </c>
      <c r="K425" s="37" t="str">
        <f>E425&amp;"-"&amp;J425&amp;"-"&amp;G425</f>
        <v>AHR130-P4-13</v>
      </c>
      <c r="L425" s="37" t="str">
        <f>IFERROR(D425&amp;"-"&amp;LEFT(J425,1),"--")</f>
        <v>AHR-P</v>
      </c>
      <c r="M425" s="37" t="str">
        <f>VLOOKUP(L425,'[1]Compatible JC'!$A:$A,1,FALSE)</f>
        <v>AHR-P</v>
      </c>
      <c r="N425" s="37" t="str">
        <f>IFERROR(_xlfn.XLOOKUP(H425,'[1]SIG Level Structure'!D:D,'[1]SIG Level Structure'!C:C),"--")</f>
        <v>Senior Expert</v>
      </c>
      <c r="O425" s="38" t="str">
        <f>IFERROR(TRIM(N425&amp;" "&amp;C425),"--")</f>
        <v>Senior Expert Learning &amp; Development</v>
      </c>
      <c r="P425" s="22" t="str">
        <f>_xlfn.XLOOKUP(E425,'[1]SIG Job Families &amp; Descriptions'!A:A,'[1]SIG Job Families &amp; Descriptions'!G:G)</f>
        <v>Develops, implements and evaluates employee development programs to support organizational needs through technical or nontechnical training or e-learning. Monitors employee development and training programs, assesses needs and results, develops new programs and modifies existing programs. Develops and implements training activities directed at developing employees in competencies such as teamwork, management skills and problem solving. Also positions with focus on identifying, managing and developing talents are covered here.</v>
      </c>
      <c r="Q425" s="39" t="str">
        <f>_xlfn.XLOOKUP(E425,'[1]2022 GI Position Descriptions'!E:E,'[1]2022 GI Position Descriptions'!G:G)</f>
        <v>Develops, implements and evaluates employee development plans and programs to support organizational needs as a generalist or in a combination of Disciplines such as management development, talent management, succession planning, technical or nontechnical training, or e-learning | Monitors employee development and training programs, assesses needs and results, develops new programs and modifies existing programs</v>
      </c>
      <c r="R425" s="22" t="str">
        <f>IF(LEFT(J425,1)="E","EX",LEFT(J425,1))</f>
        <v>P</v>
      </c>
      <c r="S425" s="22" t="str">
        <f>_xlfn.XLOOKUP($R425,'[1]Career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25" s="22" t="str">
        <f>J425</f>
        <v>P4</v>
      </c>
      <c r="U425" s="40" t="str">
        <f t="shared" si="13"/>
        <v>P4</v>
      </c>
      <c r="V425" s="22" t="str">
        <f>_xlfn.XLOOKUP(T425,'[1]Career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425" s="41" t="str">
        <f>J425&amp;"-"&amp;G425</f>
        <v>P4-13</v>
      </c>
      <c r="X425" s="42" t="str">
        <f>G425</f>
        <v>13</v>
      </c>
      <c r="Y425" s="22" t="str">
        <f>_xlfn.XLOOKUP(W425,'[1]Career Bands &amp; Levels'!A:A,'[1]Career Bands &amp; Levels'!C:C,"No Grade Differentiator")</f>
        <v xml:space="preserve">●	Guides others in resolving complex issues in specialized area based on existing solutions and procedures		
●	Serves as an expert within own discipline		
●	May lead function teams or projects and serves as a best practices/quality resource		
●	Trains/mentors junior staff		</v>
      </c>
      <c r="Z425" s="43" t="str">
        <f>IFERROR(O425&amp;" - "&amp;G425,"--")</f>
        <v>Senior Expert Learning &amp; Development - 13</v>
      </c>
      <c r="AA425" s="44" t="str">
        <f>_xlfn.XLOOKUP($H425,'[1]SIG Qualifications Input'!$D:$D,'[1]SIG Qualifications Input'!$H:$H)</f>
        <v>University degree or equivalent and 8-10 years of work experience or equivalent, 
Experience in functionally leading (sub-)projects / teams</v>
      </c>
    </row>
    <row r="426" spans="1:27" ht="169" thickBot="1" x14ac:dyDescent="0.2">
      <c r="A426" s="34" t="str">
        <f>_xlfn.XLOOKUP(C426,'[1]SIG Job Families &amp; Descriptions'!F:F,'[1]SIG Job Families &amp; Descriptions'!B:B)</f>
        <v>People &amp; Culture</v>
      </c>
      <c r="B426" s="34" t="str">
        <f>_xlfn.XLOOKUP(C426,'[1]SIG Job Families &amp; Descriptions'!F:F,'[1]SIG Job Families &amp; Descriptions'!D:D)</f>
        <v>Learning &amp; Development</v>
      </c>
      <c r="C426" s="34" t="s">
        <v>104</v>
      </c>
      <c r="D426" s="30" t="str">
        <f t="shared" si="12"/>
        <v>AHR</v>
      </c>
      <c r="E426" s="31" t="str">
        <f>_xlfn.XLOOKUP(C426,'[1]SIG Job Families &amp; Descriptions'!F:F,'[1]SIG Job Families &amp; Descriptions'!A:A)</f>
        <v>AHR130</v>
      </c>
      <c r="F426" s="32" t="s">
        <v>32</v>
      </c>
      <c r="G426" s="33" t="s">
        <v>31</v>
      </c>
      <c r="H426" s="34" t="str">
        <f>F426&amp;"-"&amp;G426</f>
        <v>Professional-14</v>
      </c>
      <c r="I426" s="35" t="str">
        <f>IF(ISERROR(_xlfn.XLOOKUP(H426,'[1]SIG Level Structure'!D:D,'[1]SIG Level Structure'!D:D)),"0","1")</f>
        <v>1</v>
      </c>
      <c r="J426" s="36" t="str">
        <f>_xlfn.XLOOKUP($H426,'[1]SIG Level Structure'!$D:$D,'[1]SIG Level Structure'!F:F)</f>
        <v>P4</v>
      </c>
      <c r="K426" s="37" t="str">
        <f>E426&amp;"-"&amp;J426&amp;"-"&amp;G426</f>
        <v>AHR130-P4-14</v>
      </c>
      <c r="L426" s="37" t="str">
        <f>IFERROR(D426&amp;"-"&amp;LEFT(J426,1),"--")</f>
        <v>AHR-P</v>
      </c>
      <c r="M426" s="37" t="str">
        <f>VLOOKUP(L426,'[1]Compatible JC'!$A:$A,1,FALSE)</f>
        <v>AHR-P</v>
      </c>
      <c r="N426" s="37" t="str">
        <f>IFERROR(_xlfn.XLOOKUP(H426,'[1]SIG Level Structure'!D:D,'[1]SIG Level Structure'!C:C),"--")</f>
        <v>Senior Expert</v>
      </c>
      <c r="O426" s="38" t="str">
        <f>IFERROR(TRIM(N426&amp;" "&amp;C426),"--")</f>
        <v>Senior Expert Learning &amp; Development</v>
      </c>
      <c r="P426" s="22" t="str">
        <f>_xlfn.XLOOKUP(E426,'[1]SIG Job Families &amp; Descriptions'!A:A,'[1]SIG Job Families &amp; Descriptions'!G:G)</f>
        <v>Develops, implements and evaluates employee development programs to support organizational needs through technical or nontechnical training or e-learning. Monitors employee development and training programs, assesses needs and results, develops new programs and modifies existing programs. Develops and implements training activities directed at developing employees in competencies such as teamwork, management skills and problem solving. Also positions with focus on identifying, managing and developing talents are covered here.</v>
      </c>
      <c r="Q426" s="39" t="str">
        <f>_xlfn.XLOOKUP(E426,'[1]2022 GI Position Descriptions'!E:E,'[1]2022 GI Position Descriptions'!G:G)</f>
        <v>Develops, implements and evaluates employee development plans and programs to support organizational needs as a generalist or in a combination of Disciplines such as management development, talent management, succession planning, technical or nontechnical training, or e-learning | Monitors employee development and training programs, assesses needs and results, develops new programs and modifies existing programs</v>
      </c>
      <c r="R426" s="22" t="str">
        <f>IF(LEFT(J426,1)="E","EX",LEFT(J426,1))</f>
        <v>P</v>
      </c>
      <c r="S426" s="22" t="str">
        <f>_xlfn.XLOOKUP($R426,'[1]Career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26" s="22" t="str">
        <f>J426</f>
        <v>P4</v>
      </c>
      <c r="U426" s="40" t="str">
        <f t="shared" si="13"/>
        <v>P4</v>
      </c>
      <c r="V426" s="22" t="str">
        <f>_xlfn.XLOOKUP(T426,'[1]Career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426" s="41" t="str">
        <f>J426&amp;"-"&amp;G426</f>
        <v>P4-14</v>
      </c>
      <c r="X426" s="42" t="str">
        <f>G426</f>
        <v>14</v>
      </c>
      <c r="Y426" s="22" t="str">
        <f>_xlfn.XLOOKUP(W426,'[1]Career Bands &amp; Levels'!A:A,'[1]Career Bands &amp; Levels'!C:C,"No Grade Differentiator")</f>
        <v xml:space="preserve">●	Guides others in resolving complex issues in own specialized area and solves complex problems with implications on cross-functional business processes and outcomes		
●	Serves as an advisor and applies knowledge of strategies that can be deployed within own function and discipline		
●	Applies working knowledge of the theories and concepts in other disciplines		
●	May lead teams or projects with broad visibility		</v>
      </c>
      <c r="Z426" s="43" t="str">
        <f>IFERROR(O426&amp;" - "&amp;G426,"--")</f>
        <v>Senior Expert Learning &amp; Development - 14</v>
      </c>
      <c r="AA426" s="44" t="str">
        <f>_xlfn.XLOOKUP($H426,'[1]SIG Qualifications Input'!$D:$D,'[1]SIG Qualifications Input'!$H:$H)</f>
        <v>University degree or equivalent and 8-10 years of work experience or equivalent, 
Experience in functionally leading (sub-)projects / teams</v>
      </c>
    </row>
    <row r="427" spans="1:27" ht="169" thickBot="1" x14ac:dyDescent="0.2">
      <c r="A427" s="34" t="str">
        <f>_xlfn.XLOOKUP(C427,'[1]SIG Job Families &amp; Descriptions'!F:F,'[1]SIG Job Families &amp; Descriptions'!B:B)</f>
        <v>People &amp; Culture</v>
      </c>
      <c r="B427" s="34" t="str">
        <f>_xlfn.XLOOKUP(C427,'[1]SIG Job Families &amp; Descriptions'!F:F,'[1]SIG Job Families &amp; Descriptions'!D:D)</f>
        <v>Learning &amp; Development</v>
      </c>
      <c r="C427" s="34" t="s">
        <v>104</v>
      </c>
      <c r="D427" s="30" t="str">
        <f t="shared" si="12"/>
        <v>AHR</v>
      </c>
      <c r="E427" s="31" t="str">
        <f>_xlfn.XLOOKUP(C427,'[1]SIG Job Families &amp; Descriptions'!F:F,'[1]SIG Job Families &amp; Descriptions'!A:A)</f>
        <v>AHR130</v>
      </c>
      <c r="F427" s="32" t="s">
        <v>32</v>
      </c>
      <c r="G427" s="33" t="s">
        <v>37</v>
      </c>
      <c r="H427" s="34" t="str">
        <f>F427&amp;"-"&amp;G427</f>
        <v>Professional-09</v>
      </c>
      <c r="I427" s="35" t="str">
        <f>IF(ISERROR(_xlfn.XLOOKUP(H427,'[1]SIG Level Structure'!D:D,'[1]SIG Level Structure'!D:D)),"0","1")</f>
        <v>1</v>
      </c>
      <c r="J427" s="36" t="str">
        <f>_xlfn.XLOOKUP($H427,'[1]SIG Level Structure'!$D:$D,'[1]SIG Level Structure'!F:F)</f>
        <v>P2</v>
      </c>
      <c r="K427" s="37" t="str">
        <f>E427&amp;"-"&amp;J427&amp;"-"&amp;G427</f>
        <v>AHR130-P2-09</v>
      </c>
      <c r="L427" s="37" t="str">
        <f>IFERROR(D427&amp;"-"&amp;LEFT(J427,1),"--")</f>
        <v>AHR-P</v>
      </c>
      <c r="M427" s="37" t="str">
        <f>VLOOKUP(L427,'[1]Compatible JC'!$A:$A,1,FALSE)</f>
        <v>AHR-P</v>
      </c>
      <c r="N427" s="37" t="str">
        <f>IFERROR(_xlfn.XLOOKUP(H427,'[1]SIG Level Structure'!D:D,'[1]SIG Level Structure'!C:C),"--")</f>
        <v>Senior Specialist</v>
      </c>
      <c r="O427" s="38" t="str">
        <f>IFERROR(TRIM(N427&amp;" "&amp;C427),"--")</f>
        <v>Senior Specialist Learning &amp; Development</v>
      </c>
      <c r="P427" s="22" t="str">
        <f>_xlfn.XLOOKUP(E427,'[1]SIG Job Families &amp; Descriptions'!A:A,'[1]SIG Job Families &amp; Descriptions'!G:G)</f>
        <v>Develops, implements and evaluates employee development programs to support organizational needs through technical or nontechnical training or e-learning. Monitors employee development and training programs, assesses needs and results, develops new programs and modifies existing programs. Develops and implements training activities directed at developing employees in competencies such as teamwork, management skills and problem solving. Also positions with focus on identifying, managing and developing talents are covered here.</v>
      </c>
      <c r="Q427" s="39" t="str">
        <f>_xlfn.XLOOKUP(E427,'[1]2022 GI Position Descriptions'!E:E,'[1]2022 GI Position Descriptions'!G:G)</f>
        <v>Develops, implements and evaluates employee development plans and programs to support organizational needs as a generalist or in a combination of Disciplines such as management development, talent management, succession planning, technical or nontechnical training, or e-learning | Monitors employee development and training programs, assesses needs and results, develops new programs and modifies existing programs</v>
      </c>
      <c r="R427" s="22" t="str">
        <f>IF(LEFT(J427,1)="E","EX",LEFT(J427,1))</f>
        <v>P</v>
      </c>
      <c r="S427" s="22" t="str">
        <f>_xlfn.XLOOKUP($R427,'[1]Career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27" s="22" t="str">
        <f>J427</f>
        <v>P2</v>
      </c>
      <c r="U427" s="40" t="str">
        <f t="shared" si="13"/>
        <v>P2</v>
      </c>
      <c r="V427" s="22" t="str">
        <f>_xlfn.XLOOKUP(T427,'[1]Career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427" s="41" t="str">
        <f>J427&amp;"-"&amp;G427</f>
        <v>P2-09</v>
      </c>
      <c r="X427" s="42" t="str">
        <f>G427</f>
        <v>09</v>
      </c>
      <c r="Y427" s="22" t="str">
        <f>_xlfn.XLOOKUP(W427,'[1]Career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427" s="43" t="str">
        <f>IFERROR(O427&amp;" - "&amp;G427,"--")</f>
        <v>Senior Specialist Learning &amp; Development - 09</v>
      </c>
      <c r="AA427" s="44" t="str">
        <f>_xlfn.XLOOKUP($H427,'[1]SIG Qualifications Input'!$D:$D,'[1]SIG Qualifications Input'!$H:$H)</f>
        <v>University degree or equivalent and 2-4 years of work experience or equivalent</v>
      </c>
    </row>
    <row r="428" spans="1:27" ht="169" thickBot="1" x14ac:dyDescent="0.2">
      <c r="A428" s="34" t="str">
        <f>_xlfn.XLOOKUP(C428,'[1]SIG Job Families &amp; Descriptions'!F:F,'[1]SIG Job Families &amp; Descriptions'!B:B)</f>
        <v>People &amp; Culture</v>
      </c>
      <c r="B428" s="34" t="str">
        <f>_xlfn.XLOOKUP(C428,'[1]SIG Job Families &amp; Descriptions'!F:F,'[1]SIG Job Families &amp; Descriptions'!D:D)</f>
        <v>Learning &amp; Development</v>
      </c>
      <c r="C428" s="34" t="s">
        <v>104</v>
      </c>
      <c r="D428" s="30" t="str">
        <f t="shared" si="12"/>
        <v>AHR</v>
      </c>
      <c r="E428" s="31" t="str">
        <f>_xlfn.XLOOKUP(C428,'[1]SIG Job Families &amp; Descriptions'!F:F,'[1]SIG Job Families &amp; Descriptions'!A:A)</f>
        <v>AHR130</v>
      </c>
      <c r="F428" s="32" t="s">
        <v>32</v>
      </c>
      <c r="G428" s="33" t="s">
        <v>36</v>
      </c>
      <c r="H428" s="34" t="str">
        <f>F428&amp;"-"&amp;G428</f>
        <v>Professional-10</v>
      </c>
      <c r="I428" s="35" t="str">
        <f>IF(ISERROR(_xlfn.XLOOKUP(H428,'[1]SIG Level Structure'!D:D,'[1]SIG Level Structure'!D:D)),"0","1")</f>
        <v>1</v>
      </c>
      <c r="J428" s="36" t="str">
        <f>_xlfn.XLOOKUP($H428,'[1]SIG Level Structure'!$D:$D,'[1]SIG Level Structure'!F:F)</f>
        <v>P2</v>
      </c>
      <c r="K428" s="37" t="str">
        <f>E428&amp;"-"&amp;J428&amp;"-"&amp;G428</f>
        <v>AHR130-P2-10</v>
      </c>
      <c r="L428" s="37" t="str">
        <f>IFERROR(D428&amp;"-"&amp;LEFT(J428,1),"--")</f>
        <v>AHR-P</v>
      </c>
      <c r="M428" s="37" t="str">
        <f>VLOOKUP(L428,'[1]Compatible JC'!$A:$A,1,FALSE)</f>
        <v>AHR-P</v>
      </c>
      <c r="N428" s="37" t="str">
        <f>IFERROR(_xlfn.XLOOKUP(H428,'[1]SIG Level Structure'!D:D,'[1]SIG Level Structure'!C:C),"--")</f>
        <v>Senior Specialist</v>
      </c>
      <c r="O428" s="38" t="str">
        <f>IFERROR(TRIM(N428&amp;" "&amp;C428),"--")</f>
        <v>Senior Specialist Learning &amp; Development</v>
      </c>
      <c r="P428" s="22" t="str">
        <f>_xlfn.XLOOKUP(E428,'[1]SIG Job Families &amp; Descriptions'!A:A,'[1]SIG Job Families &amp; Descriptions'!G:G)</f>
        <v>Develops, implements and evaluates employee development programs to support organizational needs through technical or nontechnical training or e-learning. Monitors employee development and training programs, assesses needs and results, develops new programs and modifies existing programs. Develops and implements training activities directed at developing employees in competencies such as teamwork, management skills and problem solving. Also positions with focus on identifying, managing and developing talents are covered here.</v>
      </c>
      <c r="Q428" s="39" t="str">
        <f>_xlfn.XLOOKUP(E428,'[1]2022 GI Position Descriptions'!E:E,'[1]2022 GI Position Descriptions'!G:G)</f>
        <v>Develops, implements and evaluates employee development plans and programs to support organizational needs as a generalist or in a combination of Disciplines such as management development, talent management, succession planning, technical or nontechnical training, or e-learning | Monitors employee development and training programs, assesses needs and results, develops new programs and modifies existing programs</v>
      </c>
      <c r="R428" s="22" t="str">
        <f>IF(LEFT(J428,1)="E","EX",LEFT(J428,1))</f>
        <v>P</v>
      </c>
      <c r="S428" s="22" t="str">
        <f>_xlfn.XLOOKUP($R428,'[1]Career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28" s="22" t="str">
        <f>J428</f>
        <v>P2</v>
      </c>
      <c r="U428" s="40" t="str">
        <f t="shared" si="13"/>
        <v>P2</v>
      </c>
      <c r="V428" s="22" t="str">
        <f>_xlfn.XLOOKUP(T428,'[1]Career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428" s="41" t="str">
        <f>J428&amp;"-"&amp;G428</f>
        <v>P2-10</v>
      </c>
      <c r="X428" s="42" t="str">
        <f>G428</f>
        <v>10</v>
      </c>
      <c r="Y428" s="22" t="str">
        <f>_xlfn.XLOOKUP(W428,'[1]Career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428" s="43" t="str">
        <f>IFERROR(O428&amp;" - "&amp;G428,"--")</f>
        <v>Senior Specialist Learning &amp; Development - 10</v>
      </c>
      <c r="AA428" s="44" t="str">
        <f>_xlfn.XLOOKUP($H428,'[1]SIG Qualifications Input'!$D:$D,'[1]SIG Qualifications Input'!$H:$H)</f>
        <v>University degree or equivalent and 2-4 years of work experience or equivalent</v>
      </c>
    </row>
    <row r="429" spans="1:27" ht="183" thickBot="1" x14ac:dyDescent="0.2">
      <c r="A429" s="34" t="str">
        <f>_xlfn.XLOOKUP(C429,'[1]SIG Job Families &amp; Descriptions'!F:F,'[1]SIG Job Families &amp; Descriptions'!B:B)</f>
        <v>Quality Management</v>
      </c>
      <c r="B429" s="34" t="str">
        <f>_xlfn.XLOOKUP(C429,'[1]SIG Job Families &amp; Descriptions'!F:F,'[1]SIG Job Families &amp; Descriptions'!D:D)</f>
        <v xml:space="preserve">General Quality Management </v>
      </c>
      <c r="C429" s="34" t="s">
        <v>106</v>
      </c>
      <c r="D429" s="30" t="str">
        <f t="shared" si="12"/>
        <v>AQY</v>
      </c>
      <c r="E429" s="31" t="str">
        <f>_xlfn.XLOOKUP(C429,'[1]SIG Job Families &amp; Descriptions'!F:F,'[1]SIG Job Families &amp; Descriptions'!A:A)</f>
        <v>AQY000</v>
      </c>
      <c r="F429" s="32" t="s">
        <v>29</v>
      </c>
      <c r="G429" s="33" t="s">
        <v>30</v>
      </c>
      <c r="H429" s="34" t="str">
        <f>F429&amp;"-"&amp;G429</f>
        <v>Management-15</v>
      </c>
      <c r="I429" s="35" t="str">
        <f>IF(ISERROR(_xlfn.XLOOKUP(H429,'[1]SIG Level Structure'!D:D,'[1]SIG Level Structure'!D:D)),"0","1")</f>
        <v>1</v>
      </c>
      <c r="J429" s="36" t="str">
        <f>_xlfn.XLOOKUP($H429,'[1]SIG Level Structure'!$D:$D,'[1]SIG Level Structure'!F:F)</f>
        <v>M3</v>
      </c>
      <c r="K429" s="37" t="str">
        <f>E429&amp;"-"&amp;J429&amp;"-"&amp;G429</f>
        <v>AQY000-M3-15</v>
      </c>
      <c r="L429" s="37" t="str">
        <f>IFERROR(D429&amp;"-"&amp;LEFT(J429,1),"--")</f>
        <v>AQY-M</v>
      </c>
      <c r="M429" s="37" t="str">
        <f>VLOOKUP(L429,'[1]Compatible JC'!$A:$A,1,FALSE)</f>
        <v>AQY-M</v>
      </c>
      <c r="N429" s="37" t="str">
        <f>IFERROR(_xlfn.XLOOKUP(H429,'[1]SIG Level Structure'!D:D,'[1]SIG Level Structure'!C:C),"--")</f>
        <v>Senior Manager</v>
      </c>
      <c r="O429" s="38" t="str">
        <f>IFERROR(TRIM(N429&amp;" "&amp;C429),"--")</f>
        <v>Senior Manager General Quality Management</v>
      </c>
      <c r="P429" s="22" t="str">
        <f>_xlfn.XLOOKUP(E429,'[1]SIG Job Families &amp; Descriptions'!A:A,'[1]SIG Job Families &amp; Descriptions'!G:G)</f>
        <v>Develops policies, procedures and methods to evaluate and improve the quality of products, materials, components and/or operations. Develops, assures and maintains the quality of products and processes, including standard procedures (e.g., ISO 9001:2000, ISO 14000 family of standards or other certifications). Conducts quality audits/reviews. Applies Taguchi methods, process reengineering or other fundamental methods/ procedures to develop and ensure sustainable quality.</v>
      </c>
      <c r="Q429" s="39" t="str">
        <f>_xlfn.XLOOKUP(E429,'[1]2022 GI Position Descriptions'!E:E,'[1]2022 GI Position Descriptions'!G:G)</f>
        <v>Develops policies, procedures and methods to evaluate and improve the quality of products, materials, components and/or operations | Develops, assures and maintains the quality of products and processes, including standard procedures (e.g., ISO 9001:2000, ISO 14000 family of standards), quality audits/review, Taguchi methods, process reengineering, etc. | Responsibilities are within the Quality Assurance Methods Function as a generalist or in a combination of Disciplines</v>
      </c>
      <c r="R429" s="22" t="str">
        <f>IF(LEFT(J429,1)="E","EX",LEFT(J429,1))</f>
        <v>M</v>
      </c>
      <c r="S429" s="22" t="str">
        <f>_xlfn.XLOOKUP($R429,'[1]Career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429" s="22" t="str">
        <f>J429</f>
        <v>M3</v>
      </c>
      <c r="U429" s="40" t="str">
        <f t="shared" si="13"/>
        <v>M3</v>
      </c>
      <c r="V429" s="22" t="str">
        <f>_xlfn.XLOOKUP(T429,'[1]Career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429" s="41" t="str">
        <f>J429&amp;"-"&amp;G429</f>
        <v>M3-15</v>
      </c>
      <c r="X429" s="42" t="str">
        <f>G429</f>
        <v>15</v>
      </c>
      <c r="Y429" s="22" t="str">
        <f>_xlfn.XLOOKUP(W429,'[1]Career Bands &amp; Levels'!A:A,'[1]Career Bands &amp; Levels'!C:C,"No Grade Differentiator")</f>
        <v xml:space="preserve">●	Looks beyond existing methodologies and own discipline to define and resolve complex problems
●	Develops plans and delivers results in fast-changing businesses and/or regulatory environments
●	Provides input to functional or departmental strategy		
●	Manages large, potentially diverse teams of managers and/or senior professionals		
		</v>
      </c>
      <c r="Z429" s="43" t="str">
        <f>IFERROR(O429&amp;" - "&amp;G429,"--")</f>
        <v>Senior Manager General Quality Management - 15</v>
      </c>
      <c r="AA429" s="44" t="str">
        <f>_xlfn.XLOOKUP($H429,'[1]SIG Qualifications Input'!$D:$D,'[1]SIG Qualifications Input'!$H:$H)</f>
        <v xml:space="preserve">University degree or equivalent and 10+ years of work experience or equivalent
Profound experience in managing performance and results of diverse activities / multiple teams </v>
      </c>
    </row>
    <row r="430" spans="1:27" ht="183" thickBot="1" x14ac:dyDescent="0.2">
      <c r="A430" s="34" t="str">
        <f>_xlfn.XLOOKUP(C430,'[1]SIG Job Families &amp; Descriptions'!F:F,'[1]SIG Job Families &amp; Descriptions'!B:B)</f>
        <v>Quality Management</v>
      </c>
      <c r="B430" s="34" t="str">
        <f>_xlfn.XLOOKUP(C430,'[1]SIG Job Families &amp; Descriptions'!F:F,'[1]SIG Job Families &amp; Descriptions'!D:D)</f>
        <v xml:space="preserve">General Quality Management </v>
      </c>
      <c r="C430" s="34" t="s">
        <v>106</v>
      </c>
      <c r="D430" s="30" t="str">
        <f t="shared" si="12"/>
        <v>AQY</v>
      </c>
      <c r="E430" s="31" t="str">
        <f>_xlfn.XLOOKUP(C430,'[1]SIG Job Families &amp; Descriptions'!F:F,'[1]SIG Job Families &amp; Descriptions'!A:A)</f>
        <v>AQY000</v>
      </c>
      <c r="F430" s="32" t="s">
        <v>29</v>
      </c>
      <c r="G430" s="33" t="s">
        <v>31</v>
      </c>
      <c r="H430" s="34" t="str">
        <f>F430&amp;"-"&amp;G430</f>
        <v>Management-14</v>
      </c>
      <c r="I430" s="35" t="str">
        <f>IF(ISERROR(_xlfn.XLOOKUP(H430,'[1]SIG Level Structure'!D:D,'[1]SIG Level Structure'!D:D)),"0","1")</f>
        <v>1</v>
      </c>
      <c r="J430" s="36" t="str">
        <f>_xlfn.XLOOKUP($H430,'[1]SIG Level Structure'!$D:$D,'[1]SIG Level Structure'!F:F)</f>
        <v>M3</v>
      </c>
      <c r="K430" s="37" t="str">
        <f>E430&amp;"-"&amp;J430&amp;"-"&amp;G430</f>
        <v>AQY000-M3-14</v>
      </c>
      <c r="L430" s="37" t="str">
        <f>IFERROR(D430&amp;"-"&amp;LEFT(J430,1),"--")</f>
        <v>AQY-M</v>
      </c>
      <c r="M430" s="37" t="str">
        <f>VLOOKUP(L430,'[1]Compatible JC'!$A:$A,1,FALSE)</f>
        <v>AQY-M</v>
      </c>
      <c r="N430" s="37" t="str">
        <f>IFERROR(_xlfn.XLOOKUP(H430,'[1]SIG Level Structure'!D:D,'[1]SIG Level Structure'!C:C),"--")</f>
        <v>Senior Manager</v>
      </c>
      <c r="O430" s="38" t="str">
        <f>IFERROR(TRIM(N430&amp;" "&amp;C430),"--")</f>
        <v>Senior Manager General Quality Management</v>
      </c>
      <c r="P430" s="22" t="str">
        <f>_xlfn.XLOOKUP(E430,'[1]SIG Job Families &amp; Descriptions'!A:A,'[1]SIG Job Families &amp; Descriptions'!G:G)</f>
        <v>Develops policies, procedures and methods to evaluate and improve the quality of products, materials, components and/or operations. Develops, assures and maintains the quality of products and processes, including standard procedures (e.g., ISO 9001:2000, ISO 14000 family of standards or other certifications). Conducts quality audits/reviews. Applies Taguchi methods, process reengineering or other fundamental methods/ procedures to develop and ensure sustainable quality.</v>
      </c>
      <c r="Q430" s="39" t="str">
        <f>_xlfn.XLOOKUP(E430,'[1]2022 GI Position Descriptions'!E:E,'[1]2022 GI Position Descriptions'!G:G)</f>
        <v>Develops policies, procedures and methods to evaluate and improve the quality of products, materials, components and/or operations | Develops, assures and maintains the quality of products and processes, including standard procedures (e.g., ISO 9001:2000, ISO 14000 family of standards), quality audits/review, Taguchi methods, process reengineering, etc. | Responsibilities are within the Quality Assurance Methods Function as a generalist or in a combination of Disciplines</v>
      </c>
      <c r="R430" s="22" t="str">
        <f>IF(LEFT(J430,1)="E","EX",LEFT(J430,1))</f>
        <v>M</v>
      </c>
      <c r="S430" s="22" t="str">
        <f>_xlfn.XLOOKUP($R430,'[1]Career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430" s="22" t="str">
        <f>J430</f>
        <v>M3</v>
      </c>
      <c r="U430" s="40" t="str">
        <f t="shared" si="13"/>
        <v>M3</v>
      </c>
      <c r="V430" s="22" t="str">
        <f>_xlfn.XLOOKUP(T430,'[1]Career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430" s="41" t="str">
        <f>J430&amp;"-"&amp;G430</f>
        <v>M3-14</v>
      </c>
      <c r="X430" s="42" t="str">
        <f>G430</f>
        <v>14</v>
      </c>
      <c r="Y430" s="22" t="str">
        <f>_xlfn.XLOOKUP(W430,'[1]Career Bands &amp; Levels'!A:A,'[1]Career Bands &amp; Levels'!C:C,"No Grade Differentiator")</f>
        <v xml:space="preserve">●	Identifies applications of functional knowledge and existing methodologies to complex problems	
●	Manages large teams of professionals and/or junior managers		
		</v>
      </c>
      <c r="Z430" s="43" t="str">
        <f>IFERROR(O430&amp;" - "&amp;G430,"--")</f>
        <v>Senior Manager General Quality Management - 14</v>
      </c>
      <c r="AA430" s="44" t="str">
        <f>_xlfn.XLOOKUP($H430,'[1]SIG Qualifications Input'!$D:$D,'[1]SIG Qualifications Input'!$H:$H)</f>
        <v xml:space="preserve">University degree or equivalent and 10+ years of work experience or equivalent
Profound experience in managing performance and results of diverse activities / multiple teams </v>
      </c>
    </row>
    <row r="431" spans="1:27" ht="183" thickBot="1" x14ac:dyDescent="0.2">
      <c r="A431" s="34" t="str">
        <f>_xlfn.XLOOKUP(C431,'[1]SIG Job Families &amp; Descriptions'!F:F,'[1]SIG Job Families &amp; Descriptions'!B:B)</f>
        <v>Quality Management</v>
      </c>
      <c r="B431" s="34" t="str">
        <f>_xlfn.XLOOKUP(C431,'[1]SIG Job Families &amp; Descriptions'!F:F,'[1]SIG Job Families &amp; Descriptions'!D:D)</f>
        <v xml:space="preserve">General Quality Management </v>
      </c>
      <c r="C431" s="34" t="s">
        <v>106</v>
      </c>
      <c r="D431" s="30" t="str">
        <f t="shared" si="12"/>
        <v>AQY</v>
      </c>
      <c r="E431" s="31" t="str">
        <f>_xlfn.XLOOKUP(C431,'[1]SIG Job Families &amp; Descriptions'!F:F,'[1]SIG Job Families &amp; Descriptions'!A:A)</f>
        <v>AQY000</v>
      </c>
      <c r="F431" s="32" t="s">
        <v>29</v>
      </c>
      <c r="G431" s="33" t="s">
        <v>33</v>
      </c>
      <c r="H431" s="34" t="str">
        <f>F431&amp;"-"&amp;G431</f>
        <v>Management-13</v>
      </c>
      <c r="I431" s="35" t="str">
        <f>IF(ISERROR(_xlfn.XLOOKUP(H431,'[1]SIG Level Structure'!D:D,'[1]SIG Level Structure'!D:D)),"0","1")</f>
        <v>1</v>
      </c>
      <c r="J431" s="36" t="str">
        <f>_xlfn.XLOOKUP($H431,'[1]SIG Level Structure'!$D:$D,'[1]SIG Level Structure'!F:F)</f>
        <v>M2</v>
      </c>
      <c r="K431" s="37" t="str">
        <f>E431&amp;"-"&amp;J431&amp;"-"&amp;G431</f>
        <v>AQY000-M2-13</v>
      </c>
      <c r="L431" s="37" t="str">
        <f>IFERROR(D431&amp;"-"&amp;LEFT(J431,1),"--")</f>
        <v>AQY-M</v>
      </c>
      <c r="M431" s="37" t="str">
        <f>VLOOKUP(L431,'[1]Compatible JC'!$A:$A,1,FALSE)</f>
        <v>AQY-M</v>
      </c>
      <c r="N431" s="37" t="str">
        <f>IFERROR(_xlfn.XLOOKUP(H431,'[1]SIG Level Structure'!D:D,'[1]SIG Level Structure'!C:C),"--")</f>
        <v>Manager</v>
      </c>
      <c r="O431" s="38" t="str">
        <f>IFERROR(TRIM(N431&amp;" "&amp;C431),"--")</f>
        <v>Manager General Quality Management</v>
      </c>
      <c r="P431" s="22" t="str">
        <f>_xlfn.XLOOKUP(E431,'[1]SIG Job Families &amp; Descriptions'!A:A,'[1]SIG Job Families &amp; Descriptions'!G:G)</f>
        <v>Develops policies, procedures and methods to evaluate and improve the quality of products, materials, components and/or operations. Develops, assures and maintains the quality of products and processes, including standard procedures (e.g., ISO 9001:2000, ISO 14000 family of standards or other certifications). Conducts quality audits/reviews. Applies Taguchi methods, process reengineering or other fundamental methods/ procedures to develop and ensure sustainable quality.</v>
      </c>
      <c r="Q431" s="39" t="str">
        <f>_xlfn.XLOOKUP(E431,'[1]2022 GI Position Descriptions'!E:E,'[1]2022 GI Position Descriptions'!G:G)</f>
        <v>Develops policies, procedures and methods to evaluate and improve the quality of products, materials, components and/or operations | Develops, assures and maintains the quality of products and processes, including standard procedures (e.g., ISO 9001:2000, ISO 14000 family of standards), quality audits/review, Taguchi methods, process reengineering, etc. | Responsibilities are within the Quality Assurance Methods Function as a generalist or in a combination of Disciplines</v>
      </c>
      <c r="R431" s="22" t="str">
        <f>IF(LEFT(J431,1)="E","EX",LEFT(J431,1))</f>
        <v>M</v>
      </c>
      <c r="S431" s="22" t="str">
        <f>_xlfn.XLOOKUP($R431,'[1]Career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431" s="22" t="str">
        <f>J431</f>
        <v>M2</v>
      </c>
      <c r="U431" s="40" t="str">
        <f t="shared" si="13"/>
        <v>M2</v>
      </c>
      <c r="V431" s="22" t="str">
        <f>_xlfn.XLOOKUP(T431,'[1]Career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431" s="41" t="str">
        <f>J431&amp;"-"&amp;G431</f>
        <v>M2-13</v>
      </c>
      <c r="X431" s="42" t="str">
        <f>G431</f>
        <v>13</v>
      </c>
      <c r="Y431" s="22" t="str">
        <f>_xlfn.XLOOKUP(W431,'[1]Career Bands &amp; Levels'!A:A,'[1]Career Bands &amp; Levels'!C:C,"No Grade Differentiator")</f>
        <v>●	Accountable for the budget, performance and results of a medium-sized team or multiple small teams of employees		
●	Exercises full management authority, including performance reviews, pay decisions, recruitment, discipline, termination and other personnel actions		
●	Addresses issues with impact beyond own team based on knowledge of related disciplines</v>
      </c>
      <c r="Z431" s="43" t="str">
        <f>IFERROR(O431&amp;" - "&amp;G431,"--")</f>
        <v>Manager General Quality Management - 13</v>
      </c>
      <c r="AA431" s="44" t="str">
        <f>_xlfn.XLOOKUP($H431,'[1]SIG Qualifications Input'!$D:$D,'[1]SIG Qualifications Input'!$H:$H)</f>
        <v>University degree or equivalent and 7-10 years of work experience or equivalent
Experience in managing mixed-level team(s) of professionals and subordinate managers</v>
      </c>
    </row>
    <row r="432" spans="1:27" ht="183" thickBot="1" x14ac:dyDescent="0.2">
      <c r="A432" s="34" t="str">
        <f>_xlfn.XLOOKUP(C432,'[1]SIG Job Families &amp; Descriptions'!F:F,'[1]SIG Job Families &amp; Descriptions'!B:B)</f>
        <v>Quality Management</v>
      </c>
      <c r="B432" s="34" t="str">
        <f>_xlfn.XLOOKUP(C432,'[1]SIG Job Families &amp; Descriptions'!F:F,'[1]SIG Job Families &amp; Descriptions'!D:D)</f>
        <v xml:space="preserve">General Quality Management </v>
      </c>
      <c r="C432" s="34" t="s">
        <v>106</v>
      </c>
      <c r="D432" s="30" t="str">
        <f t="shared" si="12"/>
        <v>AQY</v>
      </c>
      <c r="E432" s="31" t="str">
        <f>_xlfn.XLOOKUP(C432,'[1]SIG Job Families &amp; Descriptions'!F:F,'[1]SIG Job Families &amp; Descriptions'!A:A)</f>
        <v>AQY000</v>
      </c>
      <c r="F432" s="32" t="s">
        <v>29</v>
      </c>
      <c r="G432" s="33" t="s">
        <v>34</v>
      </c>
      <c r="H432" s="34" t="str">
        <f>F432&amp;"-"&amp;G432</f>
        <v>Management-12</v>
      </c>
      <c r="I432" s="35" t="str">
        <f>IF(ISERROR(_xlfn.XLOOKUP(H432,'[1]SIG Level Structure'!D:D,'[1]SIG Level Structure'!D:D)),"0","1")</f>
        <v>1</v>
      </c>
      <c r="J432" s="36" t="str">
        <f>_xlfn.XLOOKUP($H432,'[1]SIG Level Structure'!$D:$D,'[1]SIG Level Structure'!F:F)</f>
        <v>M2</v>
      </c>
      <c r="K432" s="37" t="str">
        <f>E432&amp;"-"&amp;J432&amp;"-"&amp;G432</f>
        <v>AQY000-M2-12</v>
      </c>
      <c r="L432" s="37" t="str">
        <f>IFERROR(D432&amp;"-"&amp;LEFT(J432,1),"--")</f>
        <v>AQY-M</v>
      </c>
      <c r="M432" s="37" t="str">
        <f>VLOOKUP(L432,'[1]Compatible JC'!$A:$A,1,FALSE)</f>
        <v>AQY-M</v>
      </c>
      <c r="N432" s="37" t="str">
        <f>IFERROR(_xlfn.XLOOKUP(H432,'[1]SIG Level Structure'!D:D,'[1]SIG Level Structure'!C:C),"--")</f>
        <v>Manager</v>
      </c>
      <c r="O432" s="38" t="str">
        <f>IFERROR(TRIM(N432&amp;" "&amp;C432),"--")</f>
        <v>Manager General Quality Management</v>
      </c>
      <c r="P432" s="22" t="str">
        <f>_xlfn.XLOOKUP(E432,'[1]SIG Job Families &amp; Descriptions'!A:A,'[1]SIG Job Families &amp; Descriptions'!G:G)</f>
        <v>Develops policies, procedures and methods to evaluate and improve the quality of products, materials, components and/or operations. Develops, assures and maintains the quality of products and processes, including standard procedures (e.g., ISO 9001:2000, ISO 14000 family of standards or other certifications). Conducts quality audits/reviews. Applies Taguchi methods, process reengineering or other fundamental methods/ procedures to develop and ensure sustainable quality.</v>
      </c>
      <c r="Q432" s="39" t="str">
        <f>_xlfn.XLOOKUP(E432,'[1]2022 GI Position Descriptions'!E:E,'[1]2022 GI Position Descriptions'!G:G)</f>
        <v>Develops policies, procedures and methods to evaluate and improve the quality of products, materials, components and/or operations | Develops, assures and maintains the quality of products and processes, including standard procedures (e.g., ISO 9001:2000, ISO 14000 family of standards), quality audits/review, Taguchi methods, process reengineering, etc. | Responsibilities are within the Quality Assurance Methods Function as a generalist or in a combination of Disciplines</v>
      </c>
      <c r="R432" s="22" t="str">
        <f>IF(LEFT(J432,1)="E","EX",LEFT(J432,1))</f>
        <v>M</v>
      </c>
      <c r="S432" s="22" t="str">
        <f>_xlfn.XLOOKUP($R432,'[1]Career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432" s="22" t="str">
        <f>J432</f>
        <v>M2</v>
      </c>
      <c r="U432" s="40" t="str">
        <f t="shared" si="13"/>
        <v>M2</v>
      </c>
      <c r="V432" s="22" t="str">
        <f>_xlfn.XLOOKUP(T432,'[1]Career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432" s="41" t="str">
        <f>J432&amp;"-"&amp;G432</f>
        <v>M2-12</v>
      </c>
      <c r="X432" s="42" t="str">
        <f>G432</f>
        <v>12</v>
      </c>
      <c r="Y432" s="22" t="str">
        <f>_xlfn.XLOOKUP(W432,'[1]Career Bands &amp; Levels'!A:A,'[1]Career Bands &amp; Levels'!C:C,"No Grade Differentiator")</f>
        <v xml:space="preserve">●	Accountable for results of a small team of employees		
●	Exercises limited management authority; sets employee performance objectives, conducts performance reviews and recommends pay actions		
●	Defines team operating standards and ensures essential procedures are followed based on knowledge of own discipline		</v>
      </c>
      <c r="Z432" s="43" t="str">
        <f>IFERROR(O432&amp;" - "&amp;G432,"--")</f>
        <v>Manager General Quality Management - 12</v>
      </c>
      <c r="AA432" s="44" t="str">
        <f>_xlfn.XLOOKUP($H432,'[1]SIG Qualifications Input'!$D:$D,'[1]SIG Qualifications Input'!$H:$H)</f>
        <v>University degree or equivalent and 7-10 years of work experience or equivalent
Experience in managing mixed-level team(s) of professionals and subordinate managers</v>
      </c>
    </row>
    <row r="433" spans="1:27" ht="169" thickBot="1" x14ac:dyDescent="0.2">
      <c r="A433" s="34" t="str">
        <f>_xlfn.XLOOKUP(C433,'[1]SIG Job Families &amp; Descriptions'!F:F,'[1]SIG Job Families &amp; Descriptions'!B:B)</f>
        <v>Quality Management</v>
      </c>
      <c r="B433" s="34" t="str">
        <f>_xlfn.XLOOKUP(C433,'[1]SIG Job Families &amp; Descriptions'!F:F,'[1]SIG Job Families &amp; Descriptions'!D:D)</f>
        <v xml:space="preserve">General Quality Management </v>
      </c>
      <c r="C433" s="34" t="s">
        <v>106</v>
      </c>
      <c r="D433" s="30" t="str">
        <f t="shared" si="12"/>
        <v>AQY</v>
      </c>
      <c r="E433" s="31" t="str">
        <f>_xlfn.XLOOKUP(C433,'[1]SIG Job Families &amp; Descriptions'!F:F,'[1]SIG Job Families &amp; Descriptions'!A:A)</f>
        <v>AQY000</v>
      </c>
      <c r="F433" s="32" t="s">
        <v>32</v>
      </c>
      <c r="G433" s="33" t="s">
        <v>34</v>
      </c>
      <c r="H433" s="34" t="str">
        <f>F433&amp;"-"&amp;G433</f>
        <v>Professional-12</v>
      </c>
      <c r="I433" s="35" t="str">
        <f>IF(ISERROR(_xlfn.XLOOKUP(H433,'[1]SIG Level Structure'!D:D,'[1]SIG Level Structure'!D:D)),"0","1")</f>
        <v>1</v>
      </c>
      <c r="J433" s="36" t="str">
        <f>_xlfn.XLOOKUP($H433,'[1]SIG Level Structure'!$D:$D,'[1]SIG Level Structure'!F:F)</f>
        <v>P3</v>
      </c>
      <c r="K433" s="37" t="str">
        <f>E433&amp;"-"&amp;J433&amp;"-"&amp;G433</f>
        <v>AQY000-P3-12</v>
      </c>
      <c r="L433" s="37" t="str">
        <f>IFERROR(D433&amp;"-"&amp;LEFT(J433,1),"--")</f>
        <v>AQY-P</v>
      </c>
      <c r="M433" s="37" t="str">
        <f>VLOOKUP(L433,'[1]Compatible JC'!$A:$A,1,FALSE)</f>
        <v>AQY-P</v>
      </c>
      <c r="N433" s="37" t="str">
        <f>IFERROR(_xlfn.XLOOKUP(H433,'[1]SIG Level Structure'!D:D,'[1]SIG Level Structure'!C:C),"--")</f>
        <v>Expert</v>
      </c>
      <c r="O433" s="38" t="str">
        <f>IFERROR(TRIM(N433&amp;" "&amp;C433),"--")</f>
        <v>Expert General Quality Management</v>
      </c>
      <c r="P433" s="22" t="str">
        <f>_xlfn.XLOOKUP(E433,'[1]SIG Job Families &amp; Descriptions'!A:A,'[1]SIG Job Families &amp; Descriptions'!G:G)</f>
        <v>Develops policies, procedures and methods to evaluate and improve the quality of products, materials, components and/or operations. Develops, assures and maintains the quality of products and processes, including standard procedures (e.g., ISO 9001:2000, ISO 14000 family of standards or other certifications). Conducts quality audits/reviews. Applies Taguchi methods, process reengineering or other fundamental methods/ procedures to develop and ensure sustainable quality.</v>
      </c>
      <c r="Q433" s="39" t="str">
        <f>_xlfn.XLOOKUP(E433,'[1]2022 GI Position Descriptions'!E:E,'[1]2022 GI Position Descriptions'!G:G)</f>
        <v>Develops policies, procedures and methods to evaluate and improve the quality of products, materials, components and/or operations | Develops, assures and maintains the quality of products and processes, including standard procedures (e.g., ISO 9001:2000, ISO 14000 family of standards), quality audits/review, Taguchi methods, process reengineering, etc. | Responsibilities are within the Quality Assurance Methods Function as a generalist or in a combination of Disciplines</v>
      </c>
      <c r="R433" s="22" t="str">
        <f>IF(LEFT(J433,1)="E","EX",LEFT(J433,1))</f>
        <v>P</v>
      </c>
      <c r="S433" s="22" t="str">
        <f>_xlfn.XLOOKUP($R433,'[1]Career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33" s="22" t="str">
        <f>J433</f>
        <v>P3</v>
      </c>
      <c r="U433" s="40" t="str">
        <f t="shared" si="13"/>
        <v>P3</v>
      </c>
      <c r="V433" s="22" t="str">
        <f>_xlfn.XLOOKUP(T433,'[1]Career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433" s="41" t="str">
        <f>J433&amp;"-"&amp;G433</f>
        <v>P3-12</v>
      </c>
      <c r="X433" s="42" t="str">
        <f>G433</f>
        <v>12</v>
      </c>
      <c r="Y433" s="22" t="str">
        <f>_xlfn.XLOOKUP(W433,'[1]Career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433" s="43" t="str">
        <f>IFERROR(O433&amp;" - "&amp;G433,"--")</f>
        <v>Expert General Quality Management - 12</v>
      </c>
      <c r="AA433" s="44" t="str">
        <f>_xlfn.XLOOKUP($H433,'[1]SIG Qualifications Input'!$D:$D,'[1]SIG Qualifications Input'!$H:$H)</f>
        <v>University degree or equivalent and 4-8 years of work experience or equivalent, 
Initial experience in functionally leading (sub-) projects</v>
      </c>
    </row>
    <row r="434" spans="1:27" ht="169" thickBot="1" x14ac:dyDescent="0.2">
      <c r="A434" s="34" t="str">
        <f>_xlfn.XLOOKUP(C434,'[1]SIG Job Families &amp; Descriptions'!F:F,'[1]SIG Job Families &amp; Descriptions'!B:B)</f>
        <v>Quality Management</v>
      </c>
      <c r="B434" s="34" t="str">
        <f>_xlfn.XLOOKUP(C434,'[1]SIG Job Families &amp; Descriptions'!F:F,'[1]SIG Job Families &amp; Descriptions'!D:D)</f>
        <v xml:space="preserve">General Quality Management </v>
      </c>
      <c r="C434" s="34" t="s">
        <v>106</v>
      </c>
      <c r="D434" s="30" t="str">
        <f t="shared" si="12"/>
        <v>AQY</v>
      </c>
      <c r="E434" s="31" t="str">
        <f>_xlfn.XLOOKUP(C434,'[1]SIG Job Families &amp; Descriptions'!F:F,'[1]SIG Job Families &amp; Descriptions'!A:A)</f>
        <v>AQY000</v>
      </c>
      <c r="F434" s="32" t="s">
        <v>32</v>
      </c>
      <c r="G434" s="33" t="s">
        <v>35</v>
      </c>
      <c r="H434" s="34" t="str">
        <f>F434&amp;"-"&amp;G434</f>
        <v>Professional-11</v>
      </c>
      <c r="I434" s="35" t="str">
        <f>IF(ISERROR(_xlfn.XLOOKUP(H434,'[1]SIG Level Structure'!D:D,'[1]SIG Level Structure'!D:D)),"0","1")</f>
        <v>1</v>
      </c>
      <c r="J434" s="36" t="str">
        <f>_xlfn.XLOOKUP($H434,'[1]SIG Level Structure'!$D:$D,'[1]SIG Level Structure'!F:F)</f>
        <v>P3</v>
      </c>
      <c r="K434" s="37" t="str">
        <f>E434&amp;"-"&amp;J434&amp;"-"&amp;G434</f>
        <v>AQY000-P3-11</v>
      </c>
      <c r="L434" s="37" t="str">
        <f>IFERROR(D434&amp;"-"&amp;LEFT(J434,1),"--")</f>
        <v>AQY-P</v>
      </c>
      <c r="M434" s="37" t="str">
        <f>VLOOKUP(L434,'[1]Compatible JC'!$A:$A,1,FALSE)</f>
        <v>AQY-P</v>
      </c>
      <c r="N434" s="37" t="str">
        <f>IFERROR(_xlfn.XLOOKUP(H434,'[1]SIG Level Structure'!D:D,'[1]SIG Level Structure'!C:C),"--")</f>
        <v>Expert</v>
      </c>
      <c r="O434" s="38" t="str">
        <f>IFERROR(TRIM(N434&amp;" "&amp;C434),"--")</f>
        <v>Expert General Quality Management</v>
      </c>
      <c r="P434" s="22" t="str">
        <f>_xlfn.XLOOKUP(E434,'[1]SIG Job Families &amp; Descriptions'!A:A,'[1]SIG Job Families &amp; Descriptions'!G:G)</f>
        <v>Develops policies, procedures and methods to evaluate and improve the quality of products, materials, components and/or operations. Develops, assures and maintains the quality of products and processes, including standard procedures (e.g., ISO 9001:2000, ISO 14000 family of standards or other certifications). Conducts quality audits/reviews. Applies Taguchi methods, process reengineering or other fundamental methods/ procedures to develop and ensure sustainable quality.</v>
      </c>
      <c r="Q434" s="39" t="str">
        <f>_xlfn.XLOOKUP(E434,'[1]2022 GI Position Descriptions'!E:E,'[1]2022 GI Position Descriptions'!G:G)</f>
        <v>Develops policies, procedures and methods to evaluate and improve the quality of products, materials, components and/or operations | Develops, assures and maintains the quality of products and processes, including standard procedures (e.g., ISO 9001:2000, ISO 14000 family of standards), quality audits/review, Taguchi methods, process reengineering, etc. | Responsibilities are within the Quality Assurance Methods Function as a generalist or in a combination of Disciplines</v>
      </c>
      <c r="R434" s="22" t="str">
        <f>IF(LEFT(J434,1)="E","EX",LEFT(J434,1))</f>
        <v>P</v>
      </c>
      <c r="S434" s="22" t="str">
        <f>_xlfn.XLOOKUP($R434,'[1]Career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34" s="22" t="str">
        <f>J434</f>
        <v>P3</v>
      </c>
      <c r="U434" s="40" t="str">
        <f t="shared" si="13"/>
        <v>P3</v>
      </c>
      <c r="V434" s="22" t="str">
        <f>_xlfn.XLOOKUP(T434,'[1]Career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434" s="41" t="str">
        <f>J434&amp;"-"&amp;G434</f>
        <v>P3-11</v>
      </c>
      <c r="X434" s="42" t="str">
        <f>G434</f>
        <v>11</v>
      </c>
      <c r="Y434" s="22" t="str">
        <f>_xlfn.XLOOKUP(W434,'[1]Career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434" s="43" t="str">
        <f>IFERROR(O434&amp;" - "&amp;G434,"--")</f>
        <v>Expert General Quality Management - 11</v>
      </c>
      <c r="AA434" s="44" t="str">
        <f>_xlfn.XLOOKUP($H434,'[1]SIG Qualifications Input'!$D:$D,'[1]SIG Qualifications Input'!$H:$H)</f>
        <v>University degree or equivalent and 4-8 years of work experience or equivalent, 
Initial experience in functionally leading (sub-) projects</v>
      </c>
    </row>
    <row r="435" spans="1:27" ht="169" thickBot="1" x14ac:dyDescent="0.2">
      <c r="A435" s="34" t="str">
        <f>_xlfn.XLOOKUP(C435,'[1]SIG Job Families &amp; Descriptions'!F:F,'[1]SIG Job Families &amp; Descriptions'!B:B)</f>
        <v>Quality Management</v>
      </c>
      <c r="B435" s="34" t="str">
        <f>_xlfn.XLOOKUP(C435,'[1]SIG Job Families &amp; Descriptions'!F:F,'[1]SIG Job Families &amp; Descriptions'!D:D)</f>
        <v xml:space="preserve">General Quality Management </v>
      </c>
      <c r="C435" s="34" t="s">
        <v>106</v>
      </c>
      <c r="D435" s="30" t="str">
        <f t="shared" si="12"/>
        <v>AQY</v>
      </c>
      <c r="E435" s="31" t="str">
        <f>_xlfn.XLOOKUP(C435,'[1]SIG Job Families &amp; Descriptions'!F:F,'[1]SIG Job Families &amp; Descriptions'!A:A)</f>
        <v>AQY000</v>
      </c>
      <c r="F435" s="32" t="s">
        <v>32</v>
      </c>
      <c r="G435" s="33" t="s">
        <v>36</v>
      </c>
      <c r="H435" s="34" t="str">
        <f>F435&amp;"-"&amp;G435</f>
        <v>Professional-10</v>
      </c>
      <c r="I435" s="35" t="str">
        <f>IF(ISERROR(_xlfn.XLOOKUP(H435,'[1]SIG Level Structure'!D:D,'[1]SIG Level Structure'!D:D)),"0","1")</f>
        <v>1</v>
      </c>
      <c r="J435" s="36" t="str">
        <f>_xlfn.XLOOKUP($H435,'[1]SIG Level Structure'!$D:$D,'[1]SIG Level Structure'!F:F)</f>
        <v>P2</v>
      </c>
      <c r="K435" s="37" t="str">
        <f>E435&amp;"-"&amp;J435&amp;"-"&amp;G435</f>
        <v>AQY000-P2-10</v>
      </c>
      <c r="L435" s="37" t="str">
        <f>IFERROR(D435&amp;"-"&amp;LEFT(J435,1),"--")</f>
        <v>AQY-P</v>
      </c>
      <c r="M435" s="37" t="str">
        <f>VLOOKUP(L435,'[1]Compatible JC'!$A:$A,1,FALSE)</f>
        <v>AQY-P</v>
      </c>
      <c r="N435" s="37" t="str">
        <f>IFERROR(_xlfn.XLOOKUP(H435,'[1]SIG Level Structure'!D:D,'[1]SIG Level Structure'!C:C),"--")</f>
        <v>Senior Specialist</v>
      </c>
      <c r="O435" s="38" t="str">
        <f>IFERROR(TRIM(N435&amp;" "&amp;C435),"--")</f>
        <v>Senior Specialist General Quality Management</v>
      </c>
      <c r="P435" s="22" t="str">
        <f>_xlfn.XLOOKUP(E435,'[1]SIG Job Families &amp; Descriptions'!A:A,'[1]SIG Job Families &amp; Descriptions'!G:G)</f>
        <v>Develops policies, procedures and methods to evaluate and improve the quality of products, materials, components and/or operations. Develops, assures and maintains the quality of products and processes, including standard procedures (e.g., ISO 9001:2000, ISO 14000 family of standards or other certifications). Conducts quality audits/reviews. Applies Taguchi methods, process reengineering or other fundamental methods/ procedures to develop and ensure sustainable quality.</v>
      </c>
      <c r="Q435" s="39" t="str">
        <f>_xlfn.XLOOKUP(E435,'[1]2022 GI Position Descriptions'!E:E,'[1]2022 GI Position Descriptions'!G:G)</f>
        <v>Develops policies, procedures and methods to evaluate and improve the quality of products, materials, components and/or operations | Develops, assures and maintains the quality of products and processes, including standard procedures (e.g., ISO 9001:2000, ISO 14000 family of standards), quality audits/review, Taguchi methods, process reengineering, etc. | Responsibilities are within the Quality Assurance Methods Function as a generalist or in a combination of Disciplines</v>
      </c>
      <c r="R435" s="22" t="str">
        <f>IF(LEFT(J435,1)="E","EX",LEFT(J435,1))</f>
        <v>P</v>
      </c>
      <c r="S435" s="22" t="str">
        <f>_xlfn.XLOOKUP($R435,'[1]Career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35" s="22" t="str">
        <f>J435</f>
        <v>P2</v>
      </c>
      <c r="U435" s="40" t="str">
        <f t="shared" si="13"/>
        <v>P2</v>
      </c>
      <c r="V435" s="22" t="str">
        <f>_xlfn.XLOOKUP(T435,'[1]Career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435" s="41" t="str">
        <f>J435&amp;"-"&amp;G435</f>
        <v>P2-10</v>
      </c>
      <c r="X435" s="42" t="str">
        <f>G435</f>
        <v>10</v>
      </c>
      <c r="Y435" s="22" t="str">
        <f>_xlfn.XLOOKUP(W435,'[1]Career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435" s="43" t="str">
        <f>IFERROR(O435&amp;" - "&amp;G435,"--")</f>
        <v>Senior Specialist General Quality Management - 10</v>
      </c>
      <c r="AA435" s="44" t="str">
        <f>_xlfn.XLOOKUP($H435,'[1]SIG Qualifications Input'!$D:$D,'[1]SIG Qualifications Input'!$H:$H)</f>
        <v>University degree or equivalent and 2-4 years of work experience or equivalent</v>
      </c>
    </row>
    <row r="436" spans="1:27" ht="169" thickBot="1" x14ac:dyDescent="0.2">
      <c r="A436" s="34" t="str">
        <f>_xlfn.XLOOKUP(C436,'[1]SIG Job Families &amp; Descriptions'!F:F,'[1]SIG Job Families &amp; Descriptions'!B:B)</f>
        <v>Quality Management</v>
      </c>
      <c r="B436" s="34" t="str">
        <f>_xlfn.XLOOKUP(C436,'[1]SIG Job Families &amp; Descriptions'!F:F,'[1]SIG Job Families &amp; Descriptions'!D:D)</f>
        <v xml:space="preserve">General Quality Management </v>
      </c>
      <c r="C436" s="34" t="s">
        <v>106</v>
      </c>
      <c r="D436" s="30" t="str">
        <f t="shared" si="12"/>
        <v>AQY</v>
      </c>
      <c r="E436" s="31" t="str">
        <f>_xlfn.XLOOKUP(C436,'[1]SIG Job Families &amp; Descriptions'!F:F,'[1]SIG Job Families &amp; Descriptions'!A:A)</f>
        <v>AQY000</v>
      </c>
      <c r="F436" s="32" t="s">
        <v>32</v>
      </c>
      <c r="G436" s="33" t="s">
        <v>37</v>
      </c>
      <c r="H436" s="34" t="str">
        <f>F436&amp;"-"&amp;G436</f>
        <v>Professional-09</v>
      </c>
      <c r="I436" s="35" t="str">
        <f>IF(ISERROR(_xlfn.XLOOKUP(H436,'[1]SIG Level Structure'!D:D,'[1]SIG Level Structure'!D:D)),"0","1")</f>
        <v>1</v>
      </c>
      <c r="J436" s="36" t="str">
        <f>_xlfn.XLOOKUP($H436,'[1]SIG Level Structure'!$D:$D,'[1]SIG Level Structure'!F:F)</f>
        <v>P2</v>
      </c>
      <c r="K436" s="37" t="str">
        <f>E436&amp;"-"&amp;J436&amp;"-"&amp;G436</f>
        <v>AQY000-P2-09</v>
      </c>
      <c r="L436" s="37" t="str">
        <f>IFERROR(D436&amp;"-"&amp;LEFT(J436,1),"--")</f>
        <v>AQY-P</v>
      </c>
      <c r="M436" s="37" t="str">
        <f>VLOOKUP(L436,'[1]Compatible JC'!$A:$A,1,FALSE)</f>
        <v>AQY-P</v>
      </c>
      <c r="N436" s="37" t="str">
        <f>IFERROR(_xlfn.XLOOKUP(H436,'[1]SIG Level Structure'!D:D,'[1]SIG Level Structure'!C:C),"--")</f>
        <v>Senior Specialist</v>
      </c>
      <c r="O436" s="38" t="str">
        <f>IFERROR(TRIM(N436&amp;" "&amp;C436),"--")</f>
        <v>Senior Specialist General Quality Management</v>
      </c>
      <c r="P436" s="22" t="str">
        <f>_xlfn.XLOOKUP(E436,'[1]SIG Job Families &amp; Descriptions'!A:A,'[1]SIG Job Families &amp; Descriptions'!G:G)</f>
        <v>Develops policies, procedures and methods to evaluate and improve the quality of products, materials, components and/or operations. Develops, assures and maintains the quality of products and processes, including standard procedures (e.g., ISO 9001:2000, ISO 14000 family of standards or other certifications). Conducts quality audits/reviews. Applies Taguchi methods, process reengineering or other fundamental methods/ procedures to develop and ensure sustainable quality.</v>
      </c>
      <c r="Q436" s="39" t="str">
        <f>_xlfn.XLOOKUP(E436,'[1]2022 GI Position Descriptions'!E:E,'[1]2022 GI Position Descriptions'!G:G)</f>
        <v>Develops policies, procedures and methods to evaluate and improve the quality of products, materials, components and/or operations | Develops, assures and maintains the quality of products and processes, including standard procedures (e.g., ISO 9001:2000, ISO 14000 family of standards), quality audits/review, Taguchi methods, process reengineering, etc. | Responsibilities are within the Quality Assurance Methods Function as a generalist or in a combination of Disciplines</v>
      </c>
      <c r="R436" s="22" t="str">
        <f>IF(LEFT(J436,1)="E","EX",LEFT(J436,1))</f>
        <v>P</v>
      </c>
      <c r="S436" s="22" t="str">
        <f>_xlfn.XLOOKUP($R436,'[1]Career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36" s="22" t="str">
        <f>J436</f>
        <v>P2</v>
      </c>
      <c r="U436" s="40" t="str">
        <f t="shared" si="13"/>
        <v>P2</v>
      </c>
      <c r="V436" s="22" t="str">
        <f>_xlfn.XLOOKUP(T436,'[1]Career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436" s="41" t="str">
        <f>J436&amp;"-"&amp;G436</f>
        <v>P2-09</v>
      </c>
      <c r="X436" s="42" t="str">
        <f>G436</f>
        <v>09</v>
      </c>
      <c r="Y436" s="22" t="str">
        <f>_xlfn.XLOOKUP(W436,'[1]Career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436" s="43" t="str">
        <f>IFERROR(O436&amp;" - "&amp;G436,"--")</f>
        <v>Senior Specialist General Quality Management - 09</v>
      </c>
      <c r="AA436" s="44" t="str">
        <f>_xlfn.XLOOKUP($H436,'[1]SIG Qualifications Input'!$D:$D,'[1]SIG Qualifications Input'!$H:$H)</f>
        <v>University degree or equivalent and 2-4 years of work experience or equivalent</v>
      </c>
    </row>
    <row r="437" spans="1:27" ht="169" thickBot="1" x14ac:dyDescent="0.2">
      <c r="A437" s="34" t="str">
        <f>_xlfn.XLOOKUP(C437,'[1]SIG Job Families &amp; Descriptions'!F:F,'[1]SIG Job Families &amp; Descriptions'!B:B)</f>
        <v>Quality Management</v>
      </c>
      <c r="B437" s="34" t="str">
        <f>_xlfn.XLOOKUP(C437,'[1]SIG Job Families &amp; Descriptions'!F:F,'[1]SIG Job Families &amp; Descriptions'!D:D)</f>
        <v xml:space="preserve">General Quality Management </v>
      </c>
      <c r="C437" s="34" t="s">
        <v>106</v>
      </c>
      <c r="D437" s="30" t="str">
        <f t="shared" si="12"/>
        <v>AQY</v>
      </c>
      <c r="E437" s="31" t="str">
        <f>_xlfn.XLOOKUP(C437,'[1]SIG Job Families &amp; Descriptions'!F:F,'[1]SIG Job Families &amp; Descriptions'!A:A)</f>
        <v>AQY000</v>
      </c>
      <c r="F437" s="32" t="s">
        <v>32</v>
      </c>
      <c r="G437" s="33" t="s">
        <v>43</v>
      </c>
      <c r="H437" s="34" t="str">
        <f>F437&amp;"-"&amp;G437</f>
        <v>Professional-08</v>
      </c>
      <c r="I437" s="35" t="str">
        <f>IF(ISERROR(_xlfn.XLOOKUP(H437,'[1]SIG Level Structure'!D:D,'[1]SIG Level Structure'!D:D)),"0","1")</f>
        <v>1</v>
      </c>
      <c r="J437" s="36" t="str">
        <f>_xlfn.XLOOKUP($H437,'[1]SIG Level Structure'!$D:$D,'[1]SIG Level Structure'!F:F)</f>
        <v>P1</v>
      </c>
      <c r="K437" s="37" t="str">
        <f>E437&amp;"-"&amp;J437&amp;"-"&amp;G437</f>
        <v>AQY000-P1-08</v>
      </c>
      <c r="L437" s="37" t="str">
        <f>IFERROR(D437&amp;"-"&amp;LEFT(J437,1),"--")</f>
        <v>AQY-P</v>
      </c>
      <c r="M437" s="37" t="str">
        <f>VLOOKUP(L437,'[1]Compatible JC'!$A:$A,1,FALSE)</f>
        <v>AQY-P</v>
      </c>
      <c r="N437" s="37" t="str">
        <f>IFERROR(_xlfn.XLOOKUP(H437,'[1]SIG Level Structure'!D:D,'[1]SIG Level Structure'!C:C),"--")</f>
        <v>Specialist</v>
      </c>
      <c r="O437" s="38" t="str">
        <f>IFERROR(TRIM(N437&amp;" "&amp;C437),"--")</f>
        <v>Specialist General Quality Management</v>
      </c>
      <c r="P437" s="22" t="str">
        <f>_xlfn.XLOOKUP(E437,'[1]SIG Job Families &amp; Descriptions'!A:A,'[1]SIG Job Families &amp; Descriptions'!G:G)</f>
        <v>Develops policies, procedures and methods to evaluate and improve the quality of products, materials, components and/or operations. Develops, assures and maintains the quality of products and processes, including standard procedures (e.g., ISO 9001:2000, ISO 14000 family of standards or other certifications). Conducts quality audits/reviews. Applies Taguchi methods, process reengineering or other fundamental methods/ procedures to develop and ensure sustainable quality.</v>
      </c>
      <c r="Q437" s="39" t="str">
        <f>_xlfn.XLOOKUP(E437,'[1]2022 GI Position Descriptions'!E:E,'[1]2022 GI Position Descriptions'!G:G)</f>
        <v>Develops policies, procedures and methods to evaluate and improve the quality of products, materials, components and/or operations | Develops, assures and maintains the quality of products and processes, including standard procedures (e.g., ISO 9001:2000, ISO 14000 family of standards), quality audits/review, Taguchi methods, process reengineering, etc. | Responsibilities are within the Quality Assurance Methods Function as a generalist or in a combination of Disciplines</v>
      </c>
      <c r="R437" s="22" t="str">
        <f>IF(LEFT(J437,1)="E","EX",LEFT(J437,1))</f>
        <v>P</v>
      </c>
      <c r="S437" s="22" t="str">
        <f>_xlfn.XLOOKUP($R437,'[1]Career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37" s="22" t="str">
        <f>J437</f>
        <v>P1</v>
      </c>
      <c r="U437" s="40" t="str">
        <f t="shared" si="13"/>
        <v>P1</v>
      </c>
      <c r="V437" s="22" t="str">
        <f>_xlfn.XLOOKUP(T437,'[1]Career Bands &amp; Levels'!A:A,'[1]Career Bands &amp; Levels'!C:C)</f>
        <v xml:space="preserve">●	Performs routine assignments in the entry level of the Professional Career Band		
●	Typically requires a college or university degree or the equivalent work experience and has conceptual knowledge of fundamental theories, principles and practices 		
●	Has no discretion to vary from established procedures by performing structured work assignments		
●	Uses existing procedures to solve routine or standard problems		
●	Receives instruction, guidance and direction from more senior level roles		</v>
      </c>
      <c r="W437" s="41" t="str">
        <f>J437&amp;"-"&amp;G437</f>
        <v>P1-08</v>
      </c>
      <c r="X437" s="42" t="str">
        <f>G437</f>
        <v>08</v>
      </c>
      <c r="Y437" s="22" t="str">
        <f>_xlfn.XLOOKUP(W437,'[1]Career Bands &amp; Levels'!A:A,'[1]Career Bands &amp; Levels'!C:C,"No Grade Differentiator")</f>
        <v>No Grade Differentiator</v>
      </c>
      <c r="Z437" s="43" t="str">
        <f>IFERROR(O437&amp;" - "&amp;G437,"--")</f>
        <v>Specialist General Quality Management - 08</v>
      </c>
      <c r="AA437" s="44" t="str">
        <f>_xlfn.XLOOKUP($H437,'[1]SIG Qualifications Input'!$D:$D,'[1]SIG Qualifications Input'!$H:$H)</f>
        <v>University degree or equivalent and 0-1 year of work experience or equivalent</v>
      </c>
    </row>
    <row r="438" spans="1:27" ht="183" thickBot="1" x14ac:dyDescent="0.2">
      <c r="A438" s="34" t="str">
        <f>_xlfn.XLOOKUP(C438,'[1]SIG Job Families &amp; Descriptions'!F:F,'[1]SIG Job Families &amp; Descriptions'!B:B)</f>
        <v>Quality Management</v>
      </c>
      <c r="B438" s="34" t="str">
        <f>_xlfn.XLOOKUP(C438,'[1]SIG Job Families &amp; Descriptions'!F:F,'[1]SIG Job Families &amp; Descriptions'!D:D)</f>
        <v>Quality Assurance</v>
      </c>
      <c r="C438" s="34" t="s">
        <v>107</v>
      </c>
      <c r="D438" s="30" t="str">
        <f t="shared" si="12"/>
        <v>AZE</v>
      </c>
      <c r="E438" s="31" t="str">
        <f>_xlfn.XLOOKUP(C438,'[1]SIG Job Families &amp; Descriptions'!F:F,'[1]SIG Job Families &amp; Descriptions'!A:A)</f>
        <v>AZE030</v>
      </c>
      <c r="F438" s="32" t="s">
        <v>29</v>
      </c>
      <c r="G438" s="33" t="s">
        <v>30</v>
      </c>
      <c r="H438" s="34" t="str">
        <f>F438&amp;"-"&amp;G438</f>
        <v>Management-15</v>
      </c>
      <c r="I438" s="35" t="str">
        <f>IF(ISERROR(_xlfn.XLOOKUP(H438,'[1]SIG Level Structure'!D:D,'[1]SIG Level Structure'!D:D)),"0","1")</f>
        <v>1</v>
      </c>
      <c r="J438" s="36" t="str">
        <f>_xlfn.XLOOKUP($H438,'[1]SIG Level Structure'!$D:$D,'[1]SIG Level Structure'!F:F)</f>
        <v>M3</v>
      </c>
      <c r="K438" s="37" t="str">
        <f>E438&amp;"-"&amp;J438&amp;"-"&amp;G438</f>
        <v>AZE030-M3-15</v>
      </c>
      <c r="L438" s="37" t="str">
        <f>IFERROR(D438&amp;"-"&amp;LEFT(J438,1),"--")</f>
        <v>AZE-M</v>
      </c>
      <c r="M438" s="37" t="str">
        <f>VLOOKUP(L438,'[1]Compatible JC'!$A:$A,1,FALSE)</f>
        <v>AZE-M</v>
      </c>
      <c r="N438" s="37" t="str">
        <f>IFERROR(_xlfn.XLOOKUP(H438,'[1]SIG Level Structure'!D:D,'[1]SIG Level Structure'!C:C),"--")</f>
        <v>Senior Manager</v>
      </c>
      <c r="O438" s="38" t="str">
        <f>IFERROR(TRIM(N438&amp;" "&amp;C438),"--")</f>
        <v>Senior Manager Quality Assurance</v>
      </c>
      <c r="P438" s="22" t="str">
        <f>_xlfn.XLOOKUP(E438,'[1]SIG Job Families &amp; Descriptions'!A:A,'[1]SIG Job Families &amp; Descriptions'!G:G)</f>
        <v>Develops and implements methods and procedures for process control, process improvement, testing and inspection to ensure that the products are free of flaws and function as designed. Designs and installs sophisticated testing equipment and performs product testing and analysis to maintain quality levels and minimize defects and failure rates. Analyzes reports and defective products to determine trends and recommend corrective actions. Collaborates with supplier representatives on quality problems, ensures that effective corrective actions are implemented and contributes to supplier quality improvement programs</v>
      </c>
      <c r="Q438" s="39" t="str">
        <f>_xlfn.XLOOKUP(E438,'[1]2022 GI Position Descriptions'!E:E,'[1]2022 GI Position Descriptions'!G:G)</f>
        <v>Develops and implements methods and procedures for process control, process improvement, testing and inspection to ensure that the products are free of flaws and function as designed | Designs and installs sophisticated testing equipment and performs product testing and analysis to maintain quality levels and minimize defects and failure rates | Analyzes reports and defective products to determine trends and recommend corrective actions | Collaborates with supplier representatives on quality problems, ensures that effective corrective actions are implemented and contributes to supplier quality improvement programs</v>
      </c>
      <c r="R438" s="22" t="str">
        <f>IF(LEFT(J438,1)="E","EX",LEFT(J438,1))</f>
        <v>M</v>
      </c>
      <c r="S438" s="22" t="str">
        <f>_xlfn.XLOOKUP($R438,'[1]Career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438" s="22" t="str">
        <f>J438</f>
        <v>M3</v>
      </c>
      <c r="U438" s="40" t="str">
        <f t="shared" si="13"/>
        <v>M3</v>
      </c>
      <c r="V438" s="22" t="str">
        <f>_xlfn.XLOOKUP(T438,'[1]Career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438" s="41" t="str">
        <f>J438&amp;"-"&amp;G438</f>
        <v>M3-15</v>
      </c>
      <c r="X438" s="42" t="str">
        <f>G438</f>
        <v>15</v>
      </c>
      <c r="Y438" s="22" t="str">
        <f>_xlfn.XLOOKUP(W438,'[1]Career Bands &amp; Levels'!A:A,'[1]Career Bands &amp; Levels'!C:C,"No Grade Differentiator")</f>
        <v xml:space="preserve">●	Looks beyond existing methodologies and own discipline to define and resolve complex problems
●	Develops plans and delivers results in fast-changing businesses and/or regulatory environments
●	Provides input to functional or departmental strategy		
●	Manages large, potentially diverse teams of managers and/or senior professionals		
		</v>
      </c>
      <c r="Z438" s="43" t="str">
        <f>IFERROR(O438&amp;" - "&amp;G438,"--")</f>
        <v>Senior Manager Quality Assurance - 15</v>
      </c>
      <c r="AA438" s="44" t="str">
        <f>_xlfn.XLOOKUP($H438,'[1]SIG Qualifications Input'!$D:$D,'[1]SIG Qualifications Input'!$H:$H)</f>
        <v xml:space="preserve">University degree or equivalent and 10+ years of work experience or equivalent
Profound experience in managing performance and results of diverse activities / multiple teams </v>
      </c>
    </row>
    <row r="439" spans="1:27" ht="183" thickBot="1" x14ac:dyDescent="0.2">
      <c r="A439" s="34" t="str">
        <f>_xlfn.XLOOKUP(C439,'[1]SIG Job Families &amp; Descriptions'!F:F,'[1]SIG Job Families &amp; Descriptions'!B:B)</f>
        <v>Quality Management</v>
      </c>
      <c r="B439" s="34" t="str">
        <f>_xlfn.XLOOKUP(C439,'[1]SIG Job Families &amp; Descriptions'!F:F,'[1]SIG Job Families &amp; Descriptions'!D:D)</f>
        <v>Quality Assurance</v>
      </c>
      <c r="C439" s="34" t="s">
        <v>107</v>
      </c>
      <c r="D439" s="30" t="str">
        <f t="shared" si="12"/>
        <v>AZE</v>
      </c>
      <c r="E439" s="31" t="str">
        <f>_xlfn.XLOOKUP(C439,'[1]SIG Job Families &amp; Descriptions'!F:F,'[1]SIG Job Families &amp; Descriptions'!A:A)</f>
        <v>AZE030</v>
      </c>
      <c r="F439" s="32" t="s">
        <v>29</v>
      </c>
      <c r="G439" s="33" t="s">
        <v>31</v>
      </c>
      <c r="H439" s="34" t="str">
        <f>F439&amp;"-"&amp;G439</f>
        <v>Management-14</v>
      </c>
      <c r="I439" s="35" t="str">
        <f>IF(ISERROR(_xlfn.XLOOKUP(H439,'[1]SIG Level Structure'!D:D,'[1]SIG Level Structure'!D:D)),"0","1")</f>
        <v>1</v>
      </c>
      <c r="J439" s="36" t="str">
        <f>_xlfn.XLOOKUP($H439,'[1]SIG Level Structure'!$D:$D,'[1]SIG Level Structure'!F:F)</f>
        <v>M3</v>
      </c>
      <c r="K439" s="37" t="str">
        <f>E439&amp;"-"&amp;J439&amp;"-"&amp;G439</f>
        <v>AZE030-M3-14</v>
      </c>
      <c r="L439" s="37" t="str">
        <f>IFERROR(D439&amp;"-"&amp;LEFT(J439,1),"--")</f>
        <v>AZE-M</v>
      </c>
      <c r="M439" s="37" t="str">
        <f>VLOOKUP(L439,'[1]Compatible JC'!$A:$A,1,FALSE)</f>
        <v>AZE-M</v>
      </c>
      <c r="N439" s="37" t="str">
        <f>IFERROR(_xlfn.XLOOKUP(H439,'[1]SIG Level Structure'!D:D,'[1]SIG Level Structure'!C:C),"--")</f>
        <v>Senior Manager</v>
      </c>
      <c r="O439" s="38" t="str">
        <f>IFERROR(TRIM(N439&amp;" "&amp;C439),"--")</f>
        <v>Senior Manager Quality Assurance</v>
      </c>
      <c r="P439" s="22" t="str">
        <f>_xlfn.XLOOKUP(E439,'[1]SIG Job Families &amp; Descriptions'!A:A,'[1]SIG Job Families &amp; Descriptions'!G:G)</f>
        <v>Develops and implements methods and procedures for process control, process improvement, testing and inspection to ensure that the products are free of flaws and function as designed. Designs and installs sophisticated testing equipment and performs product testing and analysis to maintain quality levels and minimize defects and failure rates. Analyzes reports and defective products to determine trends and recommend corrective actions. Collaborates with supplier representatives on quality problems, ensures that effective corrective actions are implemented and contributes to supplier quality improvement programs</v>
      </c>
      <c r="Q439" s="39" t="str">
        <f>_xlfn.XLOOKUP(E439,'[1]2022 GI Position Descriptions'!E:E,'[1]2022 GI Position Descriptions'!G:G)</f>
        <v>Develops and implements methods and procedures for process control, process improvement, testing and inspection to ensure that the products are free of flaws and function as designed | Designs and installs sophisticated testing equipment and performs product testing and analysis to maintain quality levels and minimize defects and failure rates | Analyzes reports and defective products to determine trends and recommend corrective actions | Collaborates with supplier representatives on quality problems, ensures that effective corrective actions are implemented and contributes to supplier quality improvement programs</v>
      </c>
      <c r="R439" s="22" t="str">
        <f>IF(LEFT(J439,1)="E","EX",LEFT(J439,1))</f>
        <v>M</v>
      </c>
      <c r="S439" s="22" t="str">
        <f>_xlfn.XLOOKUP($R439,'[1]Career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439" s="22" t="str">
        <f>J439</f>
        <v>M3</v>
      </c>
      <c r="U439" s="40" t="str">
        <f t="shared" si="13"/>
        <v>M3</v>
      </c>
      <c r="V439" s="22" t="str">
        <f>_xlfn.XLOOKUP(T439,'[1]Career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439" s="41" t="str">
        <f>J439&amp;"-"&amp;G439</f>
        <v>M3-14</v>
      </c>
      <c r="X439" s="42" t="str">
        <f>G439</f>
        <v>14</v>
      </c>
      <c r="Y439" s="22" t="str">
        <f>_xlfn.XLOOKUP(W439,'[1]Career Bands &amp; Levels'!A:A,'[1]Career Bands &amp; Levels'!C:C,"No Grade Differentiator")</f>
        <v xml:space="preserve">●	Identifies applications of functional knowledge and existing methodologies to complex problems	
●	Manages large teams of professionals and/or junior managers		
		</v>
      </c>
      <c r="Z439" s="43" t="str">
        <f>IFERROR(O439&amp;" - "&amp;G439,"--")</f>
        <v>Senior Manager Quality Assurance - 14</v>
      </c>
      <c r="AA439" s="44" t="str">
        <f>_xlfn.XLOOKUP($H439,'[1]SIG Qualifications Input'!$D:$D,'[1]SIG Qualifications Input'!$H:$H)</f>
        <v xml:space="preserve">University degree or equivalent and 10+ years of work experience or equivalent
Profound experience in managing performance and results of diverse activities / multiple teams </v>
      </c>
    </row>
    <row r="440" spans="1:27" ht="183" thickBot="1" x14ac:dyDescent="0.2">
      <c r="A440" s="34" t="str">
        <f>_xlfn.XLOOKUP(C440,'[1]SIG Job Families &amp; Descriptions'!F:F,'[1]SIG Job Families &amp; Descriptions'!B:B)</f>
        <v>Quality Management</v>
      </c>
      <c r="B440" s="34" t="str">
        <f>_xlfn.XLOOKUP(C440,'[1]SIG Job Families &amp; Descriptions'!F:F,'[1]SIG Job Families &amp; Descriptions'!D:D)</f>
        <v>Quality Assurance</v>
      </c>
      <c r="C440" s="34" t="s">
        <v>107</v>
      </c>
      <c r="D440" s="30" t="str">
        <f t="shared" si="12"/>
        <v>AZE</v>
      </c>
      <c r="E440" s="31" t="str">
        <f>_xlfn.XLOOKUP(C440,'[1]SIG Job Families &amp; Descriptions'!F:F,'[1]SIG Job Families &amp; Descriptions'!A:A)</f>
        <v>AZE030</v>
      </c>
      <c r="F440" s="32" t="s">
        <v>29</v>
      </c>
      <c r="G440" s="33" t="s">
        <v>33</v>
      </c>
      <c r="H440" s="34" t="str">
        <f>F440&amp;"-"&amp;G440</f>
        <v>Management-13</v>
      </c>
      <c r="I440" s="35" t="str">
        <f>IF(ISERROR(_xlfn.XLOOKUP(H440,'[1]SIG Level Structure'!D:D,'[1]SIG Level Structure'!D:D)),"0","1")</f>
        <v>1</v>
      </c>
      <c r="J440" s="36" t="str">
        <f>_xlfn.XLOOKUP($H440,'[1]SIG Level Structure'!$D:$D,'[1]SIG Level Structure'!F:F)</f>
        <v>M2</v>
      </c>
      <c r="K440" s="37" t="str">
        <f>E440&amp;"-"&amp;J440&amp;"-"&amp;G440</f>
        <v>AZE030-M2-13</v>
      </c>
      <c r="L440" s="37" t="str">
        <f>IFERROR(D440&amp;"-"&amp;LEFT(J440,1),"--")</f>
        <v>AZE-M</v>
      </c>
      <c r="M440" s="37" t="str">
        <f>VLOOKUP(L440,'[1]Compatible JC'!$A:$A,1,FALSE)</f>
        <v>AZE-M</v>
      </c>
      <c r="N440" s="37" t="str">
        <f>IFERROR(_xlfn.XLOOKUP(H440,'[1]SIG Level Structure'!D:D,'[1]SIG Level Structure'!C:C),"--")</f>
        <v>Manager</v>
      </c>
      <c r="O440" s="38" t="str">
        <f>IFERROR(TRIM(N440&amp;" "&amp;C440),"--")</f>
        <v>Manager Quality Assurance</v>
      </c>
      <c r="P440" s="22" t="str">
        <f>_xlfn.XLOOKUP(E440,'[1]SIG Job Families &amp; Descriptions'!A:A,'[1]SIG Job Families &amp; Descriptions'!G:G)</f>
        <v>Develops and implements methods and procedures for process control, process improvement, testing and inspection to ensure that the products are free of flaws and function as designed. Designs and installs sophisticated testing equipment and performs product testing and analysis to maintain quality levels and minimize defects and failure rates. Analyzes reports and defective products to determine trends and recommend corrective actions. Collaborates with supplier representatives on quality problems, ensures that effective corrective actions are implemented and contributes to supplier quality improvement programs</v>
      </c>
      <c r="Q440" s="39" t="str">
        <f>_xlfn.XLOOKUP(E440,'[1]2022 GI Position Descriptions'!E:E,'[1]2022 GI Position Descriptions'!G:G)</f>
        <v>Develops and implements methods and procedures for process control, process improvement, testing and inspection to ensure that the products are free of flaws and function as designed | Designs and installs sophisticated testing equipment and performs product testing and analysis to maintain quality levels and minimize defects and failure rates | Analyzes reports and defective products to determine trends and recommend corrective actions | Collaborates with supplier representatives on quality problems, ensures that effective corrective actions are implemented and contributes to supplier quality improvement programs</v>
      </c>
      <c r="R440" s="22" t="str">
        <f>IF(LEFT(J440,1)="E","EX",LEFT(J440,1))</f>
        <v>M</v>
      </c>
      <c r="S440" s="22" t="str">
        <f>_xlfn.XLOOKUP($R440,'[1]Career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440" s="22" t="str">
        <f>J440</f>
        <v>M2</v>
      </c>
      <c r="U440" s="40" t="str">
        <f t="shared" si="13"/>
        <v>M2</v>
      </c>
      <c r="V440" s="22" t="str">
        <f>_xlfn.XLOOKUP(T440,'[1]Career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440" s="41" t="str">
        <f>J440&amp;"-"&amp;G440</f>
        <v>M2-13</v>
      </c>
      <c r="X440" s="42" t="str">
        <f>G440</f>
        <v>13</v>
      </c>
      <c r="Y440" s="22" t="str">
        <f>_xlfn.XLOOKUP(W440,'[1]Career Bands &amp; Levels'!A:A,'[1]Career Bands &amp; Levels'!C:C,"No Grade Differentiator")</f>
        <v>●	Accountable for the budget, performance and results of a medium-sized team or multiple small teams of employees		
●	Exercises full management authority, including performance reviews, pay decisions, recruitment, discipline, termination and other personnel actions		
●	Addresses issues with impact beyond own team based on knowledge of related disciplines</v>
      </c>
      <c r="Z440" s="43" t="str">
        <f>IFERROR(O440&amp;" - "&amp;G440,"--")</f>
        <v>Manager Quality Assurance - 13</v>
      </c>
      <c r="AA440" s="44" t="str">
        <f>_xlfn.XLOOKUP($H440,'[1]SIG Qualifications Input'!$D:$D,'[1]SIG Qualifications Input'!$H:$H)</f>
        <v>University degree or equivalent and 7-10 years of work experience or equivalent
Experience in managing mixed-level team(s) of professionals and subordinate managers</v>
      </c>
    </row>
    <row r="441" spans="1:27" ht="183" thickBot="1" x14ac:dyDescent="0.2">
      <c r="A441" s="34" t="str">
        <f>_xlfn.XLOOKUP(C441,'[1]SIG Job Families &amp; Descriptions'!F:F,'[1]SIG Job Families &amp; Descriptions'!B:B)</f>
        <v>Quality Management</v>
      </c>
      <c r="B441" s="34" t="str">
        <f>_xlfn.XLOOKUP(C441,'[1]SIG Job Families &amp; Descriptions'!F:F,'[1]SIG Job Families &amp; Descriptions'!D:D)</f>
        <v>Quality Assurance</v>
      </c>
      <c r="C441" s="34" t="s">
        <v>107</v>
      </c>
      <c r="D441" s="30" t="str">
        <f t="shared" si="12"/>
        <v>AZE</v>
      </c>
      <c r="E441" s="31" t="str">
        <f>_xlfn.XLOOKUP(C441,'[1]SIG Job Families &amp; Descriptions'!F:F,'[1]SIG Job Families &amp; Descriptions'!A:A)</f>
        <v>AZE030</v>
      </c>
      <c r="F441" s="32" t="s">
        <v>29</v>
      </c>
      <c r="G441" s="33" t="s">
        <v>34</v>
      </c>
      <c r="H441" s="34" t="str">
        <f>F441&amp;"-"&amp;G441</f>
        <v>Management-12</v>
      </c>
      <c r="I441" s="35" t="str">
        <f>IF(ISERROR(_xlfn.XLOOKUP(H441,'[1]SIG Level Structure'!D:D,'[1]SIG Level Structure'!D:D)),"0","1")</f>
        <v>1</v>
      </c>
      <c r="J441" s="36" t="str">
        <f>_xlfn.XLOOKUP($H441,'[1]SIG Level Structure'!$D:$D,'[1]SIG Level Structure'!F:F)</f>
        <v>M2</v>
      </c>
      <c r="K441" s="37" t="str">
        <f>E441&amp;"-"&amp;J441&amp;"-"&amp;G441</f>
        <v>AZE030-M2-12</v>
      </c>
      <c r="L441" s="37" t="str">
        <f>IFERROR(D441&amp;"-"&amp;LEFT(J441,1),"--")</f>
        <v>AZE-M</v>
      </c>
      <c r="M441" s="37" t="str">
        <f>VLOOKUP(L441,'[1]Compatible JC'!$A:$A,1,FALSE)</f>
        <v>AZE-M</v>
      </c>
      <c r="N441" s="37" t="str">
        <f>IFERROR(_xlfn.XLOOKUP(H441,'[1]SIG Level Structure'!D:D,'[1]SIG Level Structure'!C:C),"--")</f>
        <v>Manager</v>
      </c>
      <c r="O441" s="38" t="str">
        <f>IFERROR(TRIM(N441&amp;" "&amp;C441),"--")</f>
        <v>Manager Quality Assurance</v>
      </c>
      <c r="P441" s="22" t="str">
        <f>_xlfn.XLOOKUP(E441,'[1]SIG Job Families &amp; Descriptions'!A:A,'[1]SIG Job Families &amp; Descriptions'!G:G)</f>
        <v>Develops and implements methods and procedures for process control, process improvement, testing and inspection to ensure that the products are free of flaws and function as designed. Designs and installs sophisticated testing equipment and performs product testing and analysis to maintain quality levels and minimize defects and failure rates. Analyzes reports and defective products to determine trends and recommend corrective actions. Collaborates with supplier representatives on quality problems, ensures that effective corrective actions are implemented and contributes to supplier quality improvement programs</v>
      </c>
      <c r="Q441" s="39" t="str">
        <f>_xlfn.XLOOKUP(E441,'[1]2022 GI Position Descriptions'!E:E,'[1]2022 GI Position Descriptions'!G:G)</f>
        <v>Develops and implements methods and procedures for process control, process improvement, testing and inspection to ensure that the products are free of flaws and function as designed | Designs and installs sophisticated testing equipment and performs product testing and analysis to maintain quality levels and minimize defects and failure rates | Analyzes reports and defective products to determine trends and recommend corrective actions | Collaborates with supplier representatives on quality problems, ensures that effective corrective actions are implemented and contributes to supplier quality improvement programs</v>
      </c>
      <c r="R441" s="22" t="str">
        <f>IF(LEFT(J441,1)="E","EX",LEFT(J441,1))</f>
        <v>M</v>
      </c>
      <c r="S441" s="22" t="str">
        <f>_xlfn.XLOOKUP($R441,'[1]Career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441" s="22" t="str">
        <f>J441</f>
        <v>M2</v>
      </c>
      <c r="U441" s="40" t="str">
        <f t="shared" si="13"/>
        <v>M2</v>
      </c>
      <c r="V441" s="22" t="str">
        <f>_xlfn.XLOOKUP(T441,'[1]Career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441" s="41" t="str">
        <f>J441&amp;"-"&amp;G441</f>
        <v>M2-12</v>
      </c>
      <c r="X441" s="42" t="str">
        <f>G441</f>
        <v>12</v>
      </c>
      <c r="Y441" s="22" t="str">
        <f>_xlfn.XLOOKUP(W441,'[1]Career Bands &amp; Levels'!A:A,'[1]Career Bands &amp; Levels'!C:C,"No Grade Differentiator")</f>
        <v xml:space="preserve">●	Accountable for results of a small team of employees		
●	Exercises limited management authority; sets employee performance objectives, conducts performance reviews and recommends pay actions		
●	Defines team operating standards and ensures essential procedures are followed based on knowledge of own discipline		</v>
      </c>
      <c r="Z441" s="43" t="str">
        <f>IFERROR(O441&amp;" - "&amp;G441,"--")</f>
        <v>Manager Quality Assurance - 12</v>
      </c>
      <c r="AA441" s="44" t="str">
        <f>_xlfn.XLOOKUP($H441,'[1]SIG Qualifications Input'!$D:$D,'[1]SIG Qualifications Input'!$H:$H)</f>
        <v>University degree or equivalent and 7-10 years of work experience or equivalent
Experience in managing mixed-level team(s) of professionals and subordinate managers</v>
      </c>
    </row>
    <row r="442" spans="1:27" ht="183" thickBot="1" x14ac:dyDescent="0.2">
      <c r="A442" s="34" t="str">
        <f>_xlfn.XLOOKUP(C442,'[1]SIG Job Families &amp; Descriptions'!F:F,'[1]SIG Job Families &amp; Descriptions'!B:B)</f>
        <v>Quality Management</v>
      </c>
      <c r="B442" s="34" t="str">
        <f>_xlfn.XLOOKUP(C442,'[1]SIG Job Families &amp; Descriptions'!F:F,'[1]SIG Job Families &amp; Descriptions'!D:D)</f>
        <v>Quality Assurance</v>
      </c>
      <c r="C442" s="34" t="s">
        <v>107</v>
      </c>
      <c r="D442" s="30" t="str">
        <f t="shared" si="12"/>
        <v>AZE</v>
      </c>
      <c r="E442" s="31" t="str">
        <f>_xlfn.XLOOKUP(C442,'[1]SIG Job Families &amp; Descriptions'!F:F,'[1]SIG Job Families &amp; Descriptions'!A:A)</f>
        <v>AZE030</v>
      </c>
      <c r="F442" s="32" t="s">
        <v>29</v>
      </c>
      <c r="G442" s="33" t="s">
        <v>35</v>
      </c>
      <c r="H442" s="34" t="str">
        <f>F442&amp;"-"&amp;G442</f>
        <v>Management-11</v>
      </c>
      <c r="I442" s="35" t="str">
        <f>IF(ISERROR(_xlfn.XLOOKUP(H442,'[1]SIG Level Structure'!D:D,'[1]SIG Level Structure'!D:D)),"0","1")</f>
        <v>1</v>
      </c>
      <c r="J442" s="36" t="str">
        <f>_xlfn.XLOOKUP($H442,'[1]SIG Level Structure'!$D:$D,'[1]SIG Level Structure'!F:F)</f>
        <v>M1</v>
      </c>
      <c r="K442" s="37" t="str">
        <f>E442&amp;"-"&amp;J442&amp;"-"&amp;G442</f>
        <v>AZE030-M1-11</v>
      </c>
      <c r="L442" s="37" t="str">
        <f>IFERROR(D442&amp;"-"&amp;LEFT(J442,1),"--")</f>
        <v>AZE-M</v>
      </c>
      <c r="M442" s="37" t="str">
        <f>VLOOKUP(L442,'[1]Compatible JC'!$A:$A,1,FALSE)</f>
        <v>AZE-M</v>
      </c>
      <c r="N442" s="37" t="str">
        <f>IFERROR(_xlfn.XLOOKUP(H442,'[1]SIG Level Structure'!D:D,'[1]SIG Level Structure'!C:C),"--")</f>
        <v>Supervisor</v>
      </c>
      <c r="O442" s="38" t="str">
        <f>IFERROR(TRIM(N442&amp;" "&amp;C442),"--")</f>
        <v>Supervisor Quality Assurance</v>
      </c>
      <c r="P442" s="22" t="str">
        <f>_xlfn.XLOOKUP(E442,'[1]SIG Job Families &amp; Descriptions'!A:A,'[1]SIG Job Families &amp; Descriptions'!G:G)</f>
        <v>Develops and implements methods and procedures for process control, process improvement, testing and inspection to ensure that the products are free of flaws and function as designed. Designs and installs sophisticated testing equipment and performs product testing and analysis to maintain quality levels and minimize defects and failure rates. Analyzes reports and defective products to determine trends and recommend corrective actions. Collaborates with supplier representatives on quality problems, ensures that effective corrective actions are implemented and contributes to supplier quality improvement programs</v>
      </c>
      <c r="Q442" s="39" t="str">
        <f>_xlfn.XLOOKUP(E442,'[1]2022 GI Position Descriptions'!E:E,'[1]2022 GI Position Descriptions'!G:G)</f>
        <v>Develops and implements methods and procedures for process control, process improvement, testing and inspection to ensure that the products are free of flaws and function as designed | Designs and installs sophisticated testing equipment and performs product testing and analysis to maintain quality levels and minimize defects and failure rates | Analyzes reports and defective products to determine trends and recommend corrective actions | Collaborates with supplier representatives on quality problems, ensures that effective corrective actions are implemented and contributes to supplier quality improvement programs</v>
      </c>
      <c r="R442" s="22" t="str">
        <f>IF(LEFT(J442,1)="E","EX",LEFT(J442,1))</f>
        <v>M</v>
      </c>
      <c r="S442" s="22" t="str">
        <f>_xlfn.XLOOKUP($R442,'[1]Career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442" s="22" t="str">
        <f>J442</f>
        <v>M1</v>
      </c>
      <c r="U442" s="40" t="str">
        <f t="shared" si="13"/>
        <v>M1</v>
      </c>
      <c r="V442" s="22" t="str">
        <f>_xlfn.XLOOKUP(T442,'[1]Career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442" s="41" t="str">
        <f>J442&amp;"-"&amp;G442</f>
        <v>M1-11</v>
      </c>
      <c r="X442" s="42" t="str">
        <f>G442</f>
        <v>11</v>
      </c>
      <c r="Y442" s="22" t="str">
        <f>_xlfn.XLOOKUP(W442,'[1]Career Bands &amp; Levels'!A:A,'[1]Career Bands &amp; Levels'!C:C,"No Grade Differentiator")</f>
        <v xml:space="preserve">●	Accountable for the results of a large and/or moderately complex support or production operations team including subordinate work leaders		
●	Applies acquired expertise to analyze and solve problems without clear precedent		
●	Provides input on resource planning and policy development		
●	Coaches team members on performance, completes employee performance evaluations and recommends pay actions		</v>
      </c>
      <c r="Z442" s="43" t="str">
        <f>IFERROR(O442&amp;" - "&amp;G442,"--")</f>
        <v>Supervisor Quality Assurance - 11</v>
      </c>
      <c r="AA442" s="44" t="str">
        <f>_xlfn.XLOOKUP($H442,'[1]SIG Qualifications Input'!$D:$D,'[1]SIG Qualifications Input'!$H:$H)</f>
        <v>University degree or equivalent and 5-7 years of work experience or equivalent
Experienced in application of management techniques
Experience in operationally managing a mixed-level team</v>
      </c>
    </row>
    <row r="443" spans="1:27" ht="183" thickBot="1" x14ac:dyDescent="0.2">
      <c r="A443" s="34" t="str">
        <f>_xlfn.XLOOKUP(C443,'[1]SIG Job Families &amp; Descriptions'!F:F,'[1]SIG Job Families &amp; Descriptions'!B:B)</f>
        <v>Quality Management</v>
      </c>
      <c r="B443" s="34" t="str">
        <f>_xlfn.XLOOKUP(C443,'[1]SIG Job Families &amp; Descriptions'!F:F,'[1]SIG Job Families &amp; Descriptions'!D:D)</f>
        <v>Quality Assurance</v>
      </c>
      <c r="C443" s="34" t="s">
        <v>107</v>
      </c>
      <c r="D443" s="30" t="str">
        <f t="shared" si="12"/>
        <v>AZE</v>
      </c>
      <c r="E443" s="31" t="str">
        <f>_xlfn.XLOOKUP(C443,'[1]SIG Job Families &amp; Descriptions'!F:F,'[1]SIG Job Families &amp; Descriptions'!A:A)</f>
        <v>AZE030</v>
      </c>
      <c r="F443" s="32" t="s">
        <v>29</v>
      </c>
      <c r="G443" s="33" t="s">
        <v>36</v>
      </c>
      <c r="H443" s="34" t="str">
        <f>F443&amp;"-"&amp;G443</f>
        <v>Management-10</v>
      </c>
      <c r="I443" s="35" t="str">
        <f>IF(ISERROR(_xlfn.XLOOKUP(H443,'[1]SIG Level Structure'!D:D,'[1]SIG Level Structure'!D:D)),"0","1")</f>
        <v>1</v>
      </c>
      <c r="J443" s="36" t="str">
        <f>_xlfn.XLOOKUP($H443,'[1]SIG Level Structure'!$D:$D,'[1]SIG Level Structure'!F:F)</f>
        <v>M1</v>
      </c>
      <c r="K443" s="37" t="str">
        <f>E443&amp;"-"&amp;J443&amp;"-"&amp;G443</f>
        <v>AZE030-M1-10</v>
      </c>
      <c r="L443" s="37" t="str">
        <f>IFERROR(D443&amp;"-"&amp;LEFT(J443,1),"--")</f>
        <v>AZE-M</v>
      </c>
      <c r="M443" s="37" t="str">
        <f>VLOOKUP(L443,'[1]Compatible JC'!$A:$A,1,FALSE)</f>
        <v>AZE-M</v>
      </c>
      <c r="N443" s="37" t="str">
        <f>IFERROR(_xlfn.XLOOKUP(H443,'[1]SIG Level Structure'!D:D,'[1]SIG Level Structure'!C:C),"--")</f>
        <v>Supervisor</v>
      </c>
      <c r="O443" s="38" t="str">
        <f>IFERROR(TRIM(N443&amp;" "&amp;C443),"--")</f>
        <v>Supervisor Quality Assurance</v>
      </c>
      <c r="P443" s="22" t="str">
        <f>_xlfn.XLOOKUP(E443,'[1]SIG Job Families &amp; Descriptions'!A:A,'[1]SIG Job Families &amp; Descriptions'!G:G)</f>
        <v>Develops and implements methods and procedures for process control, process improvement, testing and inspection to ensure that the products are free of flaws and function as designed. Designs and installs sophisticated testing equipment and performs product testing and analysis to maintain quality levels and minimize defects and failure rates. Analyzes reports and defective products to determine trends and recommend corrective actions. Collaborates with supplier representatives on quality problems, ensures that effective corrective actions are implemented and contributes to supplier quality improvement programs</v>
      </c>
      <c r="Q443" s="39" t="str">
        <f>_xlfn.XLOOKUP(E443,'[1]2022 GI Position Descriptions'!E:E,'[1]2022 GI Position Descriptions'!G:G)</f>
        <v>Develops and implements methods and procedures for process control, process improvement, testing and inspection to ensure that the products are free of flaws and function as designed | Designs and installs sophisticated testing equipment and performs product testing and analysis to maintain quality levels and minimize defects and failure rates | Analyzes reports and defective products to determine trends and recommend corrective actions | Collaborates with supplier representatives on quality problems, ensures that effective corrective actions are implemented and contributes to supplier quality improvement programs</v>
      </c>
      <c r="R443" s="22" t="str">
        <f>IF(LEFT(J443,1)="E","EX",LEFT(J443,1))</f>
        <v>M</v>
      </c>
      <c r="S443" s="22" t="str">
        <f>_xlfn.XLOOKUP($R443,'[1]Career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443" s="22" t="str">
        <f>J443</f>
        <v>M1</v>
      </c>
      <c r="U443" s="40" t="str">
        <f t="shared" si="13"/>
        <v>M1</v>
      </c>
      <c r="V443" s="22" t="str">
        <f>_xlfn.XLOOKUP(T443,'[1]Career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443" s="41" t="str">
        <f>J443&amp;"-"&amp;G443</f>
        <v>M1-10</v>
      </c>
      <c r="X443" s="42" t="str">
        <f>G443</f>
        <v>10</v>
      </c>
      <c r="Y443" s="22" t="str">
        <f>_xlfn.XLOOKUP(W443,'[1]Career Bands &amp; Levels'!A:A,'[1]Career Bands &amp; Levels'!C:C,"No Grade Differentiator")</f>
        <v xml:space="preserve">●	Accountable for the results of medium-sized routine support or production operations teams		
●	Solves problems based on practice and precedent		
●	Trains team members and provides input to employee performance evaluations		</v>
      </c>
      <c r="Z443" s="43" t="str">
        <f>IFERROR(O443&amp;" - "&amp;G443,"--")</f>
        <v>Supervisor Quality Assurance - 10</v>
      </c>
      <c r="AA443" s="44" t="str">
        <f>_xlfn.XLOOKUP($H443,'[1]SIG Qualifications Input'!$D:$D,'[1]SIG Qualifications Input'!$H:$H)</f>
        <v>University degree or equivalent and 5-7 years of work experience or equivalent
Experienced in application of management techniques
Experience in operationally managing a mixed-level team</v>
      </c>
    </row>
    <row r="444" spans="1:27" ht="183" thickBot="1" x14ac:dyDescent="0.2">
      <c r="A444" s="34" t="str">
        <f>_xlfn.XLOOKUP(C444,'[1]SIG Job Families &amp; Descriptions'!F:F,'[1]SIG Job Families &amp; Descriptions'!B:B)</f>
        <v>Quality Management</v>
      </c>
      <c r="B444" s="34" t="str">
        <f>_xlfn.XLOOKUP(C444,'[1]SIG Job Families &amp; Descriptions'!F:F,'[1]SIG Job Families &amp; Descriptions'!D:D)</f>
        <v>Quality Assurance</v>
      </c>
      <c r="C444" s="34" t="s">
        <v>107</v>
      </c>
      <c r="D444" s="30" t="str">
        <f t="shared" si="12"/>
        <v>AZE</v>
      </c>
      <c r="E444" s="31" t="str">
        <f>_xlfn.XLOOKUP(C444,'[1]SIG Job Families &amp; Descriptions'!F:F,'[1]SIG Job Families &amp; Descriptions'!A:A)</f>
        <v>AZE030</v>
      </c>
      <c r="F444" s="32" t="s">
        <v>32</v>
      </c>
      <c r="G444" s="33" t="s">
        <v>31</v>
      </c>
      <c r="H444" s="34" t="str">
        <f>F444&amp;"-"&amp;G444</f>
        <v>Professional-14</v>
      </c>
      <c r="I444" s="35" t="str">
        <f>IF(ISERROR(_xlfn.XLOOKUP(H444,'[1]SIG Level Structure'!D:D,'[1]SIG Level Structure'!D:D)),"0","1")</f>
        <v>1</v>
      </c>
      <c r="J444" s="36" t="str">
        <f>_xlfn.XLOOKUP($H444,'[1]SIG Level Structure'!$D:$D,'[1]SIG Level Structure'!F:F)</f>
        <v>P4</v>
      </c>
      <c r="K444" s="37" t="str">
        <f>E444&amp;"-"&amp;J444&amp;"-"&amp;G444</f>
        <v>AZE030-P4-14</v>
      </c>
      <c r="L444" s="37" t="str">
        <f>IFERROR(D444&amp;"-"&amp;LEFT(J444,1),"--")</f>
        <v>AZE-P</v>
      </c>
      <c r="M444" s="37" t="str">
        <f>VLOOKUP(L444,'[1]Compatible JC'!$A:$A,1,FALSE)</f>
        <v>AZE-P</v>
      </c>
      <c r="N444" s="37" t="str">
        <f>IFERROR(_xlfn.XLOOKUP(H444,'[1]SIG Level Structure'!D:D,'[1]SIG Level Structure'!C:C),"--")</f>
        <v>Senior Expert</v>
      </c>
      <c r="O444" s="38" t="str">
        <f>IFERROR(TRIM(N444&amp;" "&amp;C444),"--")</f>
        <v>Senior Expert Quality Assurance</v>
      </c>
      <c r="P444" s="22" t="str">
        <f>_xlfn.XLOOKUP(E444,'[1]SIG Job Families &amp; Descriptions'!A:A,'[1]SIG Job Families &amp; Descriptions'!G:G)</f>
        <v>Develops and implements methods and procedures for process control, process improvement, testing and inspection to ensure that the products are free of flaws and function as designed. Designs and installs sophisticated testing equipment and performs product testing and analysis to maintain quality levels and minimize defects and failure rates. Analyzes reports and defective products to determine trends and recommend corrective actions. Collaborates with supplier representatives on quality problems, ensures that effective corrective actions are implemented and contributes to supplier quality improvement programs</v>
      </c>
      <c r="Q444" s="39" t="str">
        <f>_xlfn.XLOOKUP(E444,'[1]2022 GI Position Descriptions'!E:E,'[1]2022 GI Position Descriptions'!G:G)</f>
        <v>Develops and implements methods and procedures for process control, process improvement, testing and inspection to ensure that the products are free of flaws and function as designed | Designs and installs sophisticated testing equipment and performs product testing and analysis to maintain quality levels and minimize defects and failure rates | Analyzes reports and defective products to determine trends and recommend corrective actions | Collaborates with supplier representatives on quality problems, ensures that effective corrective actions are implemented and contributes to supplier quality improvement programs</v>
      </c>
      <c r="R444" s="22" t="str">
        <f>IF(LEFT(J444,1)="E","EX",LEFT(J444,1))</f>
        <v>P</v>
      </c>
      <c r="S444" s="22" t="str">
        <f>_xlfn.XLOOKUP($R444,'[1]Career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44" s="22" t="str">
        <f>J444</f>
        <v>P4</v>
      </c>
      <c r="U444" s="40" t="str">
        <f t="shared" si="13"/>
        <v>P4</v>
      </c>
      <c r="V444" s="22" t="str">
        <f>_xlfn.XLOOKUP(T444,'[1]Career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444" s="41" t="str">
        <f>J444&amp;"-"&amp;G444</f>
        <v>P4-14</v>
      </c>
      <c r="X444" s="42" t="str">
        <f>G444</f>
        <v>14</v>
      </c>
      <c r="Y444" s="22" t="str">
        <f>_xlfn.XLOOKUP(W444,'[1]Career Bands &amp; Levels'!A:A,'[1]Career Bands &amp; Levels'!C:C,"No Grade Differentiator")</f>
        <v xml:space="preserve">●	Guides others in resolving complex issues in own specialized area and solves complex problems with implications on cross-functional business processes and outcomes		
●	Serves as an advisor and applies knowledge of strategies that can be deployed within own function and discipline		
●	Applies working knowledge of the theories and concepts in other disciplines		
●	May lead teams or projects with broad visibility		</v>
      </c>
      <c r="Z444" s="43" t="str">
        <f>IFERROR(O444&amp;" - "&amp;G444,"--")</f>
        <v>Senior Expert Quality Assurance - 14</v>
      </c>
      <c r="AA444" s="44" t="str">
        <f>_xlfn.XLOOKUP($H444,'[1]SIG Qualifications Input'!$D:$D,'[1]SIG Qualifications Input'!$H:$H)</f>
        <v>University degree or equivalent and 8-10 years of work experience or equivalent, 
Experience in functionally leading (sub-)projects / teams</v>
      </c>
    </row>
    <row r="445" spans="1:27" ht="183" thickBot="1" x14ac:dyDescent="0.2">
      <c r="A445" s="34" t="str">
        <f>_xlfn.XLOOKUP(C445,'[1]SIG Job Families &amp; Descriptions'!F:F,'[1]SIG Job Families &amp; Descriptions'!B:B)</f>
        <v>Quality Management</v>
      </c>
      <c r="B445" s="34" t="str">
        <f>_xlfn.XLOOKUP(C445,'[1]SIG Job Families &amp; Descriptions'!F:F,'[1]SIG Job Families &amp; Descriptions'!D:D)</f>
        <v>Quality Assurance</v>
      </c>
      <c r="C445" s="34" t="s">
        <v>107</v>
      </c>
      <c r="D445" s="30" t="str">
        <f t="shared" si="12"/>
        <v>AZE</v>
      </c>
      <c r="E445" s="31" t="str">
        <f>_xlfn.XLOOKUP(C445,'[1]SIG Job Families &amp; Descriptions'!F:F,'[1]SIG Job Families &amp; Descriptions'!A:A)</f>
        <v>AZE030</v>
      </c>
      <c r="F445" s="32" t="s">
        <v>32</v>
      </c>
      <c r="G445" s="33" t="s">
        <v>33</v>
      </c>
      <c r="H445" s="34" t="str">
        <f>F445&amp;"-"&amp;G445</f>
        <v>Professional-13</v>
      </c>
      <c r="I445" s="35" t="str">
        <f>IF(ISERROR(_xlfn.XLOOKUP(H445,'[1]SIG Level Structure'!D:D,'[1]SIG Level Structure'!D:D)),"0","1")</f>
        <v>1</v>
      </c>
      <c r="J445" s="36" t="str">
        <f>_xlfn.XLOOKUP($H445,'[1]SIG Level Structure'!$D:$D,'[1]SIG Level Structure'!F:F)</f>
        <v>P4</v>
      </c>
      <c r="K445" s="37" t="str">
        <f>E445&amp;"-"&amp;J445&amp;"-"&amp;G445</f>
        <v>AZE030-P4-13</v>
      </c>
      <c r="L445" s="37" t="str">
        <f>IFERROR(D445&amp;"-"&amp;LEFT(J445,1),"--")</f>
        <v>AZE-P</v>
      </c>
      <c r="M445" s="37" t="str">
        <f>VLOOKUP(L445,'[1]Compatible JC'!$A:$A,1,FALSE)</f>
        <v>AZE-P</v>
      </c>
      <c r="N445" s="37" t="str">
        <f>IFERROR(_xlfn.XLOOKUP(H445,'[1]SIG Level Structure'!D:D,'[1]SIG Level Structure'!C:C),"--")</f>
        <v>Senior Expert</v>
      </c>
      <c r="O445" s="38" t="str">
        <f>IFERROR(TRIM(N445&amp;" "&amp;C445),"--")</f>
        <v>Senior Expert Quality Assurance</v>
      </c>
      <c r="P445" s="22" t="str">
        <f>_xlfn.XLOOKUP(E445,'[1]SIG Job Families &amp; Descriptions'!A:A,'[1]SIG Job Families &amp; Descriptions'!G:G)</f>
        <v>Develops and implements methods and procedures for process control, process improvement, testing and inspection to ensure that the products are free of flaws and function as designed. Designs and installs sophisticated testing equipment and performs product testing and analysis to maintain quality levels and minimize defects and failure rates. Analyzes reports and defective products to determine trends and recommend corrective actions. Collaborates with supplier representatives on quality problems, ensures that effective corrective actions are implemented and contributes to supplier quality improvement programs</v>
      </c>
      <c r="Q445" s="39" t="str">
        <f>_xlfn.XLOOKUP(E445,'[1]2022 GI Position Descriptions'!E:E,'[1]2022 GI Position Descriptions'!G:G)</f>
        <v>Develops and implements methods and procedures for process control, process improvement, testing and inspection to ensure that the products are free of flaws and function as designed | Designs and installs sophisticated testing equipment and performs product testing and analysis to maintain quality levels and minimize defects and failure rates | Analyzes reports and defective products to determine trends and recommend corrective actions | Collaborates with supplier representatives on quality problems, ensures that effective corrective actions are implemented and contributes to supplier quality improvement programs</v>
      </c>
      <c r="R445" s="22" t="str">
        <f>IF(LEFT(J445,1)="E","EX",LEFT(J445,1))</f>
        <v>P</v>
      </c>
      <c r="S445" s="22" t="str">
        <f>_xlfn.XLOOKUP($R445,'[1]Career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45" s="22" t="str">
        <f>J445</f>
        <v>P4</v>
      </c>
      <c r="U445" s="40" t="str">
        <f t="shared" si="13"/>
        <v>P4</v>
      </c>
      <c r="V445" s="22" t="str">
        <f>_xlfn.XLOOKUP(T445,'[1]Career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445" s="41" t="str">
        <f>J445&amp;"-"&amp;G445</f>
        <v>P4-13</v>
      </c>
      <c r="X445" s="42" t="str">
        <f>G445</f>
        <v>13</v>
      </c>
      <c r="Y445" s="22" t="str">
        <f>_xlfn.XLOOKUP(W445,'[1]Career Bands &amp; Levels'!A:A,'[1]Career Bands &amp; Levels'!C:C,"No Grade Differentiator")</f>
        <v xml:space="preserve">●	Guides others in resolving complex issues in specialized area based on existing solutions and procedures		
●	Serves as an expert within own discipline		
●	May lead function teams or projects and serves as a best practices/quality resource		
●	Trains/mentors junior staff		</v>
      </c>
      <c r="Z445" s="43" t="str">
        <f>IFERROR(O445&amp;" - "&amp;G445,"--")</f>
        <v>Senior Expert Quality Assurance - 13</v>
      </c>
      <c r="AA445" s="44" t="str">
        <f>_xlfn.XLOOKUP($H445,'[1]SIG Qualifications Input'!$D:$D,'[1]SIG Qualifications Input'!$H:$H)</f>
        <v>University degree or equivalent and 8-10 years of work experience or equivalent, 
Experience in functionally leading (sub-)projects / teams</v>
      </c>
    </row>
    <row r="446" spans="1:27" ht="183" thickBot="1" x14ac:dyDescent="0.2">
      <c r="A446" s="34" t="str">
        <f>_xlfn.XLOOKUP(C446,'[1]SIG Job Families &amp; Descriptions'!F:F,'[1]SIG Job Families &amp; Descriptions'!B:B)</f>
        <v>Quality Management</v>
      </c>
      <c r="B446" s="34" t="str">
        <f>_xlfn.XLOOKUP(C446,'[1]SIG Job Families &amp; Descriptions'!F:F,'[1]SIG Job Families &amp; Descriptions'!D:D)</f>
        <v>Quality Assurance</v>
      </c>
      <c r="C446" s="34" t="s">
        <v>107</v>
      </c>
      <c r="D446" s="30" t="str">
        <f t="shared" si="12"/>
        <v>AZE</v>
      </c>
      <c r="E446" s="31" t="str">
        <f>_xlfn.XLOOKUP(C446,'[1]SIG Job Families &amp; Descriptions'!F:F,'[1]SIG Job Families &amp; Descriptions'!A:A)</f>
        <v>AZE030</v>
      </c>
      <c r="F446" s="32" t="s">
        <v>32</v>
      </c>
      <c r="G446" s="33" t="s">
        <v>34</v>
      </c>
      <c r="H446" s="34" t="str">
        <f>F446&amp;"-"&amp;G446</f>
        <v>Professional-12</v>
      </c>
      <c r="I446" s="35" t="str">
        <f>IF(ISERROR(_xlfn.XLOOKUP(H446,'[1]SIG Level Structure'!D:D,'[1]SIG Level Structure'!D:D)),"0","1")</f>
        <v>1</v>
      </c>
      <c r="J446" s="36" t="str">
        <f>_xlfn.XLOOKUP($H446,'[1]SIG Level Structure'!$D:$D,'[1]SIG Level Structure'!F:F)</f>
        <v>P3</v>
      </c>
      <c r="K446" s="37" t="str">
        <f>E446&amp;"-"&amp;J446&amp;"-"&amp;G446</f>
        <v>AZE030-P3-12</v>
      </c>
      <c r="L446" s="37" t="str">
        <f>IFERROR(D446&amp;"-"&amp;LEFT(J446,1),"--")</f>
        <v>AZE-P</v>
      </c>
      <c r="M446" s="37" t="str">
        <f>VLOOKUP(L446,'[1]Compatible JC'!$A:$A,1,FALSE)</f>
        <v>AZE-P</v>
      </c>
      <c r="N446" s="37" t="str">
        <f>IFERROR(_xlfn.XLOOKUP(H446,'[1]SIG Level Structure'!D:D,'[1]SIG Level Structure'!C:C),"--")</f>
        <v>Expert</v>
      </c>
      <c r="O446" s="38" t="str">
        <f>IFERROR(TRIM(N446&amp;" "&amp;C446),"--")</f>
        <v>Expert Quality Assurance</v>
      </c>
      <c r="P446" s="22" t="str">
        <f>_xlfn.XLOOKUP(E446,'[1]SIG Job Families &amp; Descriptions'!A:A,'[1]SIG Job Families &amp; Descriptions'!G:G)</f>
        <v>Develops and implements methods and procedures for process control, process improvement, testing and inspection to ensure that the products are free of flaws and function as designed. Designs and installs sophisticated testing equipment and performs product testing and analysis to maintain quality levels and minimize defects and failure rates. Analyzes reports and defective products to determine trends and recommend corrective actions. Collaborates with supplier representatives on quality problems, ensures that effective corrective actions are implemented and contributes to supplier quality improvement programs</v>
      </c>
      <c r="Q446" s="39" t="str">
        <f>_xlfn.XLOOKUP(E446,'[1]2022 GI Position Descriptions'!E:E,'[1]2022 GI Position Descriptions'!G:G)</f>
        <v>Develops and implements methods and procedures for process control, process improvement, testing and inspection to ensure that the products are free of flaws and function as designed | Designs and installs sophisticated testing equipment and performs product testing and analysis to maintain quality levels and minimize defects and failure rates | Analyzes reports and defective products to determine trends and recommend corrective actions | Collaborates with supplier representatives on quality problems, ensures that effective corrective actions are implemented and contributes to supplier quality improvement programs</v>
      </c>
      <c r="R446" s="22" t="str">
        <f>IF(LEFT(J446,1)="E","EX",LEFT(J446,1))</f>
        <v>P</v>
      </c>
      <c r="S446" s="22" t="str">
        <f>_xlfn.XLOOKUP($R446,'[1]Career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46" s="22" t="str">
        <f>J446</f>
        <v>P3</v>
      </c>
      <c r="U446" s="40" t="str">
        <f t="shared" si="13"/>
        <v>P3</v>
      </c>
      <c r="V446" s="22" t="str">
        <f>_xlfn.XLOOKUP(T446,'[1]Career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446" s="41" t="str">
        <f>J446&amp;"-"&amp;G446</f>
        <v>P3-12</v>
      </c>
      <c r="X446" s="42" t="str">
        <f>G446</f>
        <v>12</v>
      </c>
      <c r="Y446" s="22" t="str">
        <f>_xlfn.XLOOKUP(W446,'[1]Career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446" s="43" t="str">
        <f>IFERROR(O446&amp;" - "&amp;G446,"--")</f>
        <v>Expert Quality Assurance - 12</v>
      </c>
      <c r="AA446" s="44" t="str">
        <f>_xlfn.XLOOKUP($H446,'[1]SIG Qualifications Input'!$D:$D,'[1]SIG Qualifications Input'!$H:$H)</f>
        <v>University degree or equivalent and 4-8 years of work experience or equivalent, 
Initial experience in functionally leading (sub-) projects</v>
      </c>
    </row>
    <row r="447" spans="1:27" ht="183" thickBot="1" x14ac:dyDescent="0.2">
      <c r="A447" s="34" t="str">
        <f>_xlfn.XLOOKUP(C447,'[1]SIG Job Families &amp; Descriptions'!F:F,'[1]SIG Job Families &amp; Descriptions'!B:B)</f>
        <v>Quality Management</v>
      </c>
      <c r="B447" s="34" t="str">
        <f>_xlfn.XLOOKUP(C447,'[1]SIG Job Families &amp; Descriptions'!F:F,'[1]SIG Job Families &amp; Descriptions'!D:D)</f>
        <v>Quality Assurance</v>
      </c>
      <c r="C447" s="34" t="s">
        <v>107</v>
      </c>
      <c r="D447" s="30" t="str">
        <f t="shared" si="12"/>
        <v>AZE</v>
      </c>
      <c r="E447" s="31" t="str">
        <f>_xlfn.XLOOKUP(C447,'[1]SIG Job Families &amp; Descriptions'!F:F,'[1]SIG Job Families &amp; Descriptions'!A:A)</f>
        <v>AZE030</v>
      </c>
      <c r="F447" s="32" t="s">
        <v>32</v>
      </c>
      <c r="G447" s="33" t="s">
        <v>35</v>
      </c>
      <c r="H447" s="34" t="str">
        <f>F447&amp;"-"&amp;G447</f>
        <v>Professional-11</v>
      </c>
      <c r="I447" s="35" t="str">
        <f>IF(ISERROR(_xlfn.XLOOKUP(H447,'[1]SIG Level Structure'!D:D,'[1]SIG Level Structure'!D:D)),"0","1")</f>
        <v>1</v>
      </c>
      <c r="J447" s="36" t="str">
        <f>_xlfn.XLOOKUP($H447,'[1]SIG Level Structure'!$D:$D,'[1]SIG Level Structure'!F:F)</f>
        <v>P3</v>
      </c>
      <c r="K447" s="37" t="str">
        <f>E447&amp;"-"&amp;J447&amp;"-"&amp;G447</f>
        <v>AZE030-P3-11</v>
      </c>
      <c r="L447" s="37" t="str">
        <f>IFERROR(D447&amp;"-"&amp;LEFT(J447,1),"--")</f>
        <v>AZE-P</v>
      </c>
      <c r="M447" s="37" t="str">
        <f>VLOOKUP(L447,'[1]Compatible JC'!$A:$A,1,FALSE)</f>
        <v>AZE-P</v>
      </c>
      <c r="N447" s="37" t="str">
        <f>IFERROR(_xlfn.XLOOKUP(H447,'[1]SIG Level Structure'!D:D,'[1]SIG Level Structure'!C:C),"--")</f>
        <v>Expert</v>
      </c>
      <c r="O447" s="38" t="str">
        <f>IFERROR(TRIM(N447&amp;" "&amp;C447),"--")</f>
        <v>Expert Quality Assurance</v>
      </c>
      <c r="P447" s="22" t="str">
        <f>_xlfn.XLOOKUP(E447,'[1]SIG Job Families &amp; Descriptions'!A:A,'[1]SIG Job Families &amp; Descriptions'!G:G)</f>
        <v>Develops and implements methods and procedures for process control, process improvement, testing and inspection to ensure that the products are free of flaws and function as designed. Designs and installs sophisticated testing equipment and performs product testing and analysis to maintain quality levels and minimize defects and failure rates. Analyzes reports and defective products to determine trends and recommend corrective actions. Collaborates with supplier representatives on quality problems, ensures that effective corrective actions are implemented and contributes to supplier quality improvement programs</v>
      </c>
      <c r="Q447" s="39" t="str">
        <f>_xlfn.XLOOKUP(E447,'[1]2022 GI Position Descriptions'!E:E,'[1]2022 GI Position Descriptions'!G:G)</f>
        <v>Develops and implements methods and procedures for process control, process improvement, testing and inspection to ensure that the products are free of flaws and function as designed | Designs and installs sophisticated testing equipment and performs product testing and analysis to maintain quality levels and minimize defects and failure rates | Analyzes reports and defective products to determine trends and recommend corrective actions | Collaborates with supplier representatives on quality problems, ensures that effective corrective actions are implemented and contributes to supplier quality improvement programs</v>
      </c>
      <c r="R447" s="22" t="str">
        <f>IF(LEFT(J447,1)="E","EX",LEFT(J447,1))</f>
        <v>P</v>
      </c>
      <c r="S447" s="22" t="str">
        <f>_xlfn.XLOOKUP($R447,'[1]Career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47" s="22" t="str">
        <f>J447</f>
        <v>P3</v>
      </c>
      <c r="U447" s="40" t="str">
        <f t="shared" si="13"/>
        <v>P3</v>
      </c>
      <c r="V447" s="22" t="str">
        <f>_xlfn.XLOOKUP(T447,'[1]Career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447" s="41" t="str">
        <f>J447&amp;"-"&amp;G447</f>
        <v>P3-11</v>
      </c>
      <c r="X447" s="42" t="str">
        <f>G447</f>
        <v>11</v>
      </c>
      <c r="Y447" s="22" t="str">
        <f>_xlfn.XLOOKUP(W447,'[1]Career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447" s="43" t="str">
        <f>IFERROR(O447&amp;" - "&amp;G447,"--")</f>
        <v>Expert Quality Assurance - 11</v>
      </c>
      <c r="AA447" s="44" t="str">
        <f>_xlfn.XLOOKUP($H447,'[1]SIG Qualifications Input'!$D:$D,'[1]SIG Qualifications Input'!$H:$H)</f>
        <v>University degree or equivalent and 4-8 years of work experience or equivalent, 
Initial experience in functionally leading (sub-) projects</v>
      </c>
    </row>
    <row r="448" spans="1:27" ht="183" thickBot="1" x14ac:dyDescent="0.2">
      <c r="A448" s="34" t="str">
        <f>_xlfn.XLOOKUP(C448,'[1]SIG Job Families &amp; Descriptions'!F:F,'[1]SIG Job Families &amp; Descriptions'!B:B)</f>
        <v>Quality Management</v>
      </c>
      <c r="B448" s="34" t="str">
        <f>_xlfn.XLOOKUP(C448,'[1]SIG Job Families &amp; Descriptions'!F:F,'[1]SIG Job Families &amp; Descriptions'!D:D)</f>
        <v>Quality Assurance</v>
      </c>
      <c r="C448" s="34" t="s">
        <v>107</v>
      </c>
      <c r="D448" s="30" t="str">
        <f t="shared" si="12"/>
        <v>AZE</v>
      </c>
      <c r="E448" s="31" t="str">
        <f>_xlfn.XLOOKUP(C448,'[1]SIG Job Families &amp; Descriptions'!F:F,'[1]SIG Job Families &amp; Descriptions'!A:A)</f>
        <v>AZE030</v>
      </c>
      <c r="F448" s="32" t="s">
        <v>32</v>
      </c>
      <c r="G448" s="33" t="s">
        <v>36</v>
      </c>
      <c r="H448" s="34" t="str">
        <f>F448&amp;"-"&amp;G448</f>
        <v>Professional-10</v>
      </c>
      <c r="I448" s="35" t="str">
        <f>IF(ISERROR(_xlfn.XLOOKUP(H448,'[1]SIG Level Structure'!D:D,'[1]SIG Level Structure'!D:D)),"0","1")</f>
        <v>1</v>
      </c>
      <c r="J448" s="36" t="str">
        <f>_xlfn.XLOOKUP($H448,'[1]SIG Level Structure'!$D:$D,'[1]SIG Level Structure'!F:F)</f>
        <v>P2</v>
      </c>
      <c r="K448" s="37" t="str">
        <f>E448&amp;"-"&amp;J448&amp;"-"&amp;G448</f>
        <v>AZE030-P2-10</v>
      </c>
      <c r="L448" s="37" t="str">
        <f>IFERROR(D448&amp;"-"&amp;LEFT(J448,1),"--")</f>
        <v>AZE-P</v>
      </c>
      <c r="M448" s="37" t="str">
        <f>VLOOKUP(L448,'[1]Compatible JC'!$A:$A,1,FALSE)</f>
        <v>AZE-P</v>
      </c>
      <c r="N448" s="37" t="str">
        <f>IFERROR(_xlfn.XLOOKUP(H448,'[1]SIG Level Structure'!D:D,'[1]SIG Level Structure'!C:C),"--")</f>
        <v>Senior Specialist</v>
      </c>
      <c r="O448" s="38" t="str">
        <f>IFERROR(TRIM(N448&amp;" "&amp;C448),"--")</f>
        <v>Senior Specialist Quality Assurance</v>
      </c>
      <c r="P448" s="22" t="str">
        <f>_xlfn.XLOOKUP(E448,'[1]SIG Job Families &amp; Descriptions'!A:A,'[1]SIG Job Families &amp; Descriptions'!G:G)</f>
        <v>Develops and implements methods and procedures for process control, process improvement, testing and inspection to ensure that the products are free of flaws and function as designed. Designs and installs sophisticated testing equipment and performs product testing and analysis to maintain quality levels and minimize defects and failure rates. Analyzes reports and defective products to determine trends and recommend corrective actions. Collaborates with supplier representatives on quality problems, ensures that effective corrective actions are implemented and contributes to supplier quality improvement programs</v>
      </c>
      <c r="Q448" s="39" t="str">
        <f>_xlfn.XLOOKUP(E448,'[1]2022 GI Position Descriptions'!E:E,'[1]2022 GI Position Descriptions'!G:G)</f>
        <v>Develops and implements methods and procedures for process control, process improvement, testing and inspection to ensure that the products are free of flaws and function as designed | Designs and installs sophisticated testing equipment and performs product testing and analysis to maintain quality levels and minimize defects and failure rates | Analyzes reports and defective products to determine trends and recommend corrective actions | Collaborates with supplier representatives on quality problems, ensures that effective corrective actions are implemented and contributes to supplier quality improvement programs</v>
      </c>
      <c r="R448" s="22" t="str">
        <f>IF(LEFT(J448,1)="E","EX",LEFT(J448,1))</f>
        <v>P</v>
      </c>
      <c r="S448" s="22" t="str">
        <f>_xlfn.XLOOKUP($R448,'[1]Career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48" s="22" t="str">
        <f>J448</f>
        <v>P2</v>
      </c>
      <c r="U448" s="40" t="str">
        <f t="shared" si="13"/>
        <v>P2</v>
      </c>
      <c r="V448" s="22" t="str">
        <f>_xlfn.XLOOKUP(T448,'[1]Career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448" s="41" t="str">
        <f>J448&amp;"-"&amp;G448</f>
        <v>P2-10</v>
      </c>
      <c r="X448" s="42" t="str">
        <f>G448</f>
        <v>10</v>
      </c>
      <c r="Y448" s="22" t="str">
        <f>_xlfn.XLOOKUP(W448,'[1]Career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448" s="43" t="str">
        <f>IFERROR(O448&amp;" - "&amp;G448,"--")</f>
        <v>Senior Specialist Quality Assurance - 10</v>
      </c>
      <c r="AA448" s="44" t="str">
        <f>_xlfn.XLOOKUP($H448,'[1]SIG Qualifications Input'!$D:$D,'[1]SIG Qualifications Input'!$H:$H)</f>
        <v>University degree or equivalent and 2-4 years of work experience or equivalent</v>
      </c>
    </row>
    <row r="449" spans="1:27" ht="183" thickBot="1" x14ac:dyDescent="0.2">
      <c r="A449" s="34" t="str">
        <f>_xlfn.XLOOKUP(C449,'[1]SIG Job Families &amp; Descriptions'!F:F,'[1]SIG Job Families &amp; Descriptions'!B:B)</f>
        <v>Quality Management</v>
      </c>
      <c r="B449" s="34" t="str">
        <f>_xlfn.XLOOKUP(C449,'[1]SIG Job Families &amp; Descriptions'!F:F,'[1]SIG Job Families &amp; Descriptions'!D:D)</f>
        <v>Quality Assurance</v>
      </c>
      <c r="C449" s="34" t="s">
        <v>107</v>
      </c>
      <c r="D449" s="30" t="str">
        <f t="shared" si="12"/>
        <v>AZE</v>
      </c>
      <c r="E449" s="31" t="str">
        <f>_xlfn.XLOOKUP(C449,'[1]SIG Job Families &amp; Descriptions'!F:F,'[1]SIG Job Families &amp; Descriptions'!A:A)</f>
        <v>AZE030</v>
      </c>
      <c r="F449" s="32" t="s">
        <v>32</v>
      </c>
      <c r="G449" s="33" t="s">
        <v>37</v>
      </c>
      <c r="H449" s="34" t="str">
        <f>F449&amp;"-"&amp;G449</f>
        <v>Professional-09</v>
      </c>
      <c r="I449" s="35" t="str">
        <f>IF(ISERROR(_xlfn.XLOOKUP(H449,'[1]SIG Level Structure'!D:D,'[1]SIG Level Structure'!D:D)),"0","1")</f>
        <v>1</v>
      </c>
      <c r="J449" s="36" t="str">
        <f>_xlfn.XLOOKUP($H449,'[1]SIG Level Structure'!$D:$D,'[1]SIG Level Structure'!F:F)</f>
        <v>P2</v>
      </c>
      <c r="K449" s="37" t="str">
        <f>E449&amp;"-"&amp;J449&amp;"-"&amp;G449</f>
        <v>AZE030-P2-09</v>
      </c>
      <c r="L449" s="37" t="str">
        <f>IFERROR(D449&amp;"-"&amp;LEFT(J449,1),"--")</f>
        <v>AZE-P</v>
      </c>
      <c r="M449" s="37" t="str">
        <f>VLOOKUP(L449,'[1]Compatible JC'!$A:$A,1,FALSE)</f>
        <v>AZE-P</v>
      </c>
      <c r="N449" s="37" t="str">
        <f>IFERROR(_xlfn.XLOOKUP(H449,'[1]SIG Level Structure'!D:D,'[1]SIG Level Structure'!C:C),"--")</f>
        <v>Senior Specialist</v>
      </c>
      <c r="O449" s="38" t="str">
        <f>IFERROR(TRIM(N449&amp;" "&amp;C449),"--")</f>
        <v>Senior Specialist Quality Assurance</v>
      </c>
      <c r="P449" s="22" t="str">
        <f>_xlfn.XLOOKUP(E449,'[1]SIG Job Families &amp; Descriptions'!A:A,'[1]SIG Job Families &amp; Descriptions'!G:G)</f>
        <v>Develops and implements methods and procedures for process control, process improvement, testing and inspection to ensure that the products are free of flaws and function as designed. Designs and installs sophisticated testing equipment and performs product testing and analysis to maintain quality levels and minimize defects and failure rates. Analyzes reports and defective products to determine trends and recommend corrective actions. Collaborates with supplier representatives on quality problems, ensures that effective corrective actions are implemented and contributes to supplier quality improvement programs</v>
      </c>
      <c r="Q449" s="39" t="str">
        <f>_xlfn.XLOOKUP(E449,'[1]2022 GI Position Descriptions'!E:E,'[1]2022 GI Position Descriptions'!G:G)</f>
        <v>Develops and implements methods and procedures for process control, process improvement, testing and inspection to ensure that the products are free of flaws and function as designed | Designs and installs sophisticated testing equipment and performs product testing and analysis to maintain quality levels and minimize defects and failure rates | Analyzes reports and defective products to determine trends and recommend corrective actions | Collaborates with supplier representatives on quality problems, ensures that effective corrective actions are implemented and contributes to supplier quality improvement programs</v>
      </c>
      <c r="R449" s="22" t="str">
        <f>IF(LEFT(J449,1)="E","EX",LEFT(J449,1))</f>
        <v>P</v>
      </c>
      <c r="S449" s="22" t="str">
        <f>_xlfn.XLOOKUP($R449,'[1]Career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49" s="22" t="str">
        <f>J449</f>
        <v>P2</v>
      </c>
      <c r="U449" s="40" t="str">
        <f t="shared" si="13"/>
        <v>P2</v>
      </c>
      <c r="V449" s="22" t="str">
        <f>_xlfn.XLOOKUP(T449,'[1]Career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449" s="41" t="str">
        <f>J449&amp;"-"&amp;G449</f>
        <v>P2-09</v>
      </c>
      <c r="X449" s="42" t="str">
        <f>G449</f>
        <v>09</v>
      </c>
      <c r="Y449" s="22" t="str">
        <f>_xlfn.XLOOKUP(W449,'[1]Career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449" s="43" t="str">
        <f>IFERROR(O449&amp;" - "&amp;G449,"--")</f>
        <v>Senior Specialist Quality Assurance - 09</v>
      </c>
      <c r="AA449" s="44" t="str">
        <f>_xlfn.XLOOKUP($H449,'[1]SIG Qualifications Input'!$D:$D,'[1]SIG Qualifications Input'!$H:$H)</f>
        <v>University degree or equivalent and 2-4 years of work experience or equivalent</v>
      </c>
    </row>
    <row r="450" spans="1:27" ht="183" thickBot="1" x14ac:dyDescent="0.2">
      <c r="A450" s="34" t="str">
        <f>_xlfn.XLOOKUP(C450,'[1]SIG Job Families &amp; Descriptions'!F:F,'[1]SIG Job Families &amp; Descriptions'!B:B)</f>
        <v>Quality Management</v>
      </c>
      <c r="B450" s="34" t="str">
        <f>_xlfn.XLOOKUP(C450,'[1]SIG Job Families &amp; Descriptions'!F:F,'[1]SIG Job Families &amp; Descriptions'!D:D)</f>
        <v>Quality Assurance</v>
      </c>
      <c r="C450" s="34" t="s">
        <v>107</v>
      </c>
      <c r="D450" s="30" t="str">
        <f t="shared" si="12"/>
        <v>AZE</v>
      </c>
      <c r="E450" s="31" t="str">
        <f>_xlfn.XLOOKUP(C450,'[1]SIG Job Families &amp; Descriptions'!F:F,'[1]SIG Job Families &amp; Descriptions'!A:A)</f>
        <v>AZE030</v>
      </c>
      <c r="F450" s="32" t="s">
        <v>32</v>
      </c>
      <c r="G450" s="33" t="s">
        <v>43</v>
      </c>
      <c r="H450" s="34" t="str">
        <f>F450&amp;"-"&amp;G450</f>
        <v>Professional-08</v>
      </c>
      <c r="I450" s="35" t="str">
        <f>IF(ISERROR(_xlfn.XLOOKUP(H450,'[1]SIG Level Structure'!D:D,'[1]SIG Level Structure'!D:D)),"0","1")</f>
        <v>1</v>
      </c>
      <c r="J450" s="36" t="str">
        <f>_xlfn.XLOOKUP($H450,'[1]SIG Level Structure'!$D:$D,'[1]SIG Level Structure'!F:F)</f>
        <v>P1</v>
      </c>
      <c r="K450" s="37" t="str">
        <f>E450&amp;"-"&amp;J450&amp;"-"&amp;G450</f>
        <v>AZE030-P1-08</v>
      </c>
      <c r="L450" s="37" t="str">
        <f>IFERROR(D450&amp;"-"&amp;LEFT(J450,1),"--")</f>
        <v>AZE-P</v>
      </c>
      <c r="M450" s="37" t="str">
        <f>VLOOKUP(L450,'[1]Compatible JC'!$A:$A,1,FALSE)</f>
        <v>AZE-P</v>
      </c>
      <c r="N450" s="37" t="str">
        <f>IFERROR(_xlfn.XLOOKUP(H450,'[1]SIG Level Structure'!D:D,'[1]SIG Level Structure'!C:C),"--")</f>
        <v>Specialist</v>
      </c>
      <c r="O450" s="38" t="str">
        <f>IFERROR(TRIM(N450&amp;" "&amp;C450),"--")</f>
        <v>Specialist Quality Assurance</v>
      </c>
      <c r="P450" s="22" t="str">
        <f>_xlfn.XLOOKUP(E450,'[1]SIG Job Families &amp; Descriptions'!A:A,'[1]SIG Job Families &amp; Descriptions'!G:G)</f>
        <v>Develops and implements methods and procedures for process control, process improvement, testing and inspection to ensure that the products are free of flaws and function as designed. Designs and installs sophisticated testing equipment and performs product testing and analysis to maintain quality levels and minimize defects and failure rates. Analyzes reports and defective products to determine trends and recommend corrective actions. Collaborates with supplier representatives on quality problems, ensures that effective corrective actions are implemented and contributes to supplier quality improvement programs</v>
      </c>
      <c r="Q450" s="39" t="str">
        <f>_xlfn.XLOOKUP(E450,'[1]2022 GI Position Descriptions'!E:E,'[1]2022 GI Position Descriptions'!G:G)</f>
        <v>Develops and implements methods and procedures for process control, process improvement, testing and inspection to ensure that the products are free of flaws and function as designed | Designs and installs sophisticated testing equipment and performs product testing and analysis to maintain quality levels and minimize defects and failure rates | Analyzes reports and defective products to determine trends and recommend corrective actions | Collaborates with supplier representatives on quality problems, ensures that effective corrective actions are implemented and contributes to supplier quality improvement programs</v>
      </c>
      <c r="R450" s="22" t="str">
        <f>IF(LEFT(J450,1)="E","EX",LEFT(J450,1))</f>
        <v>P</v>
      </c>
      <c r="S450" s="22" t="str">
        <f>_xlfn.XLOOKUP($R450,'[1]Career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50" s="22" t="str">
        <f>J450</f>
        <v>P1</v>
      </c>
      <c r="U450" s="40" t="str">
        <f t="shared" si="13"/>
        <v>P1</v>
      </c>
      <c r="V450" s="22" t="str">
        <f>_xlfn.XLOOKUP(T450,'[1]Career Bands &amp; Levels'!A:A,'[1]Career Bands &amp; Levels'!C:C)</f>
        <v xml:space="preserve">●	Performs routine assignments in the entry level of the Professional Career Band		
●	Typically requires a college or university degree or the equivalent work experience and has conceptual knowledge of fundamental theories, principles and practices 		
●	Has no discretion to vary from established procedures by performing structured work assignments		
●	Uses existing procedures to solve routine or standard problems		
●	Receives instruction, guidance and direction from more senior level roles		</v>
      </c>
      <c r="W450" s="41" t="str">
        <f>J450&amp;"-"&amp;G450</f>
        <v>P1-08</v>
      </c>
      <c r="X450" s="42" t="str">
        <f>G450</f>
        <v>08</v>
      </c>
      <c r="Y450" s="22" t="str">
        <f>_xlfn.XLOOKUP(W450,'[1]Career Bands &amp; Levels'!A:A,'[1]Career Bands &amp; Levels'!C:C,"No Grade Differentiator")</f>
        <v>No Grade Differentiator</v>
      </c>
      <c r="Z450" s="43" t="str">
        <f>IFERROR(O450&amp;" - "&amp;G450,"--")</f>
        <v>Specialist Quality Assurance - 08</v>
      </c>
      <c r="AA450" s="44" t="str">
        <f>_xlfn.XLOOKUP($H450,'[1]SIG Qualifications Input'!$D:$D,'[1]SIG Qualifications Input'!$H:$H)</f>
        <v>University degree or equivalent and 0-1 year of work experience or equivalent</v>
      </c>
    </row>
    <row r="451" spans="1:27" ht="183" thickBot="1" x14ac:dyDescent="0.2">
      <c r="A451" s="34" t="str">
        <f>_xlfn.XLOOKUP(C451,'[1]SIG Job Families &amp; Descriptions'!F:F,'[1]SIG Job Families &amp; Descriptions'!B:B)</f>
        <v>Quality Management</v>
      </c>
      <c r="B451" s="34" t="str">
        <f>_xlfn.XLOOKUP(C451,'[1]SIG Job Families &amp; Descriptions'!F:F,'[1]SIG Job Families &amp; Descriptions'!D:D)</f>
        <v>Quality Assurance</v>
      </c>
      <c r="C451" s="34" t="s">
        <v>107</v>
      </c>
      <c r="D451" s="30" t="str">
        <f t="shared" ref="D451:D514" si="14">LEFT(E451,3)</f>
        <v>AZE</v>
      </c>
      <c r="E451" s="31" t="str">
        <f>_xlfn.XLOOKUP(C451,'[1]SIG Job Families &amp; Descriptions'!F:F,'[1]SIG Job Families &amp; Descriptions'!A:A)</f>
        <v>AZE030</v>
      </c>
      <c r="F451" s="32" t="s">
        <v>32</v>
      </c>
      <c r="G451" s="33" t="s">
        <v>52</v>
      </c>
      <c r="H451" s="34" t="str">
        <f>F451&amp;"-"&amp;G451</f>
        <v>Professional-07</v>
      </c>
      <c r="I451" s="35" t="str">
        <f>IF(ISERROR(_xlfn.XLOOKUP(H451,'[1]SIG Level Structure'!D:D,'[1]SIG Level Structure'!D:D)),"0","1")</f>
        <v>1</v>
      </c>
      <c r="J451" s="36" t="str">
        <f>_xlfn.XLOOKUP($H451,'[1]SIG Level Structure'!$D:$D,'[1]SIG Level Structure'!F:F)</f>
        <v>U3</v>
      </c>
      <c r="K451" s="37" t="str">
        <f>E451&amp;"-"&amp;J451&amp;"-"&amp;G451</f>
        <v>AZE030-U3-07</v>
      </c>
      <c r="L451" s="37" t="str">
        <f>IFERROR(D451&amp;"-"&amp;LEFT(J451,1),"--")</f>
        <v>AZE-U</v>
      </c>
      <c r="M451" s="37" t="e">
        <f>VLOOKUP(L451,'[1]Compatible JC'!$A:$A,1,FALSE)</f>
        <v>#N/A</v>
      </c>
      <c r="N451" s="37" t="str">
        <f>IFERROR(_xlfn.XLOOKUP(H451,'[1]SIG Level Structure'!D:D,'[1]SIG Level Structure'!C:C),"--")</f>
        <v>Assistant / Analyst</v>
      </c>
      <c r="O451" s="38" t="str">
        <f>IFERROR(TRIM(N451&amp;" "&amp;C451),"--")</f>
        <v>Assistant / Analyst Quality Assurance</v>
      </c>
      <c r="P451" s="22" t="str">
        <f>_xlfn.XLOOKUP(E451,'[1]SIG Job Families &amp; Descriptions'!A:A,'[1]SIG Job Families &amp; Descriptions'!G:G)</f>
        <v>Develops and implements methods and procedures for process control, process improvement, testing and inspection to ensure that the products are free of flaws and function as designed. Designs and installs sophisticated testing equipment and performs product testing and analysis to maintain quality levels and minimize defects and failure rates. Analyzes reports and defective products to determine trends and recommend corrective actions. Collaborates with supplier representatives on quality problems, ensures that effective corrective actions are implemented and contributes to supplier quality improvement programs</v>
      </c>
      <c r="Q451" s="39" t="str">
        <f>_xlfn.XLOOKUP(E451,'[1]2022 GI Position Descriptions'!E:E,'[1]2022 GI Position Descriptions'!G:G)</f>
        <v>Develops and implements methods and procedures for process control, process improvement, testing and inspection to ensure that the products are free of flaws and function as designed | Designs and installs sophisticated testing equipment and performs product testing and analysis to maintain quality levels and minimize defects and failure rates | Analyzes reports and defective products to determine trends and recommend corrective actions | Collaborates with supplier representatives on quality problems, ensures that effective corrective actions are implemented and contributes to supplier quality improvement programs</v>
      </c>
      <c r="R451" s="22" t="str">
        <f>IF(LEFT(J451,1)="E","EX",LEFT(J451,1))</f>
        <v>U</v>
      </c>
      <c r="S451" s="22" t="str">
        <f>_xlfn.XLOOKUP($R451,'[1]Career Bands &amp; Levels'!A:A,'[1]Career Bands &amp; Levels'!C:C)</f>
        <v>● Performs clerical/administrative or specialized support tasks in an office, field or retail store/site setting
● May require vocational training or the equivalent experience, but does not require a university degree</v>
      </c>
      <c r="T451" s="22" t="str">
        <f>J451</f>
        <v>U3</v>
      </c>
      <c r="U451" s="40" t="str">
        <f t="shared" ref="U451:U514" si="15">T451</f>
        <v>U3</v>
      </c>
      <c r="V451" s="22" t="str">
        <f>_xlfn.XLOOKUP(T451,'[1]Career Bands &amp; Levels'!A:A,'[1]Career Bands &amp; Levels'!C:C)</f>
        <v xml:space="preserve">●	Has full proficiency gained through job-related training and considerable work experience		
●	Completes work with a limited degree of supervision		
●	Likely to act as an informal resource for colleagues with less experience		
●	Identifies key issues and patterns from partial/conflicting data		
●	Takes a broad perspective to problems and spots new, less obvious solutions		</v>
      </c>
      <c r="W451" s="41" t="str">
        <f>J451&amp;"-"&amp;G451</f>
        <v>U3-07</v>
      </c>
      <c r="X451" s="42" t="str">
        <f>G451</f>
        <v>07</v>
      </c>
      <c r="Y451" s="22" t="str">
        <f>_xlfn.XLOOKUP(W451,'[1]Career Bands &amp; Levels'!A:A,'[1]Career Bands &amp; Levels'!C:C,"No Grade Differentiator")</f>
        <v>No Grade Differentiator</v>
      </c>
      <c r="Z451" s="43" t="str">
        <f>IFERROR(O451&amp;" - "&amp;G451,"--")</f>
        <v>Assistant / Analyst Quality Assurance - 07</v>
      </c>
      <c r="AA451" s="44" t="str">
        <f>_xlfn.XLOOKUP($H451,'[1]SIG Qualifications Input'!$D:$D,'[1]SIG Qualifications Input'!$H:$H)</f>
        <v>Vocational training in e.g. commercial field or equivalent work experience. Up to 5 years of experience, possibly further internal trainings.</v>
      </c>
    </row>
    <row r="452" spans="1:27" ht="183" thickBot="1" x14ac:dyDescent="0.2">
      <c r="A452" s="34" t="str">
        <f>_xlfn.XLOOKUP(C452,'[1]SIG Job Families &amp; Descriptions'!F:F,'[1]SIG Job Families &amp; Descriptions'!B:B)</f>
        <v>Quality Management</v>
      </c>
      <c r="B452" s="34" t="str">
        <f>_xlfn.XLOOKUP(C452,'[1]SIG Job Families &amp; Descriptions'!F:F,'[1]SIG Job Families &amp; Descriptions'!D:D)</f>
        <v>Quality Assurance</v>
      </c>
      <c r="C452" s="34" t="s">
        <v>107</v>
      </c>
      <c r="D452" s="30" t="str">
        <f t="shared" si="14"/>
        <v>AZE</v>
      </c>
      <c r="E452" s="31" t="str">
        <f>_xlfn.XLOOKUP(C452,'[1]SIG Job Families &amp; Descriptions'!F:F,'[1]SIG Job Families &amp; Descriptions'!A:A)</f>
        <v>AZE030</v>
      </c>
      <c r="F452" s="32" t="s">
        <v>32</v>
      </c>
      <c r="G452" s="33" t="s">
        <v>53</v>
      </c>
      <c r="H452" s="34" t="str">
        <f>F452&amp;"-"&amp;G452</f>
        <v>Professional-06</v>
      </c>
      <c r="I452" s="35" t="str">
        <f>IF(ISERROR(_xlfn.XLOOKUP(H452,'[1]SIG Level Structure'!D:D,'[1]SIG Level Structure'!D:D)),"0","1")</f>
        <v>1</v>
      </c>
      <c r="J452" s="36" t="str">
        <f>_xlfn.XLOOKUP($H452,'[1]SIG Level Structure'!$D:$D,'[1]SIG Level Structure'!F:F)</f>
        <v>U2</v>
      </c>
      <c r="K452" s="37" t="str">
        <f>E452&amp;"-"&amp;J452&amp;"-"&amp;G452</f>
        <v>AZE030-U2-06</v>
      </c>
      <c r="L452" s="37" t="str">
        <f>IFERROR(D452&amp;"-"&amp;LEFT(J452,1),"--")</f>
        <v>AZE-U</v>
      </c>
      <c r="M452" s="37" t="e">
        <f>VLOOKUP(L452,'[1]Compatible JC'!$A:$A,1,FALSE)</f>
        <v>#N/A</v>
      </c>
      <c r="N452" s="37" t="str">
        <f>IFERROR(_xlfn.XLOOKUP(H452,'[1]SIG Level Structure'!D:D,'[1]SIG Level Structure'!C:C),"--")</f>
        <v>Assistant / Analyst</v>
      </c>
      <c r="O452" s="38" t="str">
        <f>IFERROR(TRIM(N452&amp;" "&amp;C452),"--")</f>
        <v>Assistant / Analyst Quality Assurance</v>
      </c>
      <c r="P452" s="22" t="str">
        <f>_xlfn.XLOOKUP(E452,'[1]SIG Job Families &amp; Descriptions'!A:A,'[1]SIG Job Families &amp; Descriptions'!G:G)</f>
        <v>Develops and implements methods and procedures for process control, process improvement, testing and inspection to ensure that the products are free of flaws and function as designed. Designs and installs sophisticated testing equipment and performs product testing and analysis to maintain quality levels and minimize defects and failure rates. Analyzes reports and defective products to determine trends and recommend corrective actions. Collaborates with supplier representatives on quality problems, ensures that effective corrective actions are implemented and contributes to supplier quality improvement programs</v>
      </c>
      <c r="Q452" s="39" t="str">
        <f>_xlfn.XLOOKUP(E452,'[1]2022 GI Position Descriptions'!E:E,'[1]2022 GI Position Descriptions'!G:G)</f>
        <v>Develops and implements methods and procedures for process control, process improvement, testing and inspection to ensure that the products are free of flaws and function as designed | Designs and installs sophisticated testing equipment and performs product testing and analysis to maintain quality levels and minimize defects and failure rates | Analyzes reports and defective products to determine trends and recommend corrective actions | Collaborates with supplier representatives on quality problems, ensures that effective corrective actions are implemented and contributes to supplier quality improvement programs</v>
      </c>
      <c r="R452" s="22" t="str">
        <f>IF(LEFT(J452,1)="E","EX",LEFT(J452,1))</f>
        <v>U</v>
      </c>
      <c r="S452" s="22" t="str">
        <f>_xlfn.XLOOKUP($R452,'[1]Career Bands &amp; Levels'!A:A,'[1]Career Bands &amp; Levels'!C:C)</f>
        <v>● Performs clerical/administrative or specialized support tasks in an office, field or retail store/site setting
● May require vocational training or the equivalent experience, but does not require a university degree</v>
      </c>
      <c r="T452" s="22" t="str">
        <f>J452</f>
        <v>U2</v>
      </c>
      <c r="U452" s="40" t="str">
        <f t="shared" si="15"/>
        <v>U2</v>
      </c>
      <c r="V452" s="22" t="str">
        <f>_xlfn.XLOOKUP(T452,'[1]Career Bands &amp; Levels'!A:A,'[1]Career Bands &amp; Levels'!C:C)</f>
        <v xml:space="preserve">●	Has working knowledge and skills developed through formal training or work experience		
●	Works within established procedures with a moderate degree of supervision		
●	Identifies the problem and all relevant issues in straightforward situations, assesses each using standard procedures and makes sound decisions		</v>
      </c>
      <c r="W452" s="41" t="str">
        <f>J452&amp;"-"&amp;G452</f>
        <v>U2-06</v>
      </c>
      <c r="X452" s="42" t="str">
        <f>G452</f>
        <v>06</v>
      </c>
      <c r="Y452" s="22" t="str">
        <f>_xlfn.XLOOKUP(W452,'[1]Career Bands &amp; Levels'!A:A,'[1]Career Bands &amp; Levels'!C:C,"No Grade Differentiator")</f>
        <v xml:space="preserve">●	Has prior relevant training or related work experience		
●	Performs routine tasks following specific instructions or under close supervision		
●	Work is clearly defined and completed according to instruction		</v>
      </c>
      <c r="Z452" s="43" t="str">
        <f>IFERROR(O452&amp;" - "&amp;G452,"--")</f>
        <v>Assistant / Analyst Quality Assurance - 06</v>
      </c>
      <c r="AA452" s="44" t="str">
        <f>_xlfn.XLOOKUP($H452,'[1]SIG Qualifications Input'!$D:$D,'[1]SIG Qualifications Input'!$H:$H)</f>
        <v>Vocational training in e.g. commercial field or equivalent work experience. Up to 5 years of experience, possibly further internal trainings.</v>
      </c>
    </row>
    <row r="453" spans="1:27" ht="183" thickBot="1" x14ac:dyDescent="0.2">
      <c r="A453" s="34" t="str">
        <f>_xlfn.XLOOKUP(C453,'[1]SIG Job Families &amp; Descriptions'!F:F,'[1]SIG Job Families &amp; Descriptions'!B:B)</f>
        <v>Quality Management</v>
      </c>
      <c r="B453" s="34" t="str">
        <f>_xlfn.XLOOKUP(C453,'[1]SIG Job Families &amp; Descriptions'!F:F,'[1]SIG Job Families &amp; Descriptions'!D:D)</f>
        <v>Quality Assurance</v>
      </c>
      <c r="C453" s="34" t="s">
        <v>107</v>
      </c>
      <c r="D453" s="30" t="str">
        <f t="shared" si="14"/>
        <v>AZE</v>
      </c>
      <c r="E453" s="31" t="str">
        <f>_xlfn.XLOOKUP(C453,'[1]SIG Job Families &amp; Descriptions'!F:F,'[1]SIG Job Families &amp; Descriptions'!A:A)</f>
        <v>AZE030</v>
      </c>
      <c r="F453" s="32" t="s">
        <v>32</v>
      </c>
      <c r="G453" s="33" t="s">
        <v>54</v>
      </c>
      <c r="H453" s="34" t="str">
        <f>F453&amp;"-"&amp;G453</f>
        <v>Professional-05</v>
      </c>
      <c r="I453" s="35" t="str">
        <f>IF(ISERROR(_xlfn.XLOOKUP(H453,'[1]SIG Level Structure'!D:D,'[1]SIG Level Structure'!D:D)),"0","1")</f>
        <v>1</v>
      </c>
      <c r="J453" s="36" t="str">
        <f>_xlfn.XLOOKUP($H453,'[1]SIG Level Structure'!$D:$D,'[1]SIG Level Structure'!F:F)</f>
        <v>U2</v>
      </c>
      <c r="K453" s="37" t="str">
        <f>E453&amp;"-"&amp;J453&amp;"-"&amp;G453</f>
        <v>AZE030-U2-05</v>
      </c>
      <c r="L453" s="37" t="str">
        <f>IFERROR(D453&amp;"-"&amp;LEFT(J453,1),"--")</f>
        <v>AZE-U</v>
      </c>
      <c r="M453" s="37" t="e">
        <f>VLOOKUP(L453,'[1]Compatible JC'!$A:$A,1,FALSE)</f>
        <v>#N/A</v>
      </c>
      <c r="N453" s="37" t="str">
        <f>IFERROR(_xlfn.XLOOKUP(H453,'[1]SIG Level Structure'!D:D,'[1]SIG Level Structure'!C:C),"--")</f>
        <v>Assistant / Analyst</v>
      </c>
      <c r="O453" s="38" t="str">
        <f>IFERROR(TRIM(N453&amp;" "&amp;C453),"--")</f>
        <v>Assistant / Analyst Quality Assurance</v>
      </c>
      <c r="P453" s="22" t="str">
        <f>_xlfn.XLOOKUP(E453,'[1]SIG Job Families &amp; Descriptions'!A:A,'[1]SIG Job Families &amp; Descriptions'!G:G)</f>
        <v>Develops and implements methods and procedures for process control, process improvement, testing and inspection to ensure that the products are free of flaws and function as designed. Designs and installs sophisticated testing equipment and performs product testing and analysis to maintain quality levels and minimize defects and failure rates. Analyzes reports and defective products to determine trends and recommend corrective actions. Collaborates with supplier representatives on quality problems, ensures that effective corrective actions are implemented and contributes to supplier quality improvement programs</v>
      </c>
      <c r="Q453" s="39" t="str">
        <f>_xlfn.XLOOKUP(E453,'[1]2022 GI Position Descriptions'!E:E,'[1]2022 GI Position Descriptions'!G:G)</f>
        <v>Develops and implements methods and procedures for process control, process improvement, testing and inspection to ensure that the products are free of flaws and function as designed | Designs and installs sophisticated testing equipment and performs product testing and analysis to maintain quality levels and minimize defects and failure rates | Analyzes reports and defective products to determine trends and recommend corrective actions | Collaborates with supplier representatives on quality problems, ensures that effective corrective actions are implemented and contributes to supplier quality improvement programs</v>
      </c>
      <c r="R453" s="22" t="str">
        <f>IF(LEFT(J453,1)="E","EX",LEFT(J453,1))</f>
        <v>U</v>
      </c>
      <c r="S453" s="22" t="str">
        <f>_xlfn.XLOOKUP($R453,'[1]Career Bands &amp; Levels'!A:A,'[1]Career Bands &amp; Levels'!C:C)</f>
        <v>● Performs clerical/administrative or specialized support tasks in an office, field or retail store/site setting
● May require vocational training or the equivalent experience, but does not require a university degree</v>
      </c>
      <c r="T453" s="22" t="str">
        <f>J453</f>
        <v>U2</v>
      </c>
      <c r="U453" s="40" t="str">
        <f t="shared" si="15"/>
        <v>U2</v>
      </c>
      <c r="V453" s="22" t="str">
        <f>_xlfn.XLOOKUP(T453,'[1]Career Bands &amp; Levels'!A:A,'[1]Career Bands &amp; Levels'!C:C)</f>
        <v xml:space="preserve">●	Has working knowledge and skills developed through formal training or work experience		
●	Works within established procedures with a moderate degree of supervision		
●	Identifies the problem and all relevant issues in straightforward situations, assesses each using standard procedures and makes sound decisions		</v>
      </c>
      <c r="W453" s="41" t="str">
        <f>J453&amp;"-"&amp;G453</f>
        <v>U2-05</v>
      </c>
      <c r="X453" s="42" t="str">
        <f>G453</f>
        <v>05</v>
      </c>
      <c r="Y453" s="22" t="str">
        <f>_xlfn.XLOOKUP(W453,'[1]Career Bands &amp; Levels'!A:A,'[1]Career Bands &amp; Levels'!C:C,"No Grade Differentiator")</f>
        <v xml:space="preserve">●	Has limited prior relevant training or work experience		
●	Has limited discretion to vary from established procedures		</v>
      </c>
      <c r="Z453" s="43" t="str">
        <f>IFERROR(O453&amp;" - "&amp;G453,"--")</f>
        <v>Assistant / Analyst Quality Assurance - 05</v>
      </c>
      <c r="AA453" s="44" t="str">
        <f>_xlfn.XLOOKUP($H453,'[1]SIG Qualifications Input'!$D:$D,'[1]SIG Qualifications Input'!$H:$H)</f>
        <v>Vocational training in e.g. commercial field or equivalent work experience. Up to 5 years of experience, possibly further internal trainings.</v>
      </c>
    </row>
    <row r="454" spans="1:27" ht="183" thickBot="1" x14ac:dyDescent="0.2">
      <c r="A454" s="34" t="str">
        <f>_xlfn.XLOOKUP(C454,'[1]SIG Job Families &amp; Descriptions'!F:F,'[1]SIG Job Families &amp; Descriptions'!B:B)</f>
        <v>Quality Management</v>
      </c>
      <c r="B454" s="34" t="str">
        <f>_xlfn.XLOOKUP(C454,'[1]SIG Job Families &amp; Descriptions'!F:F,'[1]SIG Job Families &amp; Descriptions'!D:D)</f>
        <v>Quality Assurance</v>
      </c>
      <c r="C454" s="34" t="s">
        <v>107</v>
      </c>
      <c r="D454" s="30" t="str">
        <f t="shared" si="14"/>
        <v>AZE</v>
      </c>
      <c r="E454" s="31" t="str">
        <f>_xlfn.XLOOKUP(C454,'[1]SIG Job Families &amp; Descriptions'!F:F,'[1]SIG Job Families &amp; Descriptions'!A:A)</f>
        <v>AZE030</v>
      </c>
      <c r="F454" s="32" t="s">
        <v>50</v>
      </c>
      <c r="G454" s="33" t="s">
        <v>36</v>
      </c>
      <c r="H454" s="34" t="str">
        <f>F454&amp;"-"&amp;G454</f>
        <v>Operations-10</v>
      </c>
      <c r="I454" s="35" t="str">
        <f>IF(ISERROR(_xlfn.XLOOKUP(H454,'[1]SIG Level Structure'!D:D,'[1]SIG Level Structure'!D:D)),"0","1")</f>
        <v>1</v>
      </c>
      <c r="J454" s="36" t="str">
        <f>_xlfn.XLOOKUP($H454,'[1]SIG Level Structure'!$D:$D,'[1]SIG Level Structure'!F:F)</f>
        <v>T4</v>
      </c>
      <c r="K454" s="37" t="str">
        <f>E454&amp;"-"&amp;J454&amp;"-"&amp;G454</f>
        <v>AZE030-T4-10</v>
      </c>
      <c r="L454" s="37" t="str">
        <f>IFERROR(D454&amp;"-"&amp;LEFT(J454,1),"--")</f>
        <v>AZE-T</v>
      </c>
      <c r="M454" s="37" t="e">
        <f>VLOOKUP(L454,'[1]Compatible JC'!$A:$A,1,FALSE)</f>
        <v>#N/A</v>
      </c>
      <c r="N454" s="37" t="str">
        <f>IFERROR(_xlfn.XLOOKUP(H454,'[1]SIG Level Structure'!D:D,'[1]SIG Level Structure'!C:C),"--")</f>
        <v>Senior Technician</v>
      </c>
      <c r="O454" s="38" t="str">
        <f>IFERROR(TRIM(N454&amp;" "&amp;C454),"--")</f>
        <v>Senior Technician Quality Assurance</v>
      </c>
      <c r="P454" s="22" t="str">
        <f>_xlfn.XLOOKUP(E454,'[1]SIG Job Families &amp; Descriptions'!A:A,'[1]SIG Job Families &amp; Descriptions'!G:G)</f>
        <v>Develops and implements methods and procedures for process control, process improvement, testing and inspection to ensure that the products are free of flaws and function as designed. Designs and installs sophisticated testing equipment and performs product testing and analysis to maintain quality levels and minimize defects and failure rates. Analyzes reports and defective products to determine trends and recommend corrective actions. Collaborates with supplier representatives on quality problems, ensures that effective corrective actions are implemented and contributes to supplier quality improvement programs</v>
      </c>
      <c r="Q454" s="39" t="str">
        <f>_xlfn.XLOOKUP(E454,'[1]2022 GI Position Descriptions'!E:E,'[1]2022 GI Position Descriptions'!G:G)</f>
        <v>Develops and implements methods and procedures for process control, process improvement, testing and inspection to ensure that the products are free of flaws and function as designed | Designs and installs sophisticated testing equipment and performs product testing and analysis to maintain quality levels and minimize defects and failure rates | Analyzes reports and defective products to determine trends and recommend corrective actions | Collaborates with supplier representatives on quality problems, ensures that effective corrective actions are implemented and contributes to supplier quality improvement programs</v>
      </c>
      <c r="R454" s="22" t="str">
        <f>IF(LEFT(J454,1)="E","EX",LEFT(J454,1))</f>
        <v>T</v>
      </c>
      <c r="S454" s="22" t="str">
        <f>_xlfn.XLOOKUP($R454,'[1]Career Bands &amp; Levels'!A:A,'[1]Career Bands &amp; Levels'!C:C)</f>
        <v>● Performs specialized technical tasks required to support operations (e.g., IT development, research support, skilled trade)
● Requires vocational training or the equivalent experience and may require external certification but typically does not require a university degree</v>
      </c>
      <c r="T454" s="22" t="str">
        <f>J454</f>
        <v>T4</v>
      </c>
      <c r="U454" s="40" t="str">
        <f t="shared" si="15"/>
        <v>T4</v>
      </c>
      <c r="V454" s="22" t="str">
        <f>_xlfn.XLOOKUP(T454,'[1]Career Bands &amp; Levels'!A:A,'[1]Career Bands &amp; Levels'!C:C)</f>
        <v xml:space="preserve">●	Has advanced and specialized expertise, typically developed through a combination of job-related training and considerable work experience		
●	Proposes improvements to processes		
●	May act as a lead, coordinating and facilitating the work of others but is not a supervisor		
●	Works autonomously within established procedures and practices		
●	Spends a majority of working time performing the same work processes and activities as employees on team		</v>
      </c>
      <c r="W454" s="41" t="str">
        <f>J454&amp;"-"&amp;G454</f>
        <v>T4-10</v>
      </c>
      <c r="X454" s="42" t="str">
        <f>G454</f>
        <v>10</v>
      </c>
      <c r="Y454" s="22" t="str">
        <f>_xlfn.XLOOKUP(W454,'[1]Career Bands &amp; Levels'!A:A,'[1]Career Bands &amp; Levels'!C:C,"No Grade Differentiator")</f>
        <v xml:space="preserve">●	Performs a variety of the most complex tasks and/or may lead one or more teams		
●	Analyzes the most complex technical problems and delivers solutions where precedent may not exist		</v>
      </c>
      <c r="Z454" s="43" t="str">
        <f>IFERROR(O454&amp;" - "&amp;G454,"--")</f>
        <v>Senior Technician Quality Assurance - 10</v>
      </c>
      <c r="AA454" s="44" t="str">
        <f>_xlfn.XLOOKUP($H454,'[1]SIG Qualifications Input'!$D:$D,'[1]SIG Qualifications Input'!$H:$H)</f>
        <v>Typically an Associate’s degree or 2 to 4 years of vocational technical training preferred. HS diploma or equivalent required. Specialized skill training/certification often required to meet specific needs. Deep and specialized practical experience required, often more then 10 years.</v>
      </c>
    </row>
    <row r="455" spans="1:27" ht="183" thickBot="1" x14ac:dyDescent="0.2">
      <c r="A455" s="34" t="str">
        <f>_xlfn.XLOOKUP(C455,'[1]SIG Job Families &amp; Descriptions'!F:F,'[1]SIG Job Families &amp; Descriptions'!B:B)</f>
        <v>Quality Management</v>
      </c>
      <c r="B455" s="34" t="str">
        <f>_xlfn.XLOOKUP(C455,'[1]SIG Job Families &amp; Descriptions'!F:F,'[1]SIG Job Families &amp; Descriptions'!D:D)</f>
        <v>Quality Assurance</v>
      </c>
      <c r="C455" s="34" t="s">
        <v>107</v>
      </c>
      <c r="D455" s="30" t="str">
        <f t="shared" si="14"/>
        <v>AZE</v>
      </c>
      <c r="E455" s="31" t="str">
        <f>_xlfn.XLOOKUP(C455,'[1]SIG Job Families &amp; Descriptions'!F:F,'[1]SIG Job Families &amp; Descriptions'!A:A)</f>
        <v>AZE030</v>
      </c>
      <c r="F455" s="32" t="s">
        <v>50</v>
      </c>
      <c r="G455" s="33" t="s">
        <v>37</v>
      </c>
      <c r="H455" s="34" t="str">
        <f>F455&amp;"-"&amp;G455</f>
        <v>Operations-09</v>
      </c>
      <c r="I455" s="35" t="str">
        <f>IF(ISERROR(_xlfn.XLOOKUP(H455,'[1]SIG Level Structure'!D:D,'[1]SIG Level Structure'!D:D)),"0","1")</f>
        <v>1</v>
      </c>
      <c r="J455" s="36" t="str">
        <f>_xlfn.XLOOKUP($H455,'[1]SIG Level Structure'!$D:$D,'[1]SIG Level Structure'!F:F)</f>
        <v>T4</v>
      </c>
      <c r="K455" s="37" t="str">
        <f>E455&amp;"-"&amp;J455&amp;"-"&amp;G455</f>
        <v>AZE030-T4-09</v>
      </c>
      <c r="L455" s="37" t="str">
        <f>IFERROR(D455&amp;"-"&amp;LEFT(J455,1),"--")</f>
        <v>AZE-T</v>
      </c>
      <c r="M455" s="37" t="e">
        <f>VLOOKUP(L455,'[1]Compatible JC'!$A:$A,1,FALSE)</f>
        <v>#N/A</v>
      </c>
      <c r="N455" s="37" t="str">
        <f>IFERROR(_xlfn.XLOOKUP(H455,'[1]SIG Level Structure'!D:D,'[1]SIG Level Structure'!C:C),"--")</f>
        <v>Technician</v>
      </c>
      <c r="O455" s="38" t="str">
        <f>IFERROR(TRIM(N455&amp;" "&amp;C455),"--")</f>
        <v>Technician Quality Assurance</v>
      </c>
      <c r="P455" s="22" t="str">
        <f>_xlfn.XLOOKUP(E455,'[1]SIG Job Families &amp; Descriptions'!A:A,'[1]SIG Job Families &amp; Descriptions'!G:G)</f>
        <v>Develops and implements methods and procedures for process control, process improvement, testing and inspection to ensure that the products are free of flaws and function as designed. Designs and installs sophisticated testing equipment and performs product testing and analysis to maintain quality levels and minimize defects and failure rates. Analyzes reports and defective products to determine trends and recommend corrective actions. Collaborates with supplier representatives on quality problems, ensures that effective corrective actions are implemented and contributes to supplier quality improvement programs</v>
      </c>
      <c r="Q455" s="39" t="str">
        <f>_xlfn.XLOOKUP(E455,'[1]2022 GI Position Descriptions'!E:E,'[1]2022 GI Position Descriptions'!G:G)</f>
        <v>Develops and implements methods and procedures for process control, process improvement, testing and inspection to ensure that the products are free of flaws and function as designed | Designs and installs sophisticated testing equipment and performs product testing and analysis to maintain quality levels and minimize defects and failure rates | Analyzes reports and defective products to determine trends and recommend corrective actions | Collaborates with supplier representatives on quality problems, ensures that effective corrective actions are implemented and contributes to supplier quality improvement programs</v>
      </c>
      <c r="R455" s="22" t="str">
        <f>IF(LEFT(J455,1)="E","EX",LEFT(J455,1))</f>
        <v>T</v>
      </c>
      <c r="S455" s="22" t="str">
        <f>_xlfn.XLOOKUP($R455,'[1]Career Bands &amp; Levels'!A:A,'[1]Career Bands &amp; Levels'!C:C)</f>
        <v>● Performs specialized technical tasks required to support operations (e.g., IT development, research support, skilled trade)
● Requires vocational training or the equivalent experience and may require external certification but typically does not require a university degree</v>
      </c>
      <c r="T455" s="22" t="str">
        <f>J455</f>
        <v>T4</v>
      </c>
      <c r="U455" s="40" t="str">
        <f t="shared" si="15"/>
        <v>T4</v>
      </c>
      <c r="V455" s="22" t="str">
        <f>_xlfn.XLOOKUP(T455,'[1]Career Bands &amp; Levels'!A:A,'[1]Career Bands &amp; Levels'!C:C)</f>
        <v xml:space="preserve">●	Has advanced and specialized expertise, typically developed through a combination of job-related training and considerable work experience		
●	Proposes improvements to processes		
●	May act as a lead, coordinating and facilitating the work of others but is not a supervisor		
●	Works autonomously within established procedures and practices		
●	Spends a majority of working time performing the same work processes and activities as employees on team		</v>
      </c>
      <c r="W455" s="41" t="str">
        <f>J455&amp;"-"&amp;G455</f>
        <v>T4-09</v>
      </c>
      <c r="X455" s="42" t="str">
        <f>G455</f>
        <v>09</v>
      </c>
      <c r="Y455" s="22" t="str">
        <f>_xlfn.XLOOKUP(W455,'[1]Career Bands &amp; Levels'!A:A,'[1]Career Bands &amp; Levels'!C:C,"No Grade Differentiator")</f>
        <v xml:space="preserve">●	Performs a variety of complex tasks and/or may lead a team in the performance of a variety of tasks that are often routine		
●	Solves complex problems of a recurring nature		</v>
      </c>
      <c r="Z455" s="43" t="str">
        <f>IFERROR(O455&amp;" - "&amp;G455,"--")</f>
        <v>Technician Quality Assurance - 09</v>
      </c>
      <c r="AA455" s="44" t="str">
        <f>_xlfn.XLOOKUP($H455,'[1]SIG Qualifications Input'!$D:$D,'[1]SIG Qualifications Input'!$H:$H)</f>
        <v>Typically an Associate’s degree or 2 to 4 years of vocational technical training preferred. HS diploma or equivalent required. Specialized skill training/certification often required to meet specific needs. Up to 8 years of experience.</v>
      </c>
    </row>
    <row r="456" spans="1:27" ht="183" thickBot="1" x14ac:dyDescent="0.2">
      <c r="A456" s="34" t="str">
        <f>_xlfn.XLOOKUP(C456,'[1]SIG Job Families &amp; Descriptions'!F:F,'[1]SIG Job Families &amp; Descriptions'!B:B)</f>
        <v>Quality Management</v>
      </c>
      <c r="B456" s="34" t="str">
        <f>_xlfn.XLOOKUP(C456,'[1]SIG Job Families &amp; Descriptions'!F:F,'[1]SIG Job Families &amp; Descriptions'!D:D)</f>
        <v>Quality Assurance</v>
      </c>
      <c r="C456" s="34" t="s">
        <v>107</v>
      </c>
      <c r="D456" s="30" t="str">
        <f t="shared" si="14"/>
        <v>AZE</v>
      </c>
      <c r="E456" s="31" t="str">
        <f>_xlfn.XLOOKUP(C456,'[1]SIG Job Families &amp; Descriptions'!F:F,'[1]SIG Job Families &amp; Descriptions'!A:A)</f>
        <v>AZE030</v>
      </c>
      <c r="F456" s="32" t="s">
        <v>51</v>
      </c>
      <c r="G456" s="33" t="s">
        <v>43</v>
      </c>
      <c r="H456" s="34" t="str">
        <f>F456&amp;"-"&amp;G456</f>
        <v>Operations / Technician-08</v>
      </c>
      <c r="I456" s="35" t="str">
        <f>IF(ISERROR(_xlfn.XLOOKUP(H456,'[1]SIG Level Structure'!D:D,'[1]SIG Level Structure'!D:D)),"0","1")</f>
        <v>1</v>
      </c>
      <c r="J456" s="36" t="str">
        <f>_xlfn.XLOOKUP($H456,'[1]SIG Level Structure'!$D:$D,'[1]SIG Level Structure'!F:F)</f>
        <v>T3</v>
      </c>
      <c r="K456" s="37" t="str">
        <f>E456&amp;"-"&amp;J456&amp;"-"&amp;G456</f>
        <v>AZE030-T3-08</v>
      </c>
      <c r="L456" s="37" t="str">
        <f>IFERROR(D456&amp;"-"&amp;LEFT(J456,1),"--")</f>
        <v>AZE-T</v>
      </c>
      <c r="M456" s="37" t="e">
        <f>VLOOKUP(L456,'[1]Compatible JC'!$A:$A,1,FALSE)</f>
        <v>#N/A</v>
      </c>
      <c r="N456" s="37" t="str">
        <f>IFERROR(_xlfn.XLOOKUP(H456,'[1]SIG Level Structure'!D:D,'[1]SIG Level Structure'!C:C),"--")</f>
        <v>Technician</v>
      </c>
      <c r="O456" s="38" t="str">
        <f>IFERROR(TRIM(N456&amp;" "&amp;C456),"--")</f>
        <v>Technician Quality Assurance</v>
      </c>
      <c r="P456" s="22" t="str">
        <f>_xlfn.XLOOKUP(E456,'[1]SIG Job Families &amp; Descriptions'!A:A,'[1]SIG Job Families &amp; Descriptions'!G:G)</f>
        <v>Develops and implements methods and procedures for process control, process improvement, testing and inspection to ensure that the products are free of flaws and function as designed. Designs and installs sophisticated testing equipment and performs product testing and analysis to maintain quality levels and minimize defects and failure rates. Analyzes reports and defective products to determine trends and recommend corrective actions. Collaborates with supplier representatives on quality problems, ensures that effective corrective actions are implemented and contributes to supplier quality improvement programs</v>
      </c>
      <c r="Q456" s="39" t="str">
        <f>_xlfn.XLOOKUP(E456,'[1]2022 GI Position Descriptions'!E:E,'[1]2022 GI Position Descriptions'!G:G)</f>
        <v>Develops and implements methods and procedures for process control, process improvement, testing and inspection to ensure that the products are free of flaws and function as designed | Designs and installs sophisticated testing equipment and performs product testing and analysis to maintain quality levels and minimize defects and failure rates | Analyzes reports and defective products to determine trends and recommend corrective actions | Collaborates with supplier representatives on quality problems, ensures that effective corrective actions are implemented and contributes to supplier quality improvement programs</v>
      </c>
      <c r="R456" s="22" t="str">
        <f>IF(LEFT(J456,1)="E","EX",LEFT(J456,1))</f>
        <v>T</v>
      </c>
      <c r="S456" s="22" t="str">
        <f>_xlfn.XLOOKUP($R456,'[1]Career Bands &amp; Levels'!A:A,'[1]Career Bands &amp; Levels'!C:C)</f>
        <v>● Performs specialized technical tasks required to support operations (e.g., IT development, research support, skilled trade)
● Requires vocational training or the equivalent experience and may require external certification but typically does not require a university degree</v>
      </c>
      <c r="T456" s="22" t="str">
        <f>J456</f>
        <v>T3</v>
      </c>
      <c r="U456" s="40" t="str">
        <f t="shared" si="15"/>
        <v>T3</v>
      </c>
      <c r="V456" s="22" t="str">
        <f>_xlfn.XLOOKUP(T456,'[1]Career Bands &amp; Levels'!A:A,'[1]Career Bands &amp; Levels'!C:C)</f>
        <v xml:space="preserve">●	Has full proficiency in a range of technical processes or procedures (or deep skills in a single area) through job-related training and considerable work experience		
●	Completes a variety of atypical assignments		
●	Works within defined technical processes and procedures or methodologies and may help determine the appropriate approach for new assignments		
●	Works with a limited degree of supervision, with oversight focused only on complex new assignments		
●	Acts as an informal resource for colleagues with less experience		</v>
      </c>
      <c r="W456" s="41" t="str">
        <f>J456&amp;"-"&amp;G456</f>
        <v>T3-08</v>
      </c>
      <c r="X456" s="42" t="str">
        <f>G456</f>
        <v>08</v>
      </c>
      <c r="Y456" s="22" t="str">
        <f>_xlfn.XLOOKUP(W456,'[1]Career Bands &amp; Levels'!A:A,'[1]Career Bands &amp; Levels'!C:C,"No Grade Differentiator")</f>
        <v xml:space="preserve">●	Performs highly complex and varied tasks		
●	Typically has specialized external certification		
●	Guides and supports junior team members; may assist in their formal orientation and training		</v>
      </c>
      <c r="Z456" s="43" t="str">
        <f>IFERROR(O456&amp;" - "&amp;G456,"--")</f>
        <v>Technician Quality Assurance - 08</v>
      </c>
      <c r="AA456" s="44" t="str">
        <f>_xlfn.XLOOKUP($H456,'[1]SIG Qualifications Input'!$D:$D,'[1]SIG Qualifications Input'!$H:$H)</f>
        <v>Typically an Associate’s degree or 2 to 4 years of vocational technical training preferred. HS diploma or equivalent required. Specialized skill training/certification often required to meet specific needs. Up to 8 years of experience.</v>
      </c>
    </row>
    <row r="457" spans="1:27" ht="183" thickBot="1" x14ac:dyDescent="0.2">
      <c r="A457" s="34" t="str">
        <f>_xlfn.XLOOKUP(C457,'[1]SIG Job Families &amp; Descriptions'!F:F,'[1]SIG Job Families &amp; Descriptions'!B:B)</f>
        <v>Quality Management</v>
      </c>
      <c r="B457" s="34" t="str">
        <f>_xlfn.XLOOKUP(C457,'[1]SIG Job Families &amp; Descriptions'!F:F,'[1]SIG Job Families &amp; Descriptions'!D:D)</f>
        <v>Quality Assurance</v>
      </c>
      <c r="C457" s="34" t="s">
        <v>107</v>
      </c>
      <c r="D457" s="30" t="str">
        <f t="shared" si="14"/>
        <v>AZE</v>
      </c>
      <c r="E457" s="31" t="str">
        <f>_xlfn.XLOOKUP(C457,'[1]SIG Job Families &amp; Descriptions'!F:F,'[1]SIG Job Families &amp; Descriptions'!A:A)</f>
        <v>AZE030</v>
      </c>
      <c r="F457" s="32" t="s">
        <v>51</v>
      </c>
      <c r="G457" s="33" t="s">
        <v>52</v>
      </c>
      <c r="H457" s="34" t="str">
        <f>F457&amp;"-"&amp;G457</f>
        <v>Operations / Technician-07</v>
      </c>
      <c r="I457" s="35" t="str">
        <f>IF(ISERROR(_xlfn.XLOOKUP(H457,'[1]SIG Level Structure'!D:D,'[1]SIG Level Structure'!D:D)),"0","1")</f>
        <v>1</v>
      </c>
      <c r="J457" s="36" t="str">
        <f>_xlfn.XLOOKUP($H457,'[1]SIG Level Structure'!$D:$D,'[1]SIG Level Structure'!F:F)</f>
        <v>T3</v>
      </c>
      <c r="K457" s="37" t="str">
        <f>E457&amp;"-"&amp;J457&amp;"-"&amp;G457</f>
        <v>AZE030-T3-07</v>
      </c>
      <c r="L457" s="37" t="str">
        <f>IFERROR(D457&amp;"-"&amp;LEFT(J457,1),"--")</f>
        <v>AZE-T</v>
      </c>
      <c r="M457" s="37" t="e">
        <f>VLOOKUP(L457,'[1]Compatible JC'!$A:$A,1,FALSE)</f>
        <v>#N/A</v>
      </c>
      <c r="N457" s="37" t="str">
        <f>IFERROR(_xlfn.XLOOKUP(H457,'[1]SIG Level Structure'!D:D,'[1]SIG Level Structure'!C:C),"--")</f>
        <v>Technician</v>
      </c>
      <c r="O457" s="38" t="str">
        <f>IFERROR(TRIM(N457&amp;" "&amp;C457),"--")</f>
        <v>Technician Quality Assurance</v>
      </c>
      <c r="P457" s="22" t="str">
        <f>_xlfn.XLOOKUP(E457,'[1]SIG Job Families &amp; Descriptions'!A:A,'[1]SIG Job Families &amp; Descriptions'!G:G)</f>
        <v>Develops and implements methods and procedures for process control, process improvement, testing and inspection to ensure that the products are free of flaws and function as designed. Designs and installs sophisticated testing equipment and performs product testing and analysis to maintain quality levels and minimize defects and failure rates. Analyzes reports and defective products to determine trends and recommend corrective actions. Collaborates with supplier representatives on quality problems, ensures that effective corrective actions are implemented and contributes to supplier quality improvement programs</v>
      </c>
      <c r="Q457" s="39" t="str">
        <f>_xlfn.XLOOKUP(E457,'[1]2022 GI Position Descriptions'!E:E,'[1]2022 GI Position Descriptions'!G:G)</f>
        <v>Develops and implements methods and procedures for process control, process improvement, testing and inspection to ensure that the products are free of flaws and function as designed | Designs and installs sophisticated testing equipment and performs product testing and analysis to maintain quality levels and minimize defects and failure rates | Analyzes reports and defective products to determine trends and recommend corrective actions | Collaborates with supplier representatives on quality problems, ensures that effective corrective actions are implemented and contributes to supplier quality improvement programs</v>
      </c>
      <c r="R457" s="22" t="str">
        <f>IF(LEFT(J457,1)="E","EX",LEFT(J457,1))</f>
        <v>T</v>
      </c>
      <c r="S457" s="22" t="str">
        <f>_xlfn.XLOOKUP($R457,'[1]Career Bands &amp; Levels'!A:A,'[1]Career Bands &amp; Levels'!C:C)</f>
        <v>● Performs specialized technical tasks required to support operations (e.g., IT development, research support, skilled trade)
● Requires vocational training or the equivalent experience and may require external certification but typically does not require a university degree</v>
      </c>
      <c r="T457" s="22" t="str">
        <f>J457</f>
        <v>T3</v>
      </c>
      <c r="U457" s="40" t="str">
        <f t="shared" si="15"/>
        <v>T3</v>
      </c>
      <c r="V457" s="22" t="str">
        <f>_xlfn.XLOOKUP(T457,'[1]Career Bands &amp; Levels'!A:A,'[1]Career Bands &amp; Levels'!C:C)</f>
        <v xml:space="preserve">●	Has full proficiency in a range of technical processes or procedures (or deep skills in a single area) through job-related training and considerable work experience		
●	Completes a variety of atypical assignments		
●	Works within defined technical processes and procedures or methodologies and may help determine the appropriate approach for new assignments		
●	Works with a limited degree of supervision, with oversight focused only on complex new assignments		
●	Acts as an informal resource for colleagues with less experience		</v>
      </c>
      <c r="W457" s="41" t="str">
        <f>J457&amp;"-"&amp;G457</f>
        <v>T3-07</v>
      </c>
      <c r="X457" s="42" t="str">
        <f>G457</f>
        <v>07</v>
      </c>
      <c r="Y457" s="22" t="str">
        <f>_xlfn.XLOOKUP(W457,'[1]Career Bands &amp; Levels'!A:A,'[1]Career Bands &amp; Levels'!C:C,"No Grade Differentiator")</f>
        <v xml:space="preserve">●	Performs moderately complex and varied tasks		
●	May have specialized external certification		
●	Guides junior team members		</v>
      </c>
      <c r="Z457" s="43" t="str">
        <f>IFERROR(O457&amp;" - "&amp;G457,"--")</f>
        <v>Technician Quality Assurance - 07</v>
      </c>
      <c r="AA457" s="44" t="str">
        <f>_xlfn.XLOOKUP($H457,'[1]SIG Qualifications Input'!$D:$D,'[1]SIG Qualifications Input'!$H:$H)</f>
        <v>Typically an Associate’s degree or 2 to 4 years of vocational technical training preferred. HS diploma or equivalent required. Specialized skill training/certification often required to meet specific needs. Up to 8 years of experience.</v>
      </c>
    </row>
    <row r="458" spans="1:27" ht="183" thickBot="1" x14ac:dyDescent="0.2">
      <c r="A458" s="34" t="str">
        <f>_xlfn.XLOOKUP(C458,'[1]SIG Job Families &amp; Descriptions'!F:F,'[1]SIG Job Families &amp; Descriptions'!B:B)</f>
        <v>Quality Management</v>
      </c>
      <c r="B458" s="34" t="str">
        <f>_xlfn.XLOOKUP(C458,'[1]SIG Job Families &amp; Descriptions'!F:F,'[1]SIG Job Families &amp; Descriptions'!D:D)</f>
        <v>Quality Assurance</v>
      </c>
      <c r="C458" s="34" t="s">
        <v>107</v>
      </c>
      <c r="D458" s="30" t="str">
        <f t="shared" si="14"/>
        <v>AZE</v>
      </c>
      <c r="E458" s="31" t="str">
        <f>_xlfn.XLOOKUP(C458,'[1]SIG Job Families &amp; Descriptions'!F:F,'[1]SIG Job Families &amp; Descriptions'!A:A)</f>
        <v>AZE030</v>
      </c>
      <c r="F458" s="32" t="s">
        <v>50</v>
      </c>
      <c r="G458" s="33" t="s">
        <v>53</v>
      </c>
      <c r="H458" s="34" t="str">
        <f>F458&amp;"-"&amp;G458</f>
        <v>Operations-06</v>
      </c>
      <c r="I458" s="35" t="str">
        <f>IF(ISERROR(_xlfn.XLOOKUP(H458,'[1]SIG Level Structure'!D:D,'[1]SIG Level Structure'!D:D)),"0","1")</f>
        <v>1</v>
      </c>
      <c r="J458" s="36" t="str">
        <f>_xlfn.XLOOKUP($H458,'[1]SIG Level Structure'!$D:$D,'[1]SIG Level Structure'!F:F)</f>
        <v>W3</v>
      </c>
      <c r="K458" s="37" t="str">
        <f>E458&amp;"-"&amp;J458&amp;"-"&amp;G458</f>
        <v>AZE030-W3-06</v>
      </c>
      <c r="L458" s="37" t="str">
        <f>IFERROR(D458&amp;"-"&amp;LEFT(J458,1),"--")</f>
        <v>AZE-W</v>
      </c>
      <c r="M458" s="37" t="e">
        <f>VLOOKUP(L458,'[1]Compatible JC'!$A:$A,1,FALSE)</f>
        <v>#N/A</v>
      </c>
      <c r="N458" s="37" t="str">
        <f>IFERROR(_xlfn.XLOOKUP(H458,'[1]SIG Level Structure'!D:D,'[1]SIG Level Structure'!C:C),"--")</f>
        <v>Operator</v>
      </c>
      <c r="O458" s="38" t="str">
        <f>IFERROR(TRIM(N458&amp;" "&amp;C458),"--")</f>
        <v>Operator Quality Assurance</v>
      </c>
      <c r="P458" s="22" t="str">
        <f>_xlfn.XLOOKUP(E458,'[1]SIG Job Families &amp; Descriptions'!A:A,'[1]SIG Job Families &amp; Descriptions'!G:G)</f>
        <v>Develops and implements methods and procedures for process control, process improvement, testing and inspection to ensure that the products are free of flaws and function as designed. Designs and installs sophisticated testing equipment and performs product testing and analysis to maintain quality levels and minimize defects and failure rates. Analyzes reports and defective products to determine trends and recommend corrective actions. Collaborates with supplier representatives on quality problems, ensures that effective corrective actions are implemented and contributes to supplier quality improvement programs</v>
      </c>
      <c r="Q458" s="39" t="str">
        <f>_xlfn.XLOOKUP(E458,'[1]2022 GI Position Descriptions'!E:E,'[1]2022 GI Position Descriptions'!G:G)</f>
        <v>Develops and implements methods and procedures for process control, process improvement, testing and inspection to ensure that the products are free of flaws and function as designed | Designs and installs sophisticated testing equipment and performs product testing and analysis to maintain quality levels and minimize defects and failure rates | Analyzes reports and defective products to determine trends and recommend corrective actions | Collaborates with supplier representatives on quality problems, ensures that effective corrective actions are implemented and contributes to supplier quality improvement programs</v>
      </c>
      <c r="R458" s="22" t="str">
        <f>IF(LEFT(J458,1)="E","EX",LEFT(J458,1))</f>
        <v>W</v>
      </c>
      <c r="S458" s="22" t="str">
        <f>_xlfn.XLOOKUP($R458,'[1]Career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458" s="22" t="str">
        <f>J458</f>
        <v>W3</v>
      </c>
      <c r="U458" s="40" t="str">
        <f t="shared" si="15"/>
        <v>W3</v>
      </c>
      <c r="V458" s="22" t="str">
        <f>_xlfn.XLOOKUP(T458,'[1]Career Bands &amp; Levels'!A:A,'[1]Career Bands &amp; Levels'!C:C)</f>
        <v xml:space="preserve">●	Has proficiency through job-related training and considerable work experience		
●	Completes work with a limited degree of supervision; regularly provides guidance to others with less experience		
●	May act as an informal resource for colleagues with less experience		</v>
      </c>
      <c r="W458" s="41" t="str">
        <f>J458&amp;"-"&amp;G458</f>
        <v>W3-06</v>
      </c>
      <c r="X458" s="42" t="str">
        <f>G458</f>
        <v>06</v>
      </c>
      <c r="Y458" s="22" t="str">
        <f>_xlfn.XLOOKUP(W458,'[1]Career Bands &amp; Levels'!A:A,'[1]Career Bands &amp; Levels'!C:C,"No Grade Differentiator")</f>
        <v>No Grade Differentiator</v>
      </c>
      <c r="Z458" s="43" t="str">
        <f>IFERROR(O458&amp;" - "&amp;G458,"--")</f>
        <v>Operator Quality Assurance - 06</v>
      </c>
      <c r="AA458" s="44" t="str">
        <f>_xlfn.XLOOKUP($H458,'[1]SIG Qualifications Input'!$D:$D,'[1]SIG Qualifications Input'!$H:$H)</f>
        <v>Vocational training in e.g. manual or technical  field or equivalent work experience. 0-4 years of experience</v>
      </c>
    </row>
    <row r="459" spans="1:27" ht="183" thickBot="1" x14ac:dyDescent="0.2">
      <c r="A459" s="34" t="str">
        <f>_xlfn.XLOOKUP(C459,'[1]SIG Job Families &amp; Descriptions'!F:F,'[1]SIG Job Families &amp; Descriptions'!B:B)</f>
        <v>Quality Management</v>
      </c>
      <c r="B459" s="34" t="str">
        <f>_xlfn.XLOOKUP(C459,'[1]SIG Job Families &amp; Descriptions'!F:F,'[1]SIG Job Families &amp; Descriptions'!D:D)</f>
        <v>Quality Assurance</v>
      </c>
      <c r="C459" s="34" t="s">
        <v>107</v>
      </c>
      <c r="D459" s="30" t="str">
        <f t="shared" si="14"/>
        <v>AZE</v>
      </c>
      <c r="E459" s="31" t="str">
        <f>_xlfn.XLOOKUP(C459,'[1]SIG Job Families &amp; Descriptions'!F:F,'[1]SIG Job Families &amp; Descriptions'!A:A)</f>
        <v>AZE030</v>
      </c>
      <c r="F459" s="32" t="s">
        <v>50</v>
      </c>
      <c r="G459" s="33" t="s">
        <v>54</v>
      </c>
      <c r="H459" s="34" t="str">
        <f>F459&amp;"-"&amp;G459</f>
        <v>Operations-05</v>
      </c>
      <c r="I459" s="35" t="str">
        <f>IF(ISERROR(_xlfn.XLOOKUP(H459,'[1]SIG Level Structure'!D:D,'[1]SIG Level Structure'!D:D)),"0","1")</f>
        <v>1</v>
      </c>
      <c r="J459" s="36" t="str">
        <f>_xlfn.XLOOKUP($H459,'[1]SIG Level Structure'!$D:$D,'[1]SIG Level Structure'!F:F)</f>
        <v>W2</v>
      </c>
      <c r="K459" s="37" t="str">
        <f>E459&amp;"-"&amp;J459&amp;"-"&amp;G459</f>
        <v>AZE030-W2-05</v>
      </c>
      <c r="L459" s="37" t="str">
        <f>IFERROR(D459&amp;"-"&amp;LEFT(J459,1),"--")</f>
        <v>AZE-W</v>
      </c>
      <c r="M459" s="37" t="e">
        <f>VLOOKUP(L459,'[1]Compatible JC'!$A:$A,1,FALSE)</f>
        <v>#N/A</v>
      </c>
      <c r="N459" s="37" t="str">
        <f>IFERROR(_xlfn.XLOOKUP(H459,'[1]SIG Level Structure'!D:D,'[1]SIG Level Structure'!C:C),"--")</f>
        <v>Operator</v>
      </c>
      <c r="O459" s="38" t="str">
        <f>IFERROR(TRIM(N459&amp;" "&amp;C459),"--")</f>
        <v>Operator Quality Assurance</v>
      </c>
      <c r="P459" s="22" t="str">
        <f>_xlfn.XLOOKUP(E459,'[1]SIG Job Families &amp; Descriptions'!A:A,'[1]SIG Job Families &amp; Descriptions'!G:G)</f>
        <v>Develops and implements methods and procedures for process control, process improvement, testing and inspection to ensure that the products are free of flaws and function as designed. Designs and installs sophisticated testing equipment and performs product testing and analysis to maintain quality levels and minimize defects and failure rates. Analyzes reports and defective products to determine trends and recommend corrective actions. Collaborates with supplier representatives on quality problems, ensures that effective corrective actions are implemented and contributes to supplier quality improvement programs</v>
      </c>
      <c r="Q459" s="39" t="str">
        <f>_xlfn.XLOOKUP(E459,'[1]2022 GI Position Descriptions'!E:E,'[1]2022 GI Position Descriptions'!G:G)</f>
        <v>Develops and implements methods and procedures for process control, process improvement, testing and inspection to ensure that the products are free of flaws and function as designed | Designs and installs sophisticated testing equipment and performs product testing and analysis to maintain quality levels and minimize defects and failure rates | Analyzes reports and defective products to determine trends and recommend corrective actions | Collaborates with supplier representatives on quality problems, ensures that effective corrective actions are implemented and contributes to supplier quality improvement programs</v>
      </c>
      <c r="R459" s="22" t="str">
        <f>IF(LEFT(J459,1)="E","EX",LEFT(J459,1))</f>
        <v>W</v>
      </c>
      <c r="S459" s="22" t="str">
        <f>_xlfn.XLOOKUP($R459,'[1]Career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459" s="22" t="str">
        <f>J459</f>
        <v>W2</v>
      </c>
      <c r="U459" s="40" t="str">
        <f t="shared" si="15"/>
        <v>W2</v>
      </c>
      <c r="V459" s="22" t="str">
        <f>_xlfn.XLOOKUP(T459,'[1]Career Bands &amp; Levels'!A:A,'[1]Career Bands &amp; Levels'!C:C)</f>
        <v xml:space="preserve">●	Has skills developed through formal training or work experience		
●	Works within established procedures and guidelines with limited ability to modify methods and approach		
●	Completes assigned tasks with a moderate degree of supervision		</v>
      </c>
      <c r="W459" s="41" t="str">
        <f>J459&amp;"-"&amp;G459</f>
        <v>W2-05</v>
      </c>
      <c r="X459" s="42" t="str">
        <f>G459</f>
        <v>05</v>
      </c>
      <c r="Y459" s="22" t="str">
        <f>_xlfn.XLOOKUP(W459,'[1]Career Bands &amp; Levels'!A:A,'[1]Career Bands &amp; Levels'!C:C,"No Grade Differentiator")</f>
        <v xml:space="preserve">●	Performs the full range of established procedures, and will typically be considered skilled through work experience		
●	Resolves routine issues without supervisory approval		</v>
      </c>
      <c r="Z459" s="43" t="str">
        <f>IFERROR(O459&amp;" - "&amp;G459,"--")</f>
        <v>Operator Quality Assurance - 05</v>
      </c>
      <c r="AA459" s="44" t="str">
        <f>_xlfn.XLOOKUP($H459,'[1]SIG Qualifications Input'!$D:$D,'[1]SIG Qualifications Input'!$H:$H)</f>
        <v>Vocational training in e.g. manual or technical  field or equivalent work experience. 0-4 years of experience</v>
      </c>
    </row>
    <row r="460" spans="1:27" ht="183" thickBot="1" x14ac:dyDescent="0.2">
      <c r="A460" s="34" t="str">
        <f>_xlfn.XLOOKUP(C460,'[1]SIG Job Families &amp; Descriptions'!F:F,'[1]SIG Job Families &amp; Descriptions'!B:B)</f>
        <v>Quality Management</v>
      </c>
      <c r="B460" s="34" t="str">
        <f>_xlfn.XLOOKUP(C460,'[1]SIG Job Families &amp; Descriptions'!F:F,'[1]SIG Job Families &amp; Descriptions'!D:D)</f>
        <v>Quality Assurance</v>
      </c>
      <c r="C460" s="34" t="s">
        <v>107</v>
      </c>
      <c r="D460" s="30" t="str">
        <f t="shared" si="14"/>
        <v>AZE</v>
      </c>
      <c r="E460" s="31" t="str">
        <f>_xlfn.XLOOKUP(C460,'[1]SIG Job Families &amp; Descriptions'!F:F,'[1]SIG Job Families &amp; Descriptions'!A:A)</f>
        <v>AZE030</v>
      </c>
      <c r="F460" s="32" t="s">
        <v>50</v>
      </c>
      <c r="G460" s="33" t="s">
        <v>55</v>
      </c>
      <c r="H460" s="34" t="str">
        <f>F460&amp;"-"&amp;G460</f>
        <v>Operations-04</v>
      </c>
      <c r="I460" s="35" t="str">
        <f>IF(ISERROR(_xlfn.XLOOKUP(H460,'[1]SIG Level Structure'!D:D,'[1]SIG Level Structure'!D:D)),"0","1")</f>
        <v>1</v>
      </c>
      <c r="J460" s="36" t="str">
        <f>_xlfn.XLOOKUP($H460,'[1]SIG Level Structure'!$D:$D,'[1]SIG Level Structure'!F:F)</f>
        <v>W2</v>
      </c>
      <c r="K460" s="37" t="str">
        <f>E460&amp;"-"&amp;J460&amp;"-"&amp;G460</f>
        <v>AZE030-W2-04</v>
      </c>
      <c r="L460" s="37" t="str">
        <f>IFERROR(D460&amp;"-"&amp;LEFT(J460,1),"--")</f>
        <v>AZE-W</v>
      </c>
      <c r="M460" s="37" t="e">
        <f>VLOOKUP(L460,'[1]Compatible JC'!$A:$A,1,FALSE)</f>
        <v>#N/A</v>
      </c>
      <c r="N460" s="37" t="str">
        <f>IFERROR(_xlfn.XLOOKUP(H460,'[1]SIG Level Structure'!D:D,'[1]SIG Level Structure'!C:C),"--")</f>
        <v>Operator</v>
      </c>
      <c r="O460" s="38" t="str">
        <f>IFERROR(TRIM(N460&amp;" "&amp;C460),"--")</f>
        <v>Operator Quality Assurance</v>
      </c>
      <c r="P460" s="22" t="str">
        <f>_xlfn.XLOOKUP(E460,'[1]SIG Job Families &amp; Descriptions'!A:A,'[1]SIG Job Families &amp; Descriptions'!G:G)</f>
        <v>Develops and implements methods and procedures for process control, process improvement, testing and inspection to ensure that the products are free of flaws and function as designed. Designs and installs sophisticated testing equipment and performs product testing and analysis to maintain quality levels and minimize defects and failure rates. Analyzes reports and defective products to determine trends and recommend corrective actions. Collaborates with supplier representatives on quality problems, ensures that effective corrective actions are implemented and contributes to supplier quality improvement programs</v>
      </c>
      <c r="Q460" s="39" t="str">
        <f>_xlfn.XLOOKUP(E460,'[1]2022 GI Position Descriptions'!E:E,'[1]2022 GI Position Descriptions'!G:G)</f>
        <v>Develops and implements methods and procedures for process control, process improvement, testing and inspection to ensure that the products are free of flaws and function as designed | Designs and installs sophisticated testing equipment and performs product testing and analysis to maintain quality levels and minimize defects and failure rates | Analyzes reports and defective products to determine trends and recommend corrective actions | Collaborates with supplier representatives on quality problems, ensures that effective corrective actions are implemented and contributes to supplier quality improvement programs</v>
      </c>
      <c r="R460" s="22" t="str">
        <f>IF(LEFT(J460,1)="E","EX",LEFT(J460,1))</f>
        <v>W</v>
      </c>
      <c r="S460" s="22" t="str">
        <f>_xlfn.XLOOKUP($R460,'[1]Career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460" s="22" t="str">
        <f>J460</f>
        <v>W2</v>
      </c>
      <c r="U460" s="40" t="str">
        <f t="shared" si="15"/>
        <v>W2</v>
      </c>
      <c r="V460" s="22" t="str">
        <f>_xlfn.XLOOKUP(T460,'[1]Career Bands &amp; Levels'!A:A,'[1]Career Bands &amp; Levels'!C:C)</f>
        <v xml:space="preserve">●	Has skills developed through formal training or work experience		
●	Works within established procedures and guidelines with limited ability to modify methods and approach		
●	Completes assigned tasks with a moderate degree of supervision		</v>
      </c>
      <c r="W460" s="41" t="str">
        <f>J460&amp;"-"&amp;G460</f>
        <v>W2-04</v>
      </c>
      <c r="X460" s="42" t="str">
        <f>G460</f>
        <v>04</v>
      </c>
      <c r="Y460" s="22" t="str">
        <f>_xlfn.XLOOKUP(W460,'[1]Career Bands &amp; Levels'!A:A,'[1]Career Bands &amp; Levels'!C:C,"No Grade Differentiator")</f>
        <v xml:space="preserve">●	Performs most established procedures and will typically be considered semi-skilled through work experience		
●	Resolves routine issues with senior staff or supervisory guidance and approval		</v>
      </c>
      <c r="Z460" s="43" t="str">
        <f>IFERROR(O460&amp;" - "&amp;G460,"--")</f>
        <v>Operator Quality Assurance - 04</v>
      </c>
      <c r="AA460" s="44" t="str">
        <f>_xlfn.XLOOKUP($H460,'[1]SIG Qualifications Input'!$D:$D,'[1]SIG Qualifications Input'!$H:$H)</f>
        <v>Vocational training in e.g. manual or technical  field or equivalent work experience. 0-4 years of experience</v>
      </c>
    </row>
    <row r="461" spans="1:27" ht="197" thickBot="1" x14ac:dyDescent="0.2">
      <c r="A461" s="34" t="str">
        <f>_xlfn.XLOOKUP(C461,'[1]SIG Job Families &amp; Descriptions'!F:F,'[1]SIG Job Families &amp; Descriptions'!B:B)</f>
        <v>Quality Management</v>
      </c>
      <c r="B461" s="34" t="str">
        <f>_xlfn.XLOOKUP(C461,'[1]SIG Job Families &amp; Descriptions'!F:F,'[1]SIG Job Families &amp; Descriptions'!D:D)</f>
        <v>Quality Control</v>
      </c>
      <c r="C461" s="34" t="s">
        <v>108</v>
      </c>
      <c r="D461" s="30" t="str">
        <f t="shared" si="14"/>
        <v>AZT</v>
      </c>
      <c r="E461" s="31" t="str">
        <f>_xlfn.XLOOKUP(C461,'[1]SIG Job Families &amp; Descriptions'!F:F,'[1]SIG Job Families &amp; Descriptions'!A:A)</f>
        <v>AZT060</v>
      </c>
      <c r="F461" s="32" t="s">
        <v>29</v>
      </c>
      <c r="G461" s="33" t="s">
        <v>30</v>
      </c>
      <c r="H461" s="34" t="str">
        <f>F461&amp;"-"&amp;G461</f>
        <v>Management-15</v>
      </c>
      <c r="I461" s="35" t="str">
        <f>IF(ISERROR(_xlfn.XLOOKUP(H461,'[1]SIG Level Structure'!D:D,'[1]SIG Level Structure'!D:D)),"0","1")</f>
        <v>1</v>
      </c>
      <c r="J461" s="36" t="str">
        <f>_xlfn.XLOOKUP($H461,'[1]SIG Level Structure'!$D:$D,'[1]SIG Level Structure'!F:F)</f>
        <v>M3</v>
      </c>
      <c r="K461" s="37" t="str">
        <f>E461&amp;"-"&amp;J461&amp;"-"&amp;G461</f>
        <v>AZT060-M3-15</v>
      </c>
      <c r="L461" s="37" t="str">
        <f>IFERROR(D461&amp;"-"&amp;LEFT(J461,1),"--")</f>
        <v>AZT-M</v>
      </c>
      <c r="M461" s="37" t="str">
        <f>VLOOKUP(L461,'[1]Compatible JC'!$A:$A,1,FALSE)</f>
        <v>AZT-M</v>
      </c>
      <c r="N461" s="37" t="str">
        <f>IFERROR(_xlfn.XLOOKUP(H461,'[1]SIG Level Structure'!D:D,'[1]SIG Level Structure'!C:C),"--")</f>
        <v>Senior Manager</v>
      </c>
      <c r="O461" s="38" t="str">
        <f>IFERROR(TRIM(N461&amp;" "&amp;C461),"--")</f>
        <v>Senior Manager Quality Control</v>
      </c>
      <c r="P461" s="22" t="str">
        <f>_xlfn.XLOOKUP(E461,'[1]SIG Job Families &amp; Descriptions'!A:A,'[1]SIG Job Families &amp; Descriptions'!G:G)</f>
        <v xml:space="preserve">Provides technical support to the poduction quality and quality engineering (QE) functions. Conducts nondestructive examination (NDE) and quality control (QC) inspections on products, materials, components, parts, etc., at various stages of the production process to ensure compliance with established quality and reliability standards. Captures and analyzes statistical data from processes to either confirm compliance with established standards or identify deviations from standards. Recommends new or enhanced methods, procedures and standards. Develops testing programs throughout the entire product development lifecycle to ensure flawless quality. </v>
      </c>
      <c r="Q461" s="39" t="str">
        <f>_xlfn.XLOOKUP(E461,'[1]2022 GI Position Descriptions'!E:E,'[1]2022 GI Position Descriptions'!G:G)</f>
        <v>Provides technical support to the quality and quality engineering (QE) functions | Conducts nondestructive examination (NDE) and quality control (QC) inspections on products, materials, components, parts, etc., at various stages of the production process to ensure compliance with established quality and reliability standards | Captures and analyzes statistical data from processes to either confirm compliance with established standards or identify deviations from standards | Recommends new or enhanced methods, procedures and standards</v>
      </c>
      <c r="R461" s="22" t="str">
        <f>IF(LEFT(J461,1)="E","EX",LEFT(J461,1))</f>
        <v>M</v>
      </c>
      <c r="S461" s="22" t="str">
        <f>_xlfn.XLOOKUP($R461,'[1]Career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461" s="22" t="str">
        <f>J461</f>
        <v>M3</v>
      </c>
      <c r="U461" s="40" t="str">
        <f t="shared" si="15"/>
        <v>M3</v>
      </c>
      <c r="V461" s="22" t="str">
        <f>_xlfn.XLOOKUP(T461,'[1]Career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461" s="41" t="str">
        <f>J461&amp;"-"&amp;G461</f>
        <v>M3-15</v>
      </c>
      <c r="X461" s="42" t="str">
        <f>G461</f>
        <v>15</v>
      </c>
      <c r="Y461" s="22" t="str">
        <f>_xlfn.XLOOKUP(W461,'[1]Career Bands &amp; Levels'!A:A,'[1]Career Bands &amp; Levels'!C:C,"No Grade Differentiator")</f>
        <v xml:space="preserve">●	Looks beyond existing methodologies and own discipline to define and resolve complex problems
●	Develops plans and delivers results in fast-changing businesses and/or regulatory environments
●	Provides input to functional or departmental strategy		
●	Manages large, potentially diverse teams of managers and/or senior professionals		
		</v>
      </c>
      <c r="Z461" s="43" t="str">
        <f>IFERROR(O461&amp;" - "&amp;G461,"--")</f>
        <v>Senior Manager Quality Control - 15</v>
      </c>
      <c r="AA461" s="44" t="str">
        <f>_xlfn.XLOOKUP($H461,'[1]SIG Qualifications Input'!$D:$D,'[1]SIG Qualifications Input'!$H:$H)</f>
        <v xml:space="preserve">University degree or equivalent and 10+ years of work experience or equivalent
Profound experience in managing performance and results of diverse activities / multiple teams </v>
      </c>
    </row>
    <row r="462" spans="1:27" ht="197" thickBot="1" x14ac:dyDescent="0.2">
      <c r="A462" s="34" t="str">
        <f>_xlfn.XLOOKUP(C462,'[1]SIG Job Families &amp; Descriptions'!F:F,'[1]SIG Job Families &amp; Descriptions'!B:B)</f>
        <v>Quality Management</v>
      </c>
      <c r="B462" s="34" t="str">
        <f>_xlfn.XLOOKUP(C462,'[1]SIG Job Families &amp; Descriptions'!F:F,'[1]SIG Job Families &amp; Descriptions'!D:D)</f>
        <v>Quality Control</v>
      </c>
      <c r="C462" s="34" t="s">
        <v>108</v>
      </c>
      <c r="D462" s="30" t="str">
        <f t="shared" si="14"/>
        <v>AZT</v>
      </c>
      <c r="E462" s="31" t="str">
        <f>_xlfn.XLOOKUP(C462,'[1]SIG Job Families &amp; Descriptions'!F:F,'[1]SIG Job Families &amp; Descriptions'!A:A)</f>
        <v>AZT060</v>
      </c>
      <c r="F462" s="32" t="s">
        <v>29</v>
      </c>
      <c r="G462" s="33" t="s">
        <v>31</v>
      </c>
      <c r="H462" s="34" t="str">
        <f>F462&amp;"-"&amp;G462</f>
        <v>Management-14</v>
      </c>
      <c r="I462" s="35" t="str">
        <f>IF(ISERROR(_xlfn.XLOOKUP(H462,'[1]SIG Level Structure'!D:D,'[1]SIG Level Structure'!D:D)),"0","1")</f>
        <v>1</v>
      </c>
      <c r="J462" s="36" t="str">
        <f>_xlfn.XLOOKUP($H462,'[1]SIG Level Structure'!$D:$D,'[1]SIG Level Structure'!F:F)</f>
        <v>M3</v>
      </c>
      <c r="K462" s="37" t="str">
        <f>E462&amp;"-"&amp;J462&amp;"-"&amp;G462</f>
        <v>AZT060-M3-14</v>
      </c>
      <c r="L462" s="37" t="str">
        <f>IFERROR(D462&amp;"-"&amp;LEFT(J462,1),"--")</f>
        <v>AZT-M</v>
      </c>
      <c r="M462" s="37" t="str">
        <f>VLOOKUP(L462,'[1]Compatible JC'!$A:$A,1,FALSE)</f>
        <v>AZT-M</v>
      </c>
      <c r="N462" s="37" t="str">
        <f>IFERROR(_xlfn.XLOOKUP(H462,'[1]SIG Level Structure'!D:D,'[1]SIG Level Structure'!C:C),"--")</f>
        <v>Senior Manager</v>
      </c>
      <c r="O462" s="38" t="str">
        <f>IFERROR(TRIM(N462&amp;" "&amp;C462),"--")</f>
        <v>Senior Manager Quality Control</v>
      </c>
      <c r="P462" s="22" t="str">
        <f>_xlfn.XLOOKUP(E462,'[1]SIG Job Families &amp; Descriptions'!A:A,'[1]SIG Job Families &amp; Descriptions'!G:G)</f>
        <v xml:space="preserve">Provides technical support to the poduction quality and quality engineering (QE) functions. Conducts nondestructive examination (NDE) and quality control (QC) inspections on products, materials, components, parts, etc., at various stages of the production process to ensure compliance with established quality and reliability standards. Captures and analyzes statistical data from processes to either confirm compliance with established standards or identify deviations from standards. Recommends new or enhanced methods, procedures and standards. Develops testing programs throughout the entire product development lifecycle to ensure flawless quality. </v>
      </c>
      <c r="Q462" s="39" t="str">
        <f>_xlfn.XLOOKUP(E462,'[1]2022 GI Position Descriptions'!E:E,'[1]2022 GI Position Descriptions'!G:G)</f>
        <v>Provides technical support to the quality and quality engineering (QE) functions | Conducts nondestructive examination (NDE) and quality control (QC) inspections on products, materials, components, parts, etc., at various stages of the production process to ensure compliance with established quality and reliability standards | Captures and analyzes statistical data from processes to either confirm compliance with established standards or identify deviations from standards | Recommends new or enhanced methods, procedures and standards</v>
      </c>
      <c r="R462" s="22" t="str">
        <f>IF(LEFT(J462,1)="E","EX",LEFT(J462,1))</f>
        <v>M</v>
      </c>
      <c r="S462" s="22" t="str">
        <f>_xlfn.XLOOKUP($R462,'[1]Career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462" s="22" t="str">
        <f>J462</f>
        <v>M3</v>
      </c>
      <c r="U462" s="40" t="str">
        <f t="shared" si="15"/>
        <v>M3</v>
      </c>
      <c r="V462" s="22" t="str">
        <f>_xlfn.XLOOKUP(T462,'[1]Career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462" s="41" t="str">
        <f>J462&amp;"-"&amp;G462</f>
        <v>M3-14</v>
      </c>
      <c r="X462" s="42" t="str">
        <f>G462</f>
        <v>14</v>
      </c>
      <c r="Y462" s="22" t="str">
        <f>_xlfn.XLOOKUP(W462,'[1]Career Bands &amp; Levels'!A:A,'[1]Career Bands &amp; Levels'!C:C,"No Grade Differentiator")</f>
        <v xml:space="preserve">●	Identifies applications of functional knowledge and existing methodologies to complex problems	
●	Manages large teams of professionals and/or junior managers		
		</v>
      </c>
      <c r="Z462" s="43" t="str">
        <f>IFERROR(O462&amp;" - "&amp;G462,"--")</f>
        <v>Senior Manager Quality Control - 14</v>
      </c>
      <c r="AA462" s="44" t="str">
        <f>_xlfn.XLOOKUP($H462,'[1]SIG Qualifications Input'!$D:$D,'[1]SIG Qualifications Input'!$H:$H)</f>
        <v xml:space="preserve">University degree or equivalent and 10+ years of work experience or equivalent
Profound experience in managing performance and results of diverse activities / multiple teams </v>
      </c>
    </row>
    <row r="463" spans="1:27" ht="197" thickBot="1" x14ac:dyDescent="0.2">
      <c r="A463" s="34" t="str">
        <f>_xlfn.XLOOKUP(C463,'[1]SIG Job Families &amp; Descriptions'!F:F,'[1]SIG Job Families &amp; Descriptions'!B:B)</f>
        <v>Quality Management</v>
      </c>
      <c r="B463" s="34" t="str">
        <f>_xlfn.XLOOKUP(C463,'[1]SIG Job Families &amp; Descriptions'!F:F,'[1]SIG Job Families &amp; Descriptions'!D:D)</f>
        <v>Quality Control</v>
      </c>
      <c r="C463" s="34" t="s">
        <v>108</v>
      </c>
      <c r="D463" s="30" t="str">
        <f t="shared" si="14"/>
        <v>AZT</v>
      </c>
      <c r="E463" s="31" t="str">
        <f>_xlfn.XLOOKUP(C463,'[1]SIG Job Families &amp; Descriptions'!F:F,'[1]SIG Job Families &amp; Descriptions'!A:A)</f>
        <v>AZT060</v>
      </c>
      <c r="F463" s="32" t="s">
        <v>29</v>
      </c>
      <c r="G463" s="33" t="s">
        <v>33</v>
      </c>
      <c r="H463" s="34" t="str">
        <f>F463&amp;"-"&amp;G463</f>
        <v>Management-13</v>
      </c>
      <c r="I463" s="35" t="str">
        <f>IF(ISERROR(_xlfn.XLOOKUP(H463,'[1]SIG Level Structure'!D:D,'[1]SIG Level Structure'!D:D)),"0","1")</f>
        <v>1</v>
      </c>
      <c r="J463" s="36" t="str">
        <f>_xlfn.XLOOKUP($H463,'[1]SIG Level Structure'!$D:$D,'[1]SIG Level Structure'!F:F)</f>
        <v>M2</v>
      </c>
      <c r="K463" s="37" t="str">
        <f>E463&amp;"-"&amp;J463&amp;"-"&amp;G463</f>
        <v>AZT060-M2-13</v>
      </c>
      <c r="L463" s="37" t="str">
        <f>IFERROR(D463&amp;"-"&amp;LEFT(J463,1),"--")</f>
        <v>AZT-M</v>
      </c>
      <c r="M463" s="37" t="str">
        <f>VLOOKUP(L463,'[1]Compatible JC'!$A:$A,1,FALSE)</f>
        <v>AZT-M</v>
      </c>
      <c r="N463" s="37" t="str">
        <f>IFERROR(_xlfn.XLOOKUP(H463,'[1]SIG Level Structure'!D:D,'[1]SIG Level Structure'!C:C),"--")</f>
        <v>Manager</v>
      </c>
      <c r="O463" s="38" t="str">
        <f>IFERROR(TRIM(N463&amp;" "&amp;C463),"--")</f>
        <v>Manager Quality Control</v>
      </c>
      <c r="P463" s="22" t="str">
        <f>_xlfn.XLOOKUP(E463,'[1]SIG Job Families &amp; Descriptions'!A:A,'[1]SIG Job Families &amp; Descriptions'!G:G)</f>
        <v xml:space="preserve">Provides technical support to the poduction quality and quality engineering (QE) functions. Conducts nondestructive examination (NDE) and quality control (QC) inspections on products, materials, components, parts, etc., at various stages of the production process to ensure compliance with established quality and reliability standards. Captures and analyzes statistical data from processes to either confirm compliance with established standards or identify deviations from standards. Recommends new or enhanced methods, procedures and standards. Develops testing programs throughout the entire product development lifecycle to ensure flawless quality. </v>
      </c>
      <c r="Q463" s="39" t="str">
        <f>_xlfn.XLOOKUP(E463,'[1]2022 GI Position Descriptions'!E:E,'[1]2022 GI Position Descriptions'!G:G)</f>
        <v>Provides technical support to the quality and quality engineering (QE) functions | Conducts nondestructive examination (NDE) and quality control (QC) inspections on products, materials, components, parts, etc., at various stages of the production process to ensure compliance with established quality and reliability standards | Captures and analyzes statistical data from processes to either confirm compliance with established standards or identify deviations from standards | Recommends new or enhanced methods, procedures and standards</v>
      </c>
      <c r="R463" s="22" t="str">
        <f>IF(LEFT(J463,1)="E","EX",LEFT(J463,1))</f>
        <v>M</v>
      </c>
      <c r="S463" s="22" t="str">
        <f>_xlfn.XLOOKUP($R463,'[1]Career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463" s="22" t="str">
        <f>J463</f>
        <v>M2</v>
      </c>
      <c r="U463" s="40" t="str">
        <f t="shared" si="15"/>
        <v>M2</v>
      </c>
      <c r="V463" s="22" t="str">
        <f>_xlfn.XLOOKUP(T463,'[1]Career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463" s="41" t="str">
        <f>J463&amp;"-"&amp;G463</f>
        <v>M2-13</v>
      </c>
      <c r="X463" s="42" t="str">
        <f>G463</f>
        <v>13</v>
      </c>
      <c r="Y463" s="22" t="str">
        <f>_xlfn.XLOOKUP(W463,'[1]Career Bands &amp; Levels'!A:A,'[1]Career Bands &amp; Levels'!C:C,"No Grade Differentiator")</f>
        <v>●	Accountable for the budget, performance and results of a medium-sized team or multiple small teams of employees		
●	Exercises full management authority, including performance reviews, pay decisions, recruitment, discipline, termination and other personnel actions		
●	Addresses issues with impact beyond own team based on knowledge of related disciplines</v>
      </c>
      <c r="Z463" s="43" t="str">
        <f>IFERROR(O463&amp;" - "&amp;G463,"--")</f>
        <v>Manager Quality Control - 13</v>
      </c>
      <c r="AA463" s="44" t="str">
        <f>_xlfn.XLOOKUP($H463,'[1]SIG Qualifications Input'!$D:$D,'[1]SIG Qualifications Input'!$H:$H)</f>
        <v>University degree or equivalent and 7-10 years of work experience or equivalent
Experience in managing mixed-level team(s) of professionals and subordinate managers</v>
      </c>
    </row>
    <row r="464" spans="1:27" ht="197" thickBot="1" x14ac:dyDescent="0.2">
      <c r="A464" s="34" t="str">
        <f>_xlfn.XLOOKUP(C464,'[1]SIG Job Families &amp; Descriptions'!F:F,'[1]SIG Job Families &amp; Descriptions'!B:B)</f>
        <v>Quality Management</v>
      </c>
      <c r="B464" s="34" t="str">
        <f>_xlfn.XLOOKUP(C464,'[1]SIG Job Families &amp; Descriptions'!F:F,'[1]SIG Job Families &amp; Descriptions'!D:D)</f>
        <v>Quality Control</v>
      </c>
      <c r="C464" s="34" t="s">
        <v>108</v>
      </c>
      <c r="D464" s="30" t="str">
        <f t="shared" si="14"/>
        <v>AZT</v>
      </c>
      <c r="E464" s="31" t="str">
        <f>_xlfn.XLOOKUP(C464,'[1]SIG Job Families &amp; Descriptions'!F:F,'[1]SIG Job Families &amp; Descriptions'!A:A)</f>
        <v>AZT060</v>
      </c>
      <c r="F464" s="32" t="s">
        <v>29</v>
      </c>
      <c r="G464" s="33" t="s">
        <v>34</v>
      </c>
      <c r="H464" s="34" t="str">
        <f>F464&amp;"-"&amp;G464</f>
        <v>Management-12</v>
      </c>
      <c r="I464" s="35" t="str">
        <f>IF(ISERROR(_xlfn.XLOOKUP(H464,'[1]SIG Level Structure'!D:D,'[1]SIG Level Structure'!D:D)),"0","1")</f>
        <v>1</v>
      </c>
      <c r="J464" s="36" t="str">
        <f>_xlfn.XLOOKUP($H464,'[1]SIG Level Structure'!$D:$D,'[1]SIG Level Structure'!F:F)</f>
        <v>M2</v>
      </c>
      <c r="K464" s="37" t="str">
        <f>E464&amp;"-"&amp;J464&amp;"-"&amp;G464</f>
        <v>AZT060-M2-12</v>
      </c>
      <c r="L464" s="37" t="str">
        <f>IFERROR(D464&amp;"-"&amp;LEFT(J464,1),"--")</f>
        <v>AZT-M</v>
      </c>
      <c r="M464" s="37" t="str">
        <f>VLOOKUP(L464,'[1]Compatible JC'!$A:$A,1,FALSE)</f>
        <v>AZT-M</v>
      </c>
      <c r="N464" s="37" t="str">
        <f>IFERROR(_xlfn.XLOOKUP(H464,'[1]SIG Level Structure'!D:D,'[1]SIG Level Structure'!C:C),"--")</f>
        <v>Manager</v>
      </c>
      <c r="O464" s="38" t="str">
        <f>IFERROR(TRIM(N464&amp;" "&amp;C464),"--")</f>
        <v>Manager Quality Control</v>
      </c>
      <c r="P464" s="22" t="str">
        <f>_xlfn.XLOOKUP(E464,'[1]SIG Job Families &amp; Descriptions'!A:A,'[1]SIG Job Families &amp; Descriptions'!G:G)</f>
        <v xml:space="preserve">Provides technical support to the poduction quality and quality engineering (QE) functions. Conducts nondestructive examination (NDE) and quality control (QC) inspections on products, materials, components, parts, etc., at various stages of the production process to ensure compliance with established quality and reliability standards. Captures and analyzes statistical data from processes to either confirm compliance with established standards or identify deviations from standards. Recommends new or enhanced methods, procedures and standards. Develops testing programs throughout the entire product development lifecycle to ensure flawless quality. </v>
      </c>
      <c r="Q464" s="39" t="str">
        <f>_xlfn.XLOOKUP(E464,'[1]2022 GI Position Descriptions'!E:E,'[1]2022 GI Position Descriptions'!G:G)</f>
        <v>Provides technical support to the quality and quality engineering (QE) functions | Conducts nondestructive examination (NDE) and quality control (QC) inspections on products, materials, components, parts, etc., at various stages of the production process to ensure compliance with established quality and reliability standards | Captures and analyzes statistical data from processes to either confirm compliance with established standards or identify deviations from standards | Recommends new or enhanced methods, procedures and standards</v>
      </c>
      <c r="R464" s="22" t="str">
        <f>IF(LEFT(J464,1)="E","EX",LEFT(J464,1))</f>
        <v>M</v>
      </c>
      <c r="S464" s="22" t="str">
        <f>_xlfn.XLOOKUP($R464,'[1]Career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464" s="22" t="str">
        <f>J464</f>
        <v>M2</v>
      </c>
      <c r="U464" s="40" t="str">
        <f t="shared" si="15"/>
        <v>M2</v>
      </c>
      <c r="V464" s="22" t="str">
        <f>_xlfn.XLOOKUP(T464,'[1]Career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464" s="41" t="str">
        <f>J464&amp;"-"&amp;G464</f>
        <v>M2-12</v>
      </c>
      <c r="X464" s="42" t="str">
        <f>G464</f>
        <v>12</v>
      </c>
      <c r="Y464" s="22" t="str">
        <f>_xlfn.XLOOKUP(W464,'[1]Career Bands &amp; Levels'!A:A,'[1]Career Bands &amp; Levels'!C:C,"No Grade Differentiator")</f>
        <v xml:space="preserve">●	Accountable for results of a small team of employees		
●	Exercises limited management authority; sets employee performance objectives, conducts performance reviews and recommends pay actions		
●	Defines team operating standards and ensures essential procedures are followed based on knowledge of own discipline		</v>
      </c>
      <c r="Z464" s="43" t="str">
        <f>IFERROR(O464&amp;" - "&amp;G464,"--")</f>
        <v>Manager Quality Control - 12</v>
      </c>
      <c r="AA464" s="44" t="str">
        <f>_xlfn.XLOOKUP($H464,'[1]SIG Qualifications Input'!$D:$D,'[1]SIG Qualifications Input'!$H:$H)</f>
        <v>University degree or equivalent and 7-10 years of work experience or equivalent
Experience in managing mixed-level team(s) of professionals and subordinate managers</v>
      </c>
    </row>
    <row r="465" spans="1:27" ht="197" thickBot="1" x14ac:dyDescent="0.2">
      <c r="A465" s="34" t="str">
        <f>_xlfn.XLOOKUP(C465,'[1]SIG Job Families &amp; Descriptions'!F:F,'[1]SIG Job Families &amp; Descriptions'!B:B)</f>
        <v>Quality Management</v>
      </c>
      <c r="B465" s="34" t="str">
        <f>_xlfn.XLOOKUP(C465,'[1]SIG Job Families &amp; Descriptions'!F:F,'[1]SIG Job Families &amp; Descriptions'!D:D)</f>
        <v>Quality Control</v>
      </c>
      <c r="C465" s="34" t="s">
        <v>108</v>
      </c>
      <c r="D465" s="30" t="str">
        <f t="shared" si="14"/>
        <v>AZT</v>
      </c>
      <c r="E465" s="31" t="str">
        <f>_xlfn.XLOOKUP(C465,'[1]SIG Job Families &amp; Descriptions'!F:F,'[1]SIG Job Families &amp; Descriptions'!A:A)</f>
        <v>AZT060</v>
      </c>
      <c r="F465" s="32" t="s">
        <v>29</v>
      </c>
      <c r="G465" s="33" t="s">
        <v>35</v>
      </c>
      <c r="H465" s="34" t="str">
        <f>F465&amp;"-"&amp;G465</f>
        <v>Management-11</v>
      </c>
      <c r="I465" s="35" t="str">
        <f>IF(ISERROR(_xlfn.XLOOKUP(H465,'[1]SIG Level Structure'!D:D,'[1]SIG Level Structure'!D:D)),"0","1")</f>
        <v>1</v>
      </c>
      <c r="J465" s="36" t="str">
        <f>_xlfn.XLOOKUP($H465,'[1]SIG Level Structure'!$D:$D,'[1]SIG Level Structure'!F:F)</f>
        <v>M1</v>
      </c>
      <c r="K465" s="37" t="str">
        <f>E465&amp;"-"&amp;J465&amp;"-"&amp;G465</f>
        <v>AZT060-M1-11</v>
      </c>
      <c r="L465" s="37" t="str">
        <f>IFERROR(D465&amp;"-"&amp;LEFT(J465,1),"--")</f>
        <v>AZT-M</v>
      </c>
      <c r="M465" s="37" t="str">
        <f>VLOOKUP(L465,'[1]Compatible JC'!$A:$A,1,FALSE)</f>
        <v>AZT-M</v>
      </c>
      <c r="N465" s="37" t="str">
        <f>IFERROR(_xlfn.XLOOKUP(H465,'[1]SIG Level Structure'!D:D,'[1]SIG Level Structure'!C:C),"--")</f>
        <v>Supervisor</v>
      </c>
      <c r="O465" s="38" t="str">
        <f>IFERROR(TRIM(N465&amp;" "&amp;C465),"--")</f>
        <v>Supervisor Quality Control</v>
      </c>
      <c r="P465" s="22" t="str">
        <f>_xlfn.XLOOKUP(E465,'[1]SIG Job Families &amp; Descriptions'!A:A,'[1]SIG Job Families &amp; Descriptions'!G:G)</f>
        <v xml:space="preserve">Provides technical support to the poduction quality and quality engineering (QE) functions. Conducts nondestructive examination (NDE) and quality control (QC) inspections on products, materials, components, parts, etc., at various stages of the production process to ensure compliance with established quality and reliability standards. Captures and analyzes statistical data from processes to either confirm compliance with established standards or identify deviations from standards. Recommends new or enhanced methods, procedures and standards. Develops testing programs throughout the entire product development lifecycle to ensure flawless quality. </v>
      </c>
      <c r="Q465" s="39" t="str">
        <f>_xlfn.XLOOKUP(E465,'[1]2022 GI Position Descriptions'!E:E,'[1]2022 GI Position Descriptions'!G:G)</f>
        <v>Provides technical support to the quality and quality engineering (QE) functions | Conducts nondestructive examination (NDE) and quality control (QC) inspections on products, materials, components, parts, etc., at various stages of the production process to ensure compliance with established quality and reliability standards | Captures and analyzes statistical data from processes to either confirm compliance with established standards or identify deviations from standards | Recommends new or enhanced methods, procedures and standards</v>
      </c>
      <c r="R465" s="22" t="str">
        <f>IF(LEFT(J465,1)="E","EX",LEFT(J465,1))</f>
        <v>M</v>
      </c>
      <c r="S465" s="22" t="str">
        <f>_xlfn.XLOOKUP($R465,'[1]Career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465" s="22" t="str">
        <f>J465</f>
        <v>M1</v>
      </c>
      <c r="U465" s="40" t="str">
        <f t="shared" si="15"/>
        <v>M1</v>
      </c>
      <c r="V465" s="22" t="str">
        <f>_xlfn.XLOOKUP(T465,'[1]Career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465" s="41" t="str">
        <f>J465&amp;"-"&amp;G465</f>
        <v>M1-11</v>
      </c>
      <c r="X465" s="42" t="str">
        <f>G465</f>
        <v>11</v>
      </c>
      <c r="Y465" s="22" t="str">
        <f>_xlfn.XLOOKUP(W465,'[1]Career Bands &amp; Levels'!A:A,'[1]Career Bands &amp; Levels'!C:C,"No Grade Differentiator")</f>
        <v xml:space="preserve">●	Accountable for the results of a large and/or moderately complex support or production operations team including subordinate work leaders		
●	Applies acquired expertise to analyze and solve problems without clear precedent		
●	Provides input on resource planning and policy development		
●	Coaches team members on performance, completes employee performance evaluations and recommends pay actions		</v>
      </c>
      <c r="Z465" s="43" t="str">
        <f>IFERROR(O465&amp;" - "&amp;G465,"--")</f>
        <v>Supervisor Quality Control - 11</v>
      </c>
      <c r="AA465" s="44" t="str">
        <f>_xlfn.XLOOKUP($H465,'[1]SIG Qualifications Input'!$D:$D,'[1]SIG Qualifications Input'!$H:$H)</f>
        <v>University degree or equivalent and 5-7 years of work experience or equivalent
Experienced in application of management techniques
Experience in operationally managing a mixed-level team</v>
      </c>
    </row>
    <row r="466" spans="1:27" ht="197" thickBot="1" x14ac:dyDescent="0.2">
      <c r="A466" s="34" t="str">
        <f>_xlfn.XLOOKUP(C466,'[1]SIG Job Families &amp; Descriptions'!F:F,'[1]SIG Job Families &amp; Descriptions'!B:B)</f>
        <v>Quality Management</v>
      </c>
      <c r="B466" s="34" t="str">
        <f>_xlfn.XLOOKUP(C466,'[1]SIG Job Families &amp; Descriptions'!F:F,'[1]SIG Job Families &amp; Descriptions'!D:D)</f>
        <v>Quality Control</v>
      </c>
      <c r="C466" s="34" t="s">
        <v>108</v>
      </c>
      <c r="D466" s="30" t="str">
        <f t="shared" si="14"/>
        <v>AZT</v>
      </c>
      <c r="E466" s="31" t="str">
        <f>_xlfn.XLOOKUP(C466,'[1]SIG Job Families &amp; Descriptions'!F:F,'[1]SIG Job Families &amp; Descriptions'!A:A)</f>
        <v>AZT060</v>
      </c>
      <c r="F466" s="32" t="s">
        <v>29</v>
      </c>
      <c r="G466" s="33" t="s">
        <v>36</v>
      </c>
      <c r="H466" s="34" t="str">
        <f>F466&amp;"-"&amp;G466</f>
        <v>Management-10</v>
      </c>
      <c r="I466" s="35" t="str">
        <f>IF(ISERROR(_xlfn.XLOOKUP(H466,'[1]SIG Level Structure'!D:D,'[1]SIG Level Structure'!D:D)),"0","1")</f>
        <v>1</v>
      </c>
      <c r="J466" s="36" t="str">
        <f>_xlfn.XLOOKUP($H466,'[1]SIG Level Structure'!$D:$D,'[1]SIG Level Structure'!F:F)</f>
        <v>M1</v>
      </c>
      <c r="K466" s="37" t="str">
        <f>E466&amp;"-"&amp;J466&amp;"-"&amp;G466</f>
        <v>AZT060-M1-10</v>
      </c>
      <c r="L466" s="37" t="str">
        <f>IFERROR(D466&amp;"-"&amp;LEFT(J466,1),"--")</f>
        <v>AZT-M</v>
      </c>
      <c r="M466" s="37" t="str">
        <f>VLOOKUP(L466,'[1]Compatible JC'!$A:$A,1,FALSE)</f>
        <v>AZT-M</v>
      </c>
      <c r="N466" s="37" t="str">
        <f>IFERROR(_xlfn.XLOOKUP(H466,'[1]SIG Level Structure'!D:D,'[1]SIG Level Structure'!C:C),"--")</f>
        <v>Supervisor</v>
      </c>
      <c r="O466" s="38" t="str">
        <f>IFERROR(TRIM(N466&amp;" "&amp;C466),"--")</f>
        <v>Supervisor Quality Control</v>
      </c>
      <c r="P466" s="22" t="str">
        <f>_xlfn.XLOOKUP(E466,'[1]SIG Job Families &amp; Descriptions'!A:A,'[1]SIG Job Families &amp; Descriptions'!G:G)</f>
        <v xml:space="preserve">Provides technical support to the poduction quality and quality engineering (QE) functions. Conducts nondestructive examination (NDE) and quality control (QC) inspections on products, materials, components, parts, etc., at various stages of the production process to ensure compliance with established quality and reliability standards. Captures and analyzes statistical data from processes to either confirm compliance with established standards or identify deviations from standards. Recommends new or enhanced methods, procedures and standards. Develops testing programs throughout the entire product development lifecycle to ensure flawless quality. </v>
      </c>
      <c r="Q466" s="39" t="str">
        <f>_xlfn.XLOOKUP(E466,'[1]2022 GI Position Descriptions'!E:E,'[1]2022 GI Position Descriptions'!G:G)</f>
        <v>Provides technical support to the quality and quality engineering (QE) functions | Conducts nondestructive examination (NDE) and quality control (QC) inspections on products, materials, components, parts, etc., at various stages of the production process to ensure compliance with established quality and reliability standards | Captures and analyzes statistical data from processes to either confirm compliance with established standards or identify deviations from standards | Recommends new or enhanced methods, procedures and standards</v>
      </c>
      <c r="R466" s="22" t="str">
        <f>IF(LEFT(J466,1)="E","EX",LEFT(J466,1))</f>
        <v>M</v>
      </c>
      <c r="S466" s="22" t="str">
        <f>_xlfn.XLOOKUP($R466,'[1]Career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466" s="22" t="str">
        <f>J466</f>
        <v>M1</v>
      </c>
      <c r="U466" s="40" t="str">
        <f t="shared" si="15"/>
        <v>M1</v>
      </c>
      <c r="V466" s="22" t="str">
        <f>_xlfn.XLOOKUP(T466,'[1]Career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466" s="41" t="str">
        <f>J466&amp;"-"&amp;G466</f>
        <v>M1-10</v>
      </c>
      <c r="X466" s="42" t="str">
        <f>G466</f>
        <v>10</v>
      </c>
      <c r="Y466" s="22" t="str">
        <f>_xlfn.XLOOKUP(W466,'[1]Career Bands &amp; Levels'!A:A,'[1]Career Bands &amp; Levels'!C:C,"No Grade Differentiator")</f>
        <v xml:space="preserve">●	Accountable for the results of medium-sized routine support or production operations teams		
●	Solves problems based on practice and precedent		
●	Trains team members and provides input to employee performance evaluations		</v>
      </c>
      <c r="Z466" s="43" t="str">
        <f>IFERROR(O466&amp;" - "&amp;G466,"--")</f>
        <v>Supervisor Quality Control - 10</v>
      </c>
      <c r="AA466" s="44" t="str">
        <f>_xlfn.XLOOKUP($H466,'[1]SIG Qualifications Input'!$D:$D,'[1]SIG Qualifications Input'!$H:$H)</f>
        <v>University degree or equivalent and 5-7 years of work experience or equivalent
Experienced in application of management techniques
Experience in operationally managing a mixed-level team</v>
      </c>
    </row>
    <row r="467" spans="1:27" ht="197" thickBot="1" x14ac:dyDescent="0.2">
      <c r="A467" s="34" t="str">
        <f>_xlfn.XLOOKUP(C467,'[1]SIG Job Families &amp; Descriptions'!F:F,'[1]SIG Job Families &amp; Descriptions'!B:B)</f>
        <v>Quality Management</v>
      </c>
      <c r="B467" s="34" t="str">
        <f>_xlfn.XLOOKUP(C467,'[1]SIG Job Families &amp; Descriptions'!F:F,'[1]SIG Job Families &amp; Descriptions'!D:D)</f>
        <v>Quality Control</v>
      </c>
      <c r="C467" s="34" t="s">
        <v>108</v>
      </c>
      <c r="D467" s="30" t="str">
        <f t="shared" si="14"/>
        <v>AZT</v>
      </c>
      <c r="E467" s="31" t="str">
        <f>_xlfn.XLOOKUP(C467,'[1]SIG Job Families &amp; Descriptions'!F:F,'[1]SIG Job Families &amp; Descriptions'!A:A)</f>
        <v>AZT060</v>
      </c>
      <c r="F467" s="32" t="s">
        <v>32</v>
      </c>
      <c r="G467" s="33" t="s">
        <v>34</v>
      </c>
      <c r="H467" s="34" t="str">
        <f>F467&amp;"-"&amp;G467</f>
        <v>Professional-12</v>
      </c>
      <c r="I467" s="35" t="str">
        <f>IF(ISERROR(_xlfn.XLOOKUP(H467,'[1]SIG Level Structure'!D:D,'[1]SIG Level Structure'!D:D)),"0","1")</f>
        <v>1</v>
      </c>
      <c r="J467" s="36" t="str">
        <f>_xlfn.XLOOKUP($H467,'[1]SIG Level Structure'!$D:$D,'[1]SIG Level Structure'!F:F)</f>
        <v>P3</v>
      </c>
      <c r="K467" s="37" t="str">
        <f>E467&amp;"-"&amp;J467&amp;"-"&amp;G467</f>
        <v>AZT060-P3-12</v>
      </c>
      <c r="L467" s="37" t="str">
        <f>IFERROR(D467&amp;"-"&amp;LEFT(J467,1),"--")</f>
        <v>AZT-P</v>
      </c>
      <c r="M467" s="37" t="str">
        <f>VLOOKUP(L467,'[1]Compatible JC'!$A:$A,1,FALSE)</f>
        <v>AZT-P</v>
      </c>
      <c r="N467" s="37" t="str">
        <f>IFERROR(_xlfn.XLOOKUP(H467,'[1]SIG Level Structure'!D:D,'[1]SIG Level Structure'!C:C),"--")</f>
        <v>Expert</v>
      </c>
      <c r="O467" s="38" t="str">
        <f>IFERROR(TRIM(N467&amp;" "&amp;C467),"--")</f>
        <v>Expert Quality Control</v>
      </c>
      <c r="P467" s="22" t="str">
        <f>_xlfn.XLOOKUP(E467,'[1]SIG Job Families &amp; Descriptions'!A:A,'[1]SIG Job Families &amp; Descriptions'!G:G)</f>
        <v xml:space="preserve">Provides technical support to the poduction quality and quality engineering (QE) functions. Conducts nondestructive examination (NDE) and quality control (QC) inspections on products, materials, components, parts, etc., at various stages of the production process to ensure compliance with established quality and reliability standards. Captures and analyzes statistical data from processes to either confirm compliance with established standards or identify deviations from standards. Recommends new or enhanced methods, procedures and standards. Develops testing programs throughout the entire product development lifecycle to ensure flawless quality. </v>
      </c>
      <c r="Q467" s="39" t="str">
        <f>_xlfn.XLOOKUP(E467,'[1]2022 GI Position Descriptions'!E:E,'[1]2022 GI Position Descriptions'!G:G)</f>
        <v>Provides technical support to the quality and quality engineering (QE) functions | Conducts nondestructive examination (NDE) and quality control (QC) inspections on products, materials, components, parts, etc., at various stages of the production process to ensure compliance with established quality and reliability standards | Captures and analyzes statistical data from processes to either confirm compliance with established standards or identify deviations from standards | Recommends new or enhanced methods, procedures and standards</v>
      </c>
      <c r="R467" s="22" t="str">
        <f>IF(LEFT(J467,1)="E","EX",LEFT(J467,1))</f>
        <v>P</v>
      </c>
      <c r="S467" s="22" t="str">
        <f>_xlfn.XLOOKUP($R467,'[1]Career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67" s="22" t="str">
        <f>J467</f>
        <v>P3</v>
      </c>
      <c r="U467" s="40" t="str">
        <f t="shared" si="15"/>
        <v>P3</v>
      </c>
      <c r="V467" s="22" t="str">
        <f>_xlfn.XLOOKUP(T467,'[1]Career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467" s="41" t="str">
        <f>J467&amp;"-"&amp;G467</f>
        <v>P3-12</v>
      </c>
      <c r="X467" s="42" t="str">
        <f>G467</f>
        <v>12</v>
      </c>
      <c r="Y467" s="22" t="str">
        <f>_xlfn.XLOOKUP(W467,'[1]Career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467" s="43" t="str">
        <f>IFERROR(O467&amp;" - "&amp;G467,"--")</f>
        <v>Expert Quality Control - 12</v>
      </c>
      <c r="AA467" s="44" t="str">
        <f>_xlfn.XLOOKUP($H467,'[1]SIG Qualifications Input'!$D:$D,'[1]SIG Qualifications Input'!$H:$H)</f>
        <v>University degree or equivalent and 4-8 years of work experience or equivalent, 
Initial experience in functionally leading (sub-) projects</v>
      </c>
    </row>
    <row r="468" spans="1:27" ht="197" thickBot="1" x14ac:dyDescent="0.2">
      <c r="A468" s="34" t="str">
        <f>_xlfn.XLOOKUP(C468,'[1]SIG Job Families &amp; Descriptions'!F:F,'[1]SIG Job Families &amp; Descriptions'!B:B)</f>
        <v>Quality Management</v>
      </c>
      <c r="B468" s="34" t="str">
        <f>_xlfn.XLOOKUP(C468,'[1]SIG Job Families &amp; Descriptions'!F:F,'[1]SIG Job Families &amp; Descriptions'!D:D)</f>
        <v>Quality Control</v>
      </c>
      <c r="C468" s="34" t="s">
        <v>108</v>
      </c>
      <c r="D468" s="30" t="str">
        <f t="shared" si="14"/>
        <v>AZT</v>
      </c>
      <c r="E468" s="31" t="str">
        <f>_xlfn.XLOOKUP(C468,'[1]SIG Job Families &amp; Descriptions'!F:F,'[1]SIG Job Families &amp; Descriptions'!A:A)</f>
        <v>AZT060</v>
      </c>
      <c r="F468" s="32" t="s">
        <v>32</v>
      </c>
      <c r="G468" s="33" t="s">
        <v>35</v>
      </c>
      <c r="H468" s="34" t="str">
        <f>F468&amp;"-"&amp;G468</f>
        <v>Professional-11</v>
      </c>
      <c r="I468" s="35" t="str">
        <f>IF(ISERROR(_xlfn.XLOOKUP(H468,'[1]SIG Level Structure'!D:D,'[1]SIG Level Structure'!D:D)),"0","1")</f>
        <v>1</v>
      </c>
      <c r="J468" s="36" t="str">
        <f>_xlfn.XLOOKUP($H468,'[1]SIG Level Structure'!$D:$D,'[1]SIG Level Structure'!F:F)</f>
        <v>P3</v>
      </c>
      <c r="K468" s="37" t="str">
        <f>E468&amp;"-"&amp;J468&amp;"-"&amp;G468</f>
        <v>AZT060-P3-11</v>
      </c>
      <c r="L468" s="37" t="str">
        <f>IFERROR(D468&amp;"-"&amp;LEFT(J468,1),"--")</f>
        <v>AZT-P</v>
      </c>
      <c r="M468" s="37" t="str">
        <f>VLOOKUP(L468,'[1]Compatible JC'!$A:$A,1,FALSE)</f>
        <v>AZT-P</v>
      </c>
      <c r="N468" s="37" t="str">
        <f>IFERROR(_xlfn.XLOOKUP(H468,'[1]SIG Level Structure'!D:D,'[1]SIG Level Structure'!C:C),"--")</f>
        <v>Expert</v>
      </c>
      <c r="O468" s="38" t="str">
        <f>IFERROR(TRIM(N468&amp;" "&amp;C468),"--")</f>
        <v>Expert Quality Control</v>
      </c>
      <c r="P468" s="22" t="str">
        <f>_xlfn.XLOOKUP(E468,'[1]SIG Job Families &amp; Descriptions'!A:A,'[1]SIG Job Families &amp; Descriptions'!G:G)</f>
        <v xml:space="preserve">Provides technical support to the poduction quality and quality engineering (QE) functions. Conducts nondestructive examination (NDE) and quality control (QC) inspections on products, materials, components, parts, etc., at various stages of the production process to ensure compliance with established quality and reliability standards. Captures and analyzes statistical data from processes to either confirm compliance with established standards or identify deviations from standards. Recommends new or enhanced methods, procedures and standards. Develops testing programs throughout the entire product development lifecycle to ensure flawless quality. </v>
      </c>
      <c r="Q468" s="39" t="str">
        <f>_xlfn.XLOOKUP(E468,'[1]2022 GI Position Descriptions'!E:E,'[1]2022 GI Position Descriptions'!G:G)</f>
        <v>Provides technical support to the quality and quality engineering (QE) functions | Conducts nondestructive examination (NDE) and quality control (QC) inspections on products, materials, components, parts, etc., at various stages of the production process to ensure compliance with established quality and reliability standards | Captures and analyzes statistical data from processes to either confirm compliance with established standards or identify deviations from standards | Recommends new or enhanced methods, procedures and standards</v>
      </c>
      <c r="R468" s="22" t="str">
        <f>IF(LEFT(J468,1)="E","EX",LEFT(J468,1))</f>
        <v>P</v>
      </c>
      <c r="S468" s="22" t="str">
        <f>_xlfn.XLOOKUP($R468,'[1]Career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68" s="22" t="str">
        <f>J468</f>
        <v>P3</v>
      </c>
      <c r="U468" s="40" t="str">
        <f t="shared" si="15"/>
        <v>P3</v>
      </c>
      <c r="V468" s="22" t="str">
        <f>_xlfn.XLOOKUP(T468,'[1]Career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468" s="41" t="str">
        <f>J468&amp;"-"&amp;G468</f>
        <v>P3-11</v>
      </c>
      <c r="X468" s="42" t="str">
        <f>G468</f>
        <v>11</v>
      </c>
      <c r="Y468" s="22" t="str">
        <f>_xlfn.XLOOKUP(W468,'[1]Career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468" s="43" t="str">
        <f>IFERROR(O468&amp;" - "&amp;G468,"--")</f>
        <v>Expert Quality Control - 11</v>
      </c>
      <c r="AA468" s="44" t="str">
        <f>_xlfn.XLOOKUP($H468,'[1]SIG Qualifications Input'!$D:$D,'[1]SIG Qualifications Input'!$H:$H)</f>
        <v>University degree or equivalent and 4-8 years of work experience or equivalent, 
Initial experience in functionally leading (sub-) projects</v>
      </c>
    </row>
    <row r="469" spans="1:27" ht="197" thickBot="1" x14ac:dyDescent="0.2">
      <c r="A469" s="34" t="str">
        <f>_xlfn.XLOOKUP(C469,'[1]SIG Job Families &amp; Descriptions'!F:F,'[1]SIG Job Families &amp; Descriptions'!B:B)</f>
        <v>Quality Management</v>
      </c>
      <c r="B469" s="34" t="str">
        <f>_xlfn.XLOOKUP(C469,'[1]SIG Job Families &amp; Descriptions'!F:F,'[1]SIG Job Families &amp; Descriptions'!D:D)</f>
        <v>Quality Control</v>
      </c>
      <c r="C469" s="34" t="s">
        <v>108</v>
      </c>
      <c r="D469" s="30" t="str">
        <f t="shared" si="14"/>
        <v>AZT</v>
      </c>
      <c r="E469" s="31" t="str">
        <f>_xlfn.XLOOKUP(C469,'[1]SIG Job Families &amp; Descriptions'!F:F,'[1]SIG Job Families &amp; Descriptions'!A:A)</f>
        <v>AZT060</v>
      </c>
      <c r="F469" s="32" t="s">
        <v>32</v>
      </c>
      <c r="G469" s="33" t="s">
        <v>36</v>
      </c>
      <c r="H469" s="34" t="str">
        <f>F469&amp;"-"&amp;G469</f>
        <v>Professional-10</v>
      </c>
      <c r="I469" s="35" t="str">
        <f>IF(ISERROR(_xlfn.XLOOKUP(H469,'[1]SIG Level Structure'!D:D,'[1]SIG Level Structure'!D:D)),"0","1")</f>
        <v>1</v>
      </c>
      <c r="J469" s="36" t="str">
        <f>_xlfn.XLOOKUP($H469,'[1]SIG Level Structure'!$D:$D,'[1]SIG Level Structure'!F:F)</f>
        <v>P2</v>
      </c>
      <c r="K469" s="37" t="str">
        <f>E469&amp;"-"&amp;J469&amp;"-"&amp;G469</f>
        <v>AZT060-P2-10</v>
      </c>
      <c r="L469" s="37" t="str">
        <f>IFERROR(D469&amp;"-"&amp;LEFT(J469,1),"--")</f>
        <v>AZT-P</v>
      </c>
      <c r="M469" s="37" t="str">
        <f>VLOOKUP(L469,'[1]Compatible JC'!$A:$A,1,FALSE)</f>
        <v>AZT-P</v>
      </c>
      <c r="N469" s="37" t="str">
        <f>IFERROR(_xlfn.XLOOKUP(H469,'[1]SIG Level Structure'!D:D,'[1]SIG Level Structure'!C:C),"--")</f>
        <v>Senior Specialist</v>
      </c>
      <c r="O469" s="38" t="str">
        <f>IFERROR(TRIM(N469&amp;" "&amp;C469),"--")</f>
        <v>Senior Specialist Quality Control</v>
      </c>
      <c r="P469" s="22" t="str">
        <f>_xlfn.XLOOKUP(E469,'[1]SIG Job Families &amp; Descriptions'!A:A,'[1]SIG Job Families &amp; Descriptions'!G:G)</f>
        <v xml:space="preserve">Provides technical support to the poduction quality and quality engineering (QE) functions. Conducts nondestructive examination (NDE) and quality control (QC) inspections on products, materials, components, parts, etc., at various stages of the production process to ensure compliance with established quality and reliability standards. Captures and analyzes statistical data from processes to either confirm compliance with established standards or identify deviations from standards. Recommends new or enhanced methods, procedures and standards. Develops testing programs throughout the entire product development lifecycle to ensure flawless quality. </v>
      </c>
      <c r="Q469" s="39" t="str">
        <f>_xlfn.XLOOKUP(E469,'[1]2022 GI Position Descriptions'!E:E,'[1]2022 GI Position Descriptions'!G:G)</f>
        <v>Provides technical support to the quality and quality engineering (QE) functions | Conducts nondestructive examination (NDE) and quality control (QC) inspections on products, materials, components, parts, etc., at various stages of the production process to ensure compliance with established quality and reliability standards | Captures and analyzes statistical data from processes to either confirm compliance with established standards or identify deviations from standards | Recommends new or enhanced methods, procedures and standards</v>
      </c>
      <c r="R469" s="22" t="str">
        <f>IF(LEFT(J469,1)="E","EX",LEFT(J469,1))</f>
        <v>P</v>
      </c>
      <c r="S469" s="22" t="str">
        <f>_xlfn.XLOOKUP($R469,'[1]Career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69" s="22" t="str">
        <f>J469</f>
        <v>P2</v>
      </c>
      <c r="U469" s="40" t="str">
        <f t="shared" si="15"/>
        <v>P2</v>
      </c>
      <c r="V469" s="22" t="str">
        <f>_xlfn.XLOOKUP(T469,'[1]Career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469" s="41" t="str">
        <f>J469&amp;"-"&amp;G469</f>
        <v>P2-10</v>
      </c>
      <c r="X469" s="42" t="str">
        <f>G469</f>
        <v>10</v>
      </c>
      <c r="Y469" s="22" t="str">
        <f>_xlfn.XLOOKUP(W469,'[1]Career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469" s="43" t="str">
        <f>IFERROR(O469&amp;" - "&amp;G469,"--")</f>
        <v>Senior Specialist Quality Control - 10</v>
      </c>
      <c r="AA469" s="44" t="str">
        <f>_xlfn.XLOOKUP($H469,'[1]SIG Qualifications Input'!$D:$D,'[1]SIG Qualifications Input'!$H:$H)</f>
        <v>University degree or equivalent and 2-4 years of work experience or equivalent</v>
      </c>
    </row>
    <row r="470" spans="1:27" ht="197" thickBot="1" x14ac:dyDescent="0.2">
      <c r="A470" s="34" t="str">
        <f>_xlfn.XLOOKUP(C470,'[1]SIG Job Families &amp; Descriptions'!F:F,'[1]SIG Job Families &amp; Descriptions'!B:B)</f>
        <v>Quality Management</v>
      </c>
      <c r="B470" s="34" t="str">
        <f>_xlfn.XLOOKUP(C470,'[1]SIG Job Families &amp; Descriptions'!F:F,'[1]SIG Job Families &amp; Descriptions'!D:D)</f>
        <v>Quality Control</v>
      </c>
      <c r="C470" s="34" t="s">
        <v>108</v>
      </c>
      <c r="D470" s="30" t="str">
        <f t="shared" si="14"/>
        <v>AZT</v>
      </c>
      <c r="E470" s="31" t="str">
        <f>_xlfn.XLOOKUP(C470,'[1]SIG Job Families &amp; Descriptions'!F:F,'[1]SIG Job Families &amp; Descriptions'!A:A)</f>
        <v>AZT060</v>
      </c>
      <c r="F470" s="32" t="s">
        <v>32</v>
      </c>
      <c r="G470" s="33" t="s">
        <v>37</v>
      </c>
      <c r="H470" s="34" t="str">
        <f>F470&amp;"-"&amp;G470</f>
        <v>Professional-09</v>
      </c>
      <c r="I470" s="35" t="str">
        <f>IF(ISERROR(_xlfn.XLOOKUP(H470,'[1]SIG Level Structure'!D:D,'[1]SIG Level Structure'!D:D)),"0","1")</f>
        <v>1</v>
      </c>
      <c r="J470" s="36" t="str">
        <f>_xlfn.XLOOKUP($H470,'[1]SIG Level Structure'!$D:$D,'[1]SIG Level Structure'!F:F)</f>
        <v>P2</v>
      </c>
      <c r="K470" s="37" t="str">
        <f>E470&amp;"-"&amp;J470&amp;"-"&amp;G470</f>
        <v>AZT060-P2-09</v>
      </c>
      <c r="L470" s="37" t="str">
        <f>IFERROR(D470&amp;"-"&amp;LEFT(J470,1),"--")</f>
        <v>AZT-P</v>
      </c>
      <c r="M470" s="37" t="str">
        <f>VLOOKUP(L470,'[1]Compatible JC'!$A:$A,1,FALSE)</f>
        <v>AZT-P</v>
      </c>
      <c r="N470" s="37" t="str">
        <f>IFERROR(_xlfn.XLOOKUP(H470,'[1]SIG Level Structure'!D:D,'[1]SIG Level Structure'!C:C),"--")</f>
        <v>Senior Specialist</v>
      </c>
      <c r="O470" s="38" t="str">
        <f>IFERROR(TRIM(N470&amp;" "&amp;C470),"--")</f>
        <v>Senior Specialist Quality Control</v>
      </c>
      <c r="P470" s="22" t="str">
        <f>_xlfn.XLOOKUP(E470,'[1]SIG Job Families &amp; Descriptions'!A:A,'[1]SIG Job Families &amp; Descriptions'!G:G)</f>
        <v xml:space="preserve">Provides technical support to the poduction quality and quality engineering (QE) functions. Conducts nondestructive examination (NDE) and quality control (QC) inspections on products, materials, components, parts, etc., at various stages of the production process to ensure compliance with established quality and reliability standards. Captures and analyzes statistical data from processes to either confirm compliance with established standards or identify deviations from standards. Recommends new or enhanced methods, procedures and standards. Develops testing programs throughout the entire product development lifecycle to ensure flawless quality. </v>
      </c>
      <c r="Q470" s="39" t="str">
        <f>_xlfn.XLOOKUP(E470,'[1]2022 GI Position Descriptions'!E:E,'[1]2022 GI Position Descriptions'!G:G)</f>
        <v>Provides technical support to the quality and quality engineering (QE) functions | Conducts nondestructive examination (NDE) and quality control (QC) inspections on products, materials, components, parts, etc., at various stages of the production process to ensure compliance with established quality and reliability standards | Captures and analyzes statistical data from processes to either confirm compliance with established standards or identify deviations from standards | Recommends new or enhanced methods, procedures and standards</v>
      </c>
      <c r="R470" s="22" t="str">
        <f>IF(LEFT(J470,1)="E","EX",LEFT(J470,1))</f>
        <v>P</v>
      </c>
      <c r="S470" s="22" t="str">
        <f>_xlfn.XLOOKUP($R470,'[1]Career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70" s="22" t="str">
        <f>J470</f>
        <v>P2</v>
      </c>
      <c r="U470" s="40" t="str">
        <f t="shared" si="15"/>
        <v>P2</v>
      </c>
      <c r="V470" s="22" t="str">
        <f>_xlfn.XLOOKUP(T470,'[1]Career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470" s="41" t="str">
        <f>J470&amp;"-"&amp;G470</f>
        <v>P2-09</v>
      </c>
      <c r="X470" s="42" t="str">
        <f>G470</f>
        <v>09</v>
      </c>
      <c r="Y470" s="22" t="str">
        <f>_xlfn.XLOOKUP(W470,'[1]Career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470" s="43" t="str">
        <f>IFERROR(O470&amp;" - "&amp;G470,"--")</f>
        <v>Senior Specialist Quality Control - 09</v>
      </c>
      <c r="AA470" s="44" t="str">
        <f>_xlfn.XLOOKUP($H470,'[1]SIG Qualifications Input'!$D:$D,'[1]SIG Qualifications Input'!$H:$H)</f>
        <v>University degree or equivalent and 2-4 years of work experience or equivalent</v>
      </c>
    </row>
    <row r="471" spans="1:27" ht="197" thickBot="1" x14ac:dyDescent="0.2">
      <c r="A471" s="34" t="str">
        <f>_xlfn.XLOOKUP(C471,'[1]SIG Job Families &amp; Descriptions'!F:F,'[1]SIG Job Families &amp; Descriptions'!B:B)</f>
        <v>Quality Management</v>
      </c>
      <c r="B471" s="34" t="str">
        <f>_xlfn.XLOOKUP(C471,'[1]SIG Job Families &amp; Descriptions'!F:F,'[1]SIG Job Families &amp; Descriptions'!D:D)</f>
        <v>Quality Control</v>
      </c>
      <c r="C471" s="34" t="s">
        <v>108</v>
      </c>
      <c r="D471" s="30" t="str">
        <f t="shared" si="14"/>
        <v>AZT</v>
      </c>
      <c r="E471" s="31" t="str">
        <f>_xlfn.XLOOKUP(C471,'[1]SIG Job Families &amp; Descriptions'!F:F,'[1]SIG Job Families &amp; Descriptions'!A:A)</f>
        <v>AZT060</v>
      </c>
      <c r="F471" s="32" t="s">
        <v>50</v>
      </c>
      <c r="G471" s="33" t="s">
        <v>53</v>
      </c>
      <c r="H471" s="34" t="str">
        <f>F471&amp;"-"&amp;G471</f>
        <v>Operations-06</v>
      </c>
      <c r="I471" s="35" t="str">
        <f>IF(ISERROR(_xlfn.XLOOKUP(H471,'[1]SIG Level Structure'!D:D,'[1]SIG Level Structure'!D:D)),"0","1")</f>
        <v>1</v>
      </c>
      <c r="J471" s="36" t="str">
        <f>_xlfn.XLOOKUP($H471,'[1]SIG Level Structure'!$D:$D,'[1]SIG Level Structure'!F:F)</f>
        <v>W3</v>
      </c>
      <c r="K471" s="37" t="str">
        <f>E471&amp;"-"&amp;J471&amp;"-"&amp;G471</f>
        <v>AZT060-W3-06</v>
      </c>
      <c r="L471" s="37" t="str">
        <f>IFERROR(D471&amp;"-"&amp;LEFT(J471,1),"--")</f>
        <v>AZT-W</v>
      </c>
      <c r="M471" s="37" t="str">
        <f>VLOOKUP(L471,'[1]Compatible JC'!$A:$A,1,FALSE)</f>
        <v>AZT-W</v>
      </c>
      <c r="N471" s="37" t="str">
        <f>IFERROR(_xlfn.XLOOKUP(H471,'[1]SIG Level Structure'!D:D,'[1]SIG Level Structure'!C:C),"--")</f>
        <v>Operator</v>
      </c>
      <c r="O471" s="38" t="str">
        <f>IFERROR(TRIM(N471&amp;" "&amp;C471),"--")</f>
        <v>Operator Quality Control</v>
      </c>
      <c r="P471" s="22" t="str">
        <f>_xlfn.XLOOKUP(E471,'[1]SIG Job Families &amp; Descriptions'!A:A,'[1]SIG Job Families &amp; Descriptions'!G:G)</f>
        <v xml:space="preserve">Provides technical support to the poduction quality and quality engineering (QE) functions. Conducts nondestructive examination (NDE) and quality control (QC) inspections on products, materials, components, parts, etc., at various stages of the production process to ensure compliance with established quality and reliability standards. Captures and analyzes statistical data from processes to either confirm compliance with established standards or identify deviations from standards. Recommends new or enhanced methods, procedures and standards. Develops testing programs throughout the entire product development lifecycle to ensure flawless quality. </v>
      </c>
      <c r="Q471" s="39" t="str">
        <f>_xlfn.XLOOKUP(E471,'[1]2022 GI Position Descriptions'!E:E,'[1]2022 GI Position Descriptions'!G:G)</f>
        <v>Provides technical support to the quality and quality engineering (QE) functions | Conducts nondestructive examination (NDE) and quality control (QC) inspections on products, materials, components, parts, etc., at various stages of the production process to ensure compliance with established quality and reliability standards | Captures and analyzes statistical data from processes to either confirm compliance with established standards or identify deviations from standards | Recommends new or enhanced methods, procedures and standards</v>
      </c>
      <c r="R471" s="22" t="str">
        <f>IF(LEFT(J471,1)="E","EX",LEFT(J471,1))</f>
        <v>W</v>
      </c>
      <c r="S471" s="22" t="str">
        <f>_xlfn.XLOOKUP($R471,'[1]Career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471" s="22" t="str">
        <f>J471</f>
        <v>W3</v>
      </c>
      <c r="U471" s="40" t="str">
        <f t="shared" si="15"/>
        <v>W3</v>
      </c>
      <c r="V471" s="22" t="str">
        <f>_xlfn.XLOOKUP(T471,'[1]Career Bands &amp; Levels'!A:A,'[1]Career Bands &amp; Levels'!C:C)</f>
        <v xml:space="preserve">●	Has proficiency through job-related training and considerable work experience		
●	Completes work with a limited degree of supervision; regularly provides guidance to others with less experience		
●	May act as an informal resource for colleagues with less experience		</v>
      </c>
      <c r="W471" s="41" t="str">
        <f>J471&amp;"-"&amp;G471</f>
        <v>W3-06</v>
      </c>
      <c r="X471" s="42" t="str">
        <f>G471</f>
        <v>06</v>
      </c>
      <c r="Y471" s="22" t="str">
        <f>_xlfn.XLOOKUP(W471,'[1]Career Bands &amp; Levels'!A:A,'[1]Career Bands &amp; Levels'!C:C,"No Grade Differentiator")</f>
        <v>No Grade Differentiator</v>
      </c>
      <c r="Z471" s="43" t="str">
        <f>IFERROR(O471&amp;" - "&amp;G471,"--")</f>
        <v>Operator Quality Control - 06</v>
      </c>
      <c r="AA471" s="44" t="str">
        <f>_xlfn.XLOOKUP($H471,'[1]SIG Qualifications Input'!$D:$D,'[1]SIG Qualifications Input'!$H:$H)</f>
        <v>Vocational training in e.g. manual or technical  field or equivalent work experience. 0-4 years of experience</v>
      </c>
    </row>
    <row r="472" spans="1:27" ht="197" thickBot="1" x14ac:dyDescent="0.2">
      <c r="A472" s="34" t="str">
        <f>_xlfn.XLOOKUP(C472,'[1]SIG Job Families &amp; Descriptions'!F:F,'[1]SIG Job Families &amp; Descriptions'!B:B)</f>
        <v>Quality Management</v>
      </c>
      <c r="B472" s="34" t="str">
        <f>_xlfn.XLOOKUP(C472,'[1]SIG Job Families &amp; Descriptions'!F:F,'[1]SIG Job Families &amp; Descriptions'!D:D)</f>
        <v>Quality Control</v>
      </c>
      <c r="C472" s="34" t="s">
        <v>108</v>
      </c>
      <c r="D472" s="30" t="str">
        <f t="shared" si="14"/>
        <v>AZT</v>
      </c>
      <c r="E472" s="31" t="str">
        <f>_xlfn.XLOOKUP(C472,'[1]SIG Job Families &amp; Descriptions'!F:F,'[1]SIG Job Families &amp; Descriptions'!A:A)</f>
        <v>AZT060</v>
      </c>
      <c r="F472" s="32" t="s">
        <v>50</v>
      </c>
      <c r="G472" s="33" t="s">
        <v>54</v>
      </c>
      <c r="H472" s="34" t="str">
        <f>F472&amp;"-"&amp;G472</f>
        <v>Operations-05</v>
      </c>
      <c r="I472" s="35" t="str">
        <f>IF(ISERROR(_xlfn.XLOOKUP(H472,'[1]SIG Level Structure'!D:D,'[1]SIG Level Structure'!D:D)),"0","1")</f>
        <v>1</v>
      </c>
      <c r="J472" s="36" t="str">
        <f>_xlfn.XLOOKUP($H472,'[1]SIG Level Structure'!$D:$D,'[1]SIG Level Structure'!F:F)</f>
        <v>W2</v>
      </c>
      <c r="K472" s="37" t="str">
        <f>E472&amp;"-"&amp;J472&amp;"-"&amp;G472</f>
        <v>AZT060-W2-05</v>
      </c>
      <c r="L472" s="37" t="str">
        <f>IFERROR(D472&amp;"-"&amp;LEFT(J472,1),"--")</f>
        <v>AZT-W</v>
      </c>
      <c r="M472" s="37" t="str">
        <f>VLOOKUP(L472,'[1]Compatible JC'!$A:$A,1,FALSE)</f>
        <v>AZT-W</v>
      </c>
      <c r="N472" s="37" t="str">
        <f>IFERROR(_xlfn.XLOOKUP(H472,'[1]SIG Level Structure'!D:D,'[1]SIG Level Structure'!C:C),"--")</f>
        <v>Operator</v>
      </c>
      <c r="O472" s="38" t="str">
        <f>IFERROR(TRIM(N472&amp;" "&amp;C472),"--")</f>
        <v>Operator Quality Control</v>
      </c>
      <c r="P472" s="22" t="str">
        <f>_xlfn.XLOOKUP(E472,'[1]SIG Job Families &amp; Descriptions'!A:A,'[1]SIG Job Families &amp; Descriptions'!G:G)</f>
        <v xml:space="preserve">Provides technical support to the poduction quality and quality engineering (QE) functions. Conducts nondestructive examination (NDE) and quality control (QC) inspections on products, materials, components, parts, etc., at various stages of the production process to ensure compliance with established quality and reliability standards. Captures and analyzes statistical data from processes to either confirm compliance with established standards or identify deviations from standards. Recommends new or enhanced methods, procedures and standards. Develops testing programs throughout the entire product development lifecycle to ensure flawless quality. </v>
      </c>
      <c r="Q472" s="39" t="str">
        <f>_xlfn.XLOOKUP(E472,'[1]2022 GI Position Descriptions'!E:E,'[1]2022 GI Position Descriptions'!G:G)</f>
        <v>Provides technical support to the quality and quality engineering (QE) functions | Conducts nondestructive examination (NDE) and quality control (QC) inspections on products, materials, components, parts, etc., at various stages of the production process to ensure compliance with established quality and reliability standards | Captures and analyzes statistical data from processes to either confirm compliance with established standards or identify deviations from standards | Recommends new or enhanced methods, procedures and standards</v>
      </c>
      <c r="R472" s="22" t="str">
        <f>IF(LEFT(J472,1)="E","EX",LEFT(J472,1))</f>
        <v>W</v>
      </c>
      <c r="S472" s="22" t="str">
        <f>_xlfn.XLOOKUP($R472,'[1]Career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472" s="22" t="str">
        <f>J472</f>
        <v>W2</v>
      </c>
      <c r="U472" s="40" t="str">
        <f t="shared" si="15"/>
        <v>W2</v>
      </c>
      <c r="V472" s="22" t="str">
        <f>_xlfn.XLOOKUP(T472,'[1]Career Bands &amp; Levels'!A:A,'[1]Career Bands &amp; Levels'!C:C)</f>
        <v xml:space="preserve">●	Has skills developed through formal training or work experience		
●	Works within established procedures and guidelines with limited ability to modify methods and approach		
●	Completes assigned tasks with a moderate degree of supervision		</v>
      </c>
      <c r="W472" s="41" t="str">
        <f>J472&amp;"-"&amp;G472</f>
        <v>W2-05</v>
      </c>
      <c r="X472" s="42" t="str">
        <f>G472</f>
        <v>05</v>
      </c>
      <c r="Y472" s="22" t="str">
        <f>_xlfn.XLOOKUP(W472,'[1]Career Bands &amp; Levels'!A:A,'[1]Career Bands &amp; Levels'!C:C,"No Grade Differentiator")</f>
        <v xml:space="preserve">●	Performs the full range of established procedures, and will typically be considered skilled through work experience		
●	Resolves routine issues without supervisory approval		</v>
      </c>
      <c r="Z472" s="43" t="str">
        <f>IFERROR(O472&amp;" - "&amp;G472,"--")</f>
        <v>Operator Quality Control - 05</v>
      </c>
      <c r="AA472" s="44" t="str">
        <f>_xlfn.XLOOKUP($H472,'[1]SIG Qualifications Input'!$D:$D,'[1]SIG Qualifications Input'!$H:$H)</f>
        <v>Vocational training in e.g. manual or technical  field or equivalent work experience. 0-4 years of experience</v>
      </c>
    </row>
    <row r="473" spans="1:27" ht="197" thickBot="1" x14ac:dyDescent="0.2">
      <c r="A473" s="34" t="str">
        <f>_xlfn.XLOOKUP(C473,'[1]SIG Job Families &amp; Descriptions'!F:F,'[1]SIG Job Families &amp; Descriptions'!B:B)</f>
        <v>Quality Management</v>
      </c>
      <c r="B473" s="34" t="str">
        <f>_xlfn.XLOOKUP(C473,'[1]SIG Job Families &amp; Descriptions'!F:F,'[1]SIG Job Families &amp; Descriptions'!D:D)</f>
        <v>Quality Control</v>
      </c>
      <c r="C473" s="34" t="s">
        <v>108</v>
      </c>
      <c r="D473" s="30" t="str">
        <f t="shared" si="14"/>
        <v>AZT</v>
      </c>
      <c r="E473" s="31" t="str">
        <f>_xlfn.XLOOKUP(C473,'[1]SIG Job Families &amp; Descriptions'!F:F,'[1]SIG Job Families &amp; Descriptions'!A:A)</f>
        <v>AZT060</v>
      </c>
      <c r="F473" s="32" t="s">
        <v>50</v>
      </c>
      <c r="G473" s="33" t="s">
        <v>55</v>
      </c>
      <c r="H473" s="34" t="str">
        <f>F473&amp;"-"&amp;G473</f>
        <v>Operations-04</v>
      </c>
      <c r="I473" s="35" t="str">
        <f>IF(ISERROR(_xlfn.XLOOKUP(H473,'[1]SIG Level Structure'!D:D,'[1]SIG Level Structure'!D:D)),"0","1")</f>
        <v>1</v>
      </c>
      <c r="J473" s="36" t="str">
        <f>_xlfn.XLOOKUP($H473,'[1]SIG Level Structure'!$D:$D,'[1]SIG Level Structure'!F:F)</f>
        <v>W2</v>
      </c>
      <c r="K473" s="37" t="str">
        <f>E473&amp;"-"&amp;J473&amp;"-"&amp;G473</f>
        <v>AZT060-W2-04</v>
      </c>
      <c r="L473" s="37" t="str">
        <f>IFERROR(D473&amp;"-"&amp;LEFT(J473,1),"--")</f>
        <v>AZT-W</v>
      </c>
      <c r="M473" s="37" t="str">
        <f>VLOOKUP(L473,'[1]Compatible JC'!$A:$A,1,FALSE)</f>
        <v>AZT-W</v>
      </c>
      <c r="N473" s="37" t="str">
        <f>IFERROR(_xlfn.XLOOKUP(H473,'[1]SIG Level Structure'!D:D,'[1]SIG Level Structure'!C:C),"--")</f>
        <v>Operator</v>
      </c>
      <c r="O473" s="38" t="str">
        <f>IFERROR(TRIM(N473&amp;" "&amp;C473),"--")</f>
        <v>Operator Quality Control</v>
      </c>
      <c r="P473" s="22" t="str">
        <f>_xlfn.XLOOKUP(E473,'[1]SIG Job Families &amp; Descriptions'!A:A,'[1]SIG Job Families &amp; Descriptions'!G:G)</f>
        <v xml:space="preserve">Provides technical support to the poduction quality and quality engineering (QE) functions. Conducts nondestructive examination (NDE) and quality control (QC) inspections on products, materials, components, parts, etc., at various stages of the production process to ensure compliance with established quality and reliability standards. Captures and analyzes statistical data from processes to either confirm compliance with established standards or identify deviations from standards. Recommends new or enhanced methods, procedures and standards. Develops testing programs throughout the entire product development lifecycle to ensure flawless quality. </v>
      </c>
      <c r="Q473" s="39" t="str">
        <f>_xlfn.XLOOKUP(E473,'[1]2022 GI Position Descriptions'!E:E,'[1]2022 GI Position Descriptions'!G:G)</f>
        <v>Provides technical support to the quality and quality engineering (QE) functions | Conducts nondestructive examination (NDE) and quality control (QC) inspections on products, materials, components, parts, etc., at various stages of the production process to ensure compliance with established quality and reliability standards | Captures and analyzes statistical data from processes to either confirm compliance with established standards or identify deviations from standards | Recommends new or enhanced methods, procedures and standards</v>
      </c>
      <c r="R473" s="22" t="str">
        <f>IF(LEFT(J473,1)="E","EX",LEFT(J473,1))</f>
        <v>W</v>
      </c>
      <c r="S473" s="22" t="str">
        <f>_xlfn.XLOOKUP($R473,'[1]Career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473" s="22" t="str">
        <f>J473</f>
        <v>W2</v>
      </c>
      <c r="U473" s="40" t="str">
        <f t="shared" si="15"/>
        <v>W2</v>
      </c>
      <c r="V473" s="22" t="str">
        <f>_xlfn.XLOOKUP(T473,'[1]Career Bands &amp; Levels'!A:A,'[1]Career Bands &amp; Levels'!C:C)</f>
        <v xml:space="preserve">●	Has skills developed through formal training or work experience		
●	Works within established procedures and guidelines with limited ability to modify methods and approach		
●	Completes assigned tasks with a moderate degree of supervision		</v>
      </c>
      <c r="W473" s="41" t="str">
        <f>J473&amp;"-"&amp;G473</f>
        <v>W2-04</v>
      </c>
      <c r="X473" s="42" t="str">
        <f>G473</f>
        <v>04</v>
      </c>
      <c r="Y473" s="22" t="str">
        <f>_xlfn.XLOOKUP(W473,'[1]Career Bands &amp; Levels'!A:A,'[1]Career Bands &amp; Levels'!C:C,"No Grade Differentiator")</f>
        <v xml:space="preserve">●	Performs most established procedures and will typically be considered semi-skilled through work experience		
●	Resolves routine issues with senior staff or supervisory guidance and approval		</v>
      </c>
      <c r="Z473" s="43" t="str">
        <f>IFERROR(O473&amp;" - "&amp;G473,"--")</f>
        <v>Operator Quality Control - 04</v>
      </c>
      <c r="AA473" s="44" t="str">
        <f>_xlfn.XLOOKUP($H473,'[1]SIG Qualifications Input'!$D:$D,'[1]SIG Qualifications Input'!$H:$H)</f>
        <v>Vocational training in e.g. manual or technical  field or equivalent work experience. 0-4 years of experience</v>
      </c>
    </row>
    <row r="474" spans="1:27" ht="409.6" thickBot="1" x14ac:dyDescent="0.2">
      <c r="A474" s="34" t="str">
        <f>_xlfn.XLOOKUP(C474,'[1]SIG Job Families &amp; Descriptions'!F:F,'[1]SIG Job Families &amp; Descriptions'!B:B)</f>
        <v>Quality Management</v>
      </c>
      <c r="B474" s="34" t="str">
        <f>_xlfn.XLOOKUP(C474,'[1]SIG Job Families &amp; Descriptions'!F:F,'[1]SIG Job Families &amp; Descriptions'!D:D)</f>
        <v>Environmental Health &amp; Safety</v>
      </c>
      <c r="C474" s="34" t="s">
        <v>109</v>
      </c>
      <c r="D474" s="30" t="str">
        <f t="shared" si="14"/>
        <v>AHS</v>
      </c>
      <c r="E474" s="31" t="str">
        <f>_xlfn.XLOOKUP(C474,'[1]SIG Job Families &amp; Descriptions'!F:F,'[1]SIG Job Families &amp; Descriptions'!A:A)</f>
        <v>AHS000</v>
      </c>
      <c r="F474" s="32" t="s">
        <v>29</v>
      </c>
      <c r="G474" s="33" t="s">
        <v>33</v>
      </c>
      <c r="H474" s="34" t="str">
        <f>F474&amp;"-"&amp;G474</f>
        <v>Management-13</v>
      </c>
      <c r="I474" s="35" t="str">
        <f>IF(ISERROR(_xlfn.XLOOKUP(H474,'[1]SIG Level Structure'!D:D,'[1]SIG Level Structure'!D:D)),"0","1")</f>
        <v>1</v>
      </c>
      <c r="J474" s="36" t="str">
        <f>_xlfn.XLOOKUP($H474,'[1]SIG Level Structure'!$D:$D,'[1]SIG Level Structure'!F:F)</f>
        <v>M2</v>
      </c>
      <c r="K474" s="37" t="str">
        <f>E474&amp;"-"&amp;J474&amp;"-"&amp;G474</f>
        <v>AHS000-M2-13</v>
      </c>
      <c r="L474" s="37" t="str">
        <f>IFERROR(D474&amp;"-"&amp;LEFT(J474,1),"--")</f>
        <v>AHS-M</v>
      </c>
      <c r="M474" s="37" t="str">
        <f>VLOOKUP(L474,'[1]Compatible JC'!$A:$A,1,FALSE)</f>
        <v>AHS-M</v>
      </c>
      <c r="N474" s="37" t="str">
        <f>IFERROR(_xlfn.XLOOKUP(H474,'[1]SIG Level Structure'!D:D,'[1]SIG Level Structure'!C:C),"--")</f>
        <v>Manager</v>
      </c>
      <c r="O474" s="38" t="str">
        <f>IFERROR(TRIM(N474&amp;" "&amp;C474),"--")</f>
        <v>Manager EHS</v>
      </c>
      <c r="P474" s="22" t="str">
        <f>_xlfn.XLOOKUP(E474,'[1]SIG Job Families &amp; Descriptions'!A:A,'[1]SIG Job Families &amp; Descriptions'!G:G)</f>
        <v xml:space="preserve">Develops and implements the organization's positions on environmental policy issues regarding the impact of the organization's operations on water, air and land quality. Designs and implements programs to ensure healthful and safe working conditions and compliance with all environmental regulations, including clean air and hazardous waste disposal, on the organization's premises. Serves as a liaison with external government environmental agencies. Monitors programs and maintains up-to-date records required by environmental permits to ensure government compliance.
And/or designs, develops, implements and oversees the organization's safety or preventive health care programs to safeguard employees. Ensures that all facilities and safety equipement are in compliance with regulations, fire safety standards. Determine and provide employees with safety training and/or medical care/nursing care for the comfort and well-being of employees. Conducts studies and investigations and prepares regular reports/ statistics of e.g. accidents and indicidents to determine the root cause and to develop recommendations for prevention. Develops and provides safety performance measures for monitoring. Maintains comprehensive knowledge of government safety and fire safety regulations or occupation health. </v>
      </c>
      <c r="Q474" s="39" t="str">
        <f>_xlfn.XLOOKUP(E474,'[1]2022 GI Position Descriptions'!E:E,'[1]2022 GI Position Descriptions'!G:G)</f>
        <v>Designs, develops, implements and oversees the organization's environmental, health and safety programs and procedures to safeguard employees and surrounding communities and to ensure that all facilities are in compliance with regulations | Responsibilities are within the Environmental Health and Safety Function as a generalist or in a combination of Disciplines</v>
      </c>
      <c r="R474" s="22" t="str">
        <f>IF(LEFT(J474,1)="E","EX",LEFT(J474,1))</f>
        <v>M</v>
      </c>
      <c r="S474" s="22" t="str">
        <f>_xlfn.XLOOKUP($R474,'[1]Career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474" s="22" t="str">
        <f>J474</f>
        <v>M2</v>
      </c>
      <c r="U474" s="40" t="str">
        <f t="shared" si="15"/>
        <v>M2</v>
      </c>
      <c r="V474" s="22" t="str">
        <f>_xlfn.XLOOKUP(T474,'[1]Career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474" s="41" t="str">
        <f>J474&amp;"-"&amp;G474</f>
        <v>M2-13</v>
      </c>
      <c r="X474" s="42" t="str">
        <f>G474</f>
        <v>13</v>
      </c>
      <c r="Y474" s="22" t="str">
        <f>_xlfn.XLOOKUP(W474,'[1]Career Bands &amp; Levels'!A:A,'[1]Career Bands &amp; Levels'!C:C,"No Grade Differentiator")</f>
        <v>●	Accountable for the budget, performance and results of a medium-sized team or multiple small teams of employees		
●	Exercises full management authority, including performance reviews, pay decisions, recruitment, discipline, termination and other personnel actions		
●	Addresses issues with impact beyond own team based on knowledge of related disciplines</v>
      </c>
      <c r="Z474" s="43" t="str">
        <f>IFERROR(O474&amp;" - "&amp;G474,"--")</f>
        <v>Manager EHS - 13</v>
      </c>
      <c r="AA474" s="44" t="str">
        <f>_xlfn.XLOOKUP($H474,'[1]SIG Qualifications Input'!$D:$D,'[1]SIG Qualifications Input'!$H:$H)</f>
        <v>University degree or equivalent and 7-10 years of work experience or equivalent
Experience in managing mixed-level team(s) of professionals and subordinate managers</v>
      </c>
    </row>
    <row r="475" spans="1:27" ht="409.6" thickBot="1" x14ac:dyDescent="0.2">
      <c r="A475" s="34" t="str">
        <f>_xlfn.XLOOKUP(C475,'[1]SIG Job Families &amp; Descriptions'!F:F,'[1]SIG Job Families &amp; Descriptions'!B:B)</f>
        <v>Quality Management</v>
      </c>
      <c r="B475" s="34" t="str">
        <f>_xlfn.XLOOKUP(C475,'[1]SIG Job Families &amp; Descriptions'!F:F,'[1]SIG Job Families &amp; Descriptions'!D:D)</f>
        <v>Environmental Health &amp; Safety</v>
      </c>
      <c r="C475" s="34" t="s">
        <v>109</v>
      </c>
      <c r="D475" s="30" t="str">
        <f t="shared" si="14"/>
        <v>AHS</v>
      </c>
      <c r="E475" s="31" t="str">
        <f>_xlfn.XLOOKUP(C475,'[1]SIG Job Families &amp; Descriptions'!F:F,'[1]SIG Job Families &amp; Descriptions'!A:A)</f>
        <v>AHS000</v>
      </c>
      <c r="F475" s="32" t="s">
        <v>29</v>
      </c>
      <c r="G475" s="33" t="s">
        <v>34</v>
      </c>
      <c r="H475" s="34" t="str">
        <f>F475&amp;"-"&amp;G475</f>
        <v>Management-12</v>
      </c>
      <c r="I475" s="35" t="str">
        <f>IF(ISERROR(_xlfn.XLOOKUP(H475,'[1]SIG Level Structure'!D:D,'[1]SIG Level Structure'!D:D)),"0","1")</f>
        <v>1</v>
      </c>
      <c r="J475" s="36" t="str">
        <f>_xlfn.XLOOKUP($H475,'[1]SIG Level Structure'!$D:$D,'[1]SIG Level Structure'!F:F)</f>
        <v>M2</v>
      </c>
      <c r="K475" s="37" t="str">
        <f>E475&amp;"-"&amp;J475&amp;"-"&amp;G475</f>
        <v>AHS000-M2-12</v>
      </c>
      <c r="L475" s="37" t="str">
        <f>IFERROR(D475&amp;"-"&amp;LEFT(J475,1),"--")</f>
        <v>AHS-M</v>
      </c>
      <c r="M475" s="37" t="str">
        <f>VLOOKUP(L475,'[1]Compatible JC'!$A:$A,1,FALSE)</f>
        <v>AHS-M</v>
      </c>
      <c r="N475" s="37" t="str">
        <f>IFERROR(_xlfn.XLOOKUP(H475,'[1]SIG Level Structure'!D:D,'[1]SIG Level Structure'!C:C),"--")</f>
        <v>Manager</v>
      </c>
      <c r="O475" s="38" t="str">
        <f>IFERROR(TRIM(N475&amp;" "&amp;C475),"--")</f>
        <v>Manager EHS</v>
      </c>
      <c r="P475" s="22" t="str">
        <f>_xlfn.XLOOKUP(E475,'[1]SIG Job Families &amp; Descriptions'!A:A,'[1]SIG Job Families &amp; Descriptions'!G:G)</f>
        <v xml:space="preserve">Develops and implements the organization's positions on environmental policy issues regarding the impact of the organization's operations on water, air and land quality. Designs and implements programs to ensure healthful and safe working conditions and compliance with all environmental regulations, including clean air and hazardous waste disposal, on the organization's premises. Serves as a liaison with external government environmental agencies. Monitors programs and maintains up-to-date records required by environmental permits to ensure government compliance.
And/or designs, develops, implements and oversees the organization's safety or preventive health care programs to safeguard employees. Ensures that all facilities and safety equipement are in compliance with regulations, fire safety standards. Determine and provide employees with safety training and/or medical care/nursing care for the comfort and well-being of employees. Conducts studies and investigations and prepares regular reports/ statistics of e.g. accidents and indicidents to determine the root cause and to develop recommendations for prevention. Develops and provides safety performance measures for monitoring. Maintains comprehensive knowledge of government safety and fire safety regulations or occupation health. </v>
      </c>
      <c r="Q475" s="39" t="str">
        <f>_xlfn.XLOOKUP(E475,'[1]2022 GI Position Descriptions'!E:E,'[1]2022 GI Position Descriptions'!G:G)</f>
        <v>Designs, develops, implements and oversees the organization's environmental, health and safety programs and procedures to safeguard employees and surrounding communities and to ensure that all facilities are in compliance with regulations | Responsibilities are within the Environmental Health and Safety Function as a generalist or in a combination of Disciplines</v>
      </c>
      <c r="R475" s="22" t="str">
        <f>IF(LEFT(J475,1)="E","EX",LEFT(J475,1))</f>
        <v>M</v>
      </c>
      <c r="S475" s="22" t="str">
        <f>_xlfn.XLOOKUP($R475,'[1]Career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475" s="22" t="str">
        <f>J475</f>
        <v>M2</v>
      </c>
      <c r="U475" s="40" t="str">
        <f t="shared" si="15"/>
        <v>M2</v>
      </c>
      <c r="V475" s="22" t="str">
        <f>_xlfn.XLOOKUP(T475,'[1]Career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475" s="41" t="str">
        <f>J475&amp;"-"&amp;G475</f>
        <v>M2-12</v>
      </c>
      <c r="X475" s="42" t="str">
        <f>G475</f>
        <v>12</v>
      </c>
      <c r="Y475" s="22" t="str">
        <f>_xlfn.XLOOKUP(W475,'[1]Career Bands &amp; Levels'!A:A,'[1]Career Bands &amp; Levels'!C:C,"No Grade Differentiator")</f>
        <v xml:space="preserve">●	Accountable for results of a small team of employees		
●	Exercises limited management authority; sets employee performance objectives, conducts performance reviews and recommends pay actions		
●	Defines team operating standards and ensures essential procedures are followed based on knowledge of own discipline		</v>
      </c>
      <c r="Z475" s="43" t="str">
        <f>IFERROR(O475&amp;" - "&amp;G475,"--")</f>
        <v>Manager EHS - 12</v>
      </c>
      <c r="AA475" s="44" t="str">
        <f>_xlfn.XLOOKUP($H475,'[1]SIG Qualifications Input'!$D:$D,'[1]SIG Qualifications Input'!$H:$H)</f>
        <v>University degree or equivalent and 7-10 years of work experience or equivalent
Experience in managing mixed-level team(s) of professionals and subordinate managers</v>
      </c>
    </row>
    <row r="476" spans="1:27" ht="409.6" thickBot="1" x14ac:dyDescent="0.2">
      <c r="A476" s="34" t="str">
        <f>_xlfn.XLOOKUP(C476,'[1]SIG Job Families &amp; Descriptions'!F:F,'[1]SIG Job Families &amp; Descriptions'!B:B)</f>
        <v>Quality Management</v>
      </c>
      <c r="B476" s="34" t="str">
        <f>_xlfn.XLOOKUP(C476,'[1]SIG Job Families &amp; Descriptions'!F:F,'[1]SIG Job Families &amp; Descriptions'!D:D)</f>
        <v>Environmental Health &amp; Safety</v>
      </c>
      <c r="C476" s="34" t="s">
        <v>109</v>
      </c>
      <c r="D476" s="30" t="str">
        <f t="shared" si="14"/>
        <v>AHS</v>
      </c>
      <c r="E476" s="31" t="str">
        <f>_xlfn.XLOOKUP(C476,'[1]SIG Job Families &amp; Descriptions'!F:F,'[1]SIG Job Families &amp; Descriptions'!A:A)</f>
        <v>AHS000</v>
      </c>
      <c r="F476" s="32" t="s">
        <v>29</v>
      </c>
      <c r="G476" s="33" t="s">
        <v>35</v>
      </c>
      <c r="H476" s="34" t="str">
        <f>F476&amp;"-"&amp;G476</f>
        <v>Management-11</v>
      </c>
      <c r="I476" s="35" t="str">
        <f>IF(ISERROR(_xlfn.XLOOKUP(H476,'[1]SIG Level Structure'!D:D,'[1]SIG Level Structure'!D:D)),"0","1")</f>
        <v>1</v>
      </c>
      <c r="J476" s="36" t="str">
        <f>_xlfn.XLOOKUP($H476,'[1]SIG Level Structure'!$D:$D,'[1]SIG Level Structure'!F:F)</f>
        <v>M1</v>
      </c>
      <c r="K476" s="37" t="str">
        <f>E476&amp;"-"&amp;J476&amp;"-"&amp;G476</f>
        <v>AHS000-M1-11</v>
      </c>
      <c r="L476" s="37" t="str">
        <f>IFERROR(D476&amp;"-"&amp;LEFT(J476,1),"--")</f>
        <v>AHS-M</v>
      </c>
      <c r="M476" s="37" t="str">
        <f>VLOOKUP(L476,'[1]Compatible JC'!$A:$A,1,FALSE)</f>
        <v>AHS-M</v>
      </c>
      <c r="N476" s="37" t="str">
        <f>IFERROR(_xlfn.XLOOKUP(H476,'[1]SIG Level Structure'!D:D,'[1]SIG Level Structure'!C:C),"--")</f>
        <v>Supervisor</v>
      </c>
      <c r="O476" s="38" t="str">
        <f>IFERROR(TRIM(N476&amp;" "&amp;C476),"--")</f>
        <v>Supervisor EHS</v>
      </c>
      <c r="P476" s="22" t="str">
        <f>_xlfn.XLOOKUP(E476,'[1]SIG Job Families &amp; Descriptions'!A:A,'[1]SIG Job Families &amp; Descriptions'!G:G)</f>
        <v xml:space="preserve">Develops and implements the organization's positions on environmental policy issues regarding the impact of the organization's operations on water, air and land quality. Designs and implements programs to ensure healthful and safe working conditions and compliance with all environmental regulations, including clean air and hazardous waste disposal, on the organization's premises. Serves as a liaison with external government environmental agencies. Monitors programs and maintains up-to-date records required by environmental permits to ensure government compliance.
And/or designs, develops, implements and oversees the organization's safety or preventive health care programs to safeguard employees. Ensures that all facilities and safety equipement are in compliance with regulations, fire safety standards. Determine and provide employees with safety training and/or medical care/nursing care for the comfort and well-being of employees. Conducts studies and investigations and prepares regular reports/ statistics of e.g. accidents and indicidents to determine the root cause and to develop recommendations for prevention. Develops and provides safety performance measures for monitoring. Maintains comprehensive knowledge of government safety and fire safety regulations or occupation health. </v>
      </c>
      <c r="Q476" s="39" t="str">
        <f>_xlfn.XLOOKUP(E476,'[1]2022 GI Position Descriptions'!E:E,'[1]2022 GI Position Descriptions'!G:G)</f>
        <v>Designs, develops, implements and oversees the organization's environmental, health and safety programs and procedures to safeguard employees and surrounding communities and to ensure that all facilities are in compliance with regulations | Responsibilities are within the Environmental Health and Safety Function as a generalist or in a combination of Disciplines</v>
      </c>
      <c r="R476" s="22" t="str">
        <f>IF(LEFT(J476,1)="E","EX",LEFT(J476,1))</f>
        <v>M</v>
      </c>
      <c r="S476" s="22" t="str">
        <f>_xlfn.XLOOKUP($R476,'[1]Career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476" s="22" t="str">
        <f>J476</f>
        <v>M1</v>
      </c>
      <c r="U476" s="40" t="str">
        <f t="shared" si="15"/>
        <v>M1</v>
      </c>
      <c r="V476" s="22" t="str">
        <f>_xlfn.XLOOKUP(T476,'[1]Career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476" s="41" t="str">
        <f>J476&amp;"-"&amp;G476</f>
        <v>M1-11</v>
      </c>
      <c r="X476" s="42" t="str">
        <f>G476</f>
        <v>11</v>
      </c>
      <c r="Y476" s="22" t="str">
        <f>_xlfn.XLOOKUP(W476,'[1]Career Bands &amp; Levels'!A:A,'[1]Career Bands &amp; Levels'!C:C,"No Grade Differentiator")</f>
        <v xml:space="preserve">●	Accountable for the results of a large and/or moderately complex support or production operations team including subordinate work leaders		
●	Applies acquired expertise to analyze and solve problems without clear precedent		
●	Provides input on resource planning and policy development		
●	Coaches team members on performance, completes employee performance evaluations and recommends pay actions		</v>
      </c>
      <c r="Z476" s="43" t="str">
        <f>IFERROR(O476&amp;" - "&amp;G476,"--")</f>
        <v>Supervisor EHS - 11</v>
      </c>
      <c r="AA476" s="44" t="str">
        <f>_xlfn.XLOOKUP($H476,'[1]SIG Qualifications Input'!$D:$D,'[1]SIG Qualifications Input'!$H:$H)</f>
        <v>University degree or equivalent and 5-7 years of work experience or equivalent
Experienced in application of management techniques
Experience in operationally managing a mixed-level team</v>
      </c>
    </row>
    <row r="477" spans="1:27" ht="409.6" thickBot="1" x14ac:dyDescent="0.2">
      <c r="A477" s="34" t="str">
        <f>_xlfn.XLOOKUP(C477,'[1]SIG Job Families &amp; Descriptions'!F:F,'[1]SIG Job Families &amp; Descriptions'!B:B)</f>
        <v>Quality Management</v>
      </c>
      <c r="B477" s="34" t="str">
        <f>_xlfn.XLOOKUP(C477,'[1]SIG Job Families &amp; Descriptions'!F:F,'[1]SIG Job Families &amp; Descriptions'!D:D)</f>
        <v>Environmental Health &amp; Safety</v>
      </c>
      <c r="C477" s="34" t="s">
        <v>109</v>
      </c>
      <c r="D477" s="30" t="str">
        <f t="shared" si="14"/>
        <v>AHS</v>
      </c>
      <c r="E477" s="31" t="str">
        <f>_xlfn.XLOOKUP(C477,'[1]SIG Job Families &amp; Descriptions'!F:F,'[1]SIG Job Families &amp; Descriptions'!A:A)</f>
        <v>AHS000</v>
      </c>
      <c r="F477" s="32" t="s">
        <v>29</v>
      </c>
      <c r="G477" s="33" t="s">
        <v>36</v>
      </c>
      <c r="H477" s="34" t="str">
        <f>F477&amp;"-"&amp;G477</f>
        <v>Management-10</v>
      </c>
      <c r="I477" s="35" t="str">
        <f>IF(ISERROR(_xlfn.XLOOKUP(H477,'[1]SIG Level Structure'!D:D,'[1]SIG Level Structure'!D:D)),"0","1")</f>
        <v>1</v>
      </c>
      <c r="J477" s="36" t="str">
        <f>_xlfn.XLOOKUP($H477,'[1]SIG Level Structure'!$D:$D,'[1]SIG Level Structure'!F:F)</f>
        <v>M1</v>
      </c>
      <c r="K477" s="37" t="str">
        <f>E477&amp;"-"&amp;J477&amp;"-"&amp;G477</f>
        <v>AHS000-M1-10</v>
      </c>
      <c r="L477" s="37" t="str">
        <f>IFERROR(D477&amp;"-"&amp;LEFT(J477,1),"--")</f>
        <v>AHS-M</v>
      </c>
      <c r="M477" s="37" t="str">
        <f>VLOOKUP(L477,'[1]Compatible JC'!$A:$A,1,FALSE)</f>
        <v>AHS-M</v>
      </c>
      <c r="N477" s="37" t="str">
        <f>IFERROR(_xlfn.XLOOKUP(H477,'[1]SIG Level Structure'!D:D,'[1]SIG Level Structure'!C:C),"--")</f>
        <v>Supervisor</v>
      </c>
      <c r="O477" s="38" t="str">
        <f>IFERROR(TRIM(N477&amp;" "&amp;C477),"--")</f>
        <v>Supervisor EHS</v>
      </c>
      <c r="P477" s="22" t="str">
        <f>_xlfn.XLOOKUP(E477,'[1]SIG Job Families &amp; Descriptions'!A:A,'[1]SIG Job Families &amp; Descriptions'!G:G)</f>
        <v xml:space="preserve">Develops and implements the organization's positions on environmental policy issues regarding the impact of the organization's operations on water, air and land quality. Designs and implements programs to ensure healthful and safe working conditions and compliance with all environmental regulations, including clean air and hazardous waste disposal, on the organization's premises. Serves as a liaison with external government environmental agencies. Monitors programs and maintains up-to-date records required by environmental permits to ensure government compliance.
And/or designs, develops, implements and oversees the organization's safety or preventive health care programs to safeguard employees. Ensures that all facilities and safety equipement are in compliance with regulations, fire safety standards. Determine and provide employees with safety training and/or medical care/nursing care for the comfort and well-being of employees. Conducts studies and investigations and prepares regular reports/ statistics of e.g. accidents and indicidents to determine the root cause and to develop recommendations for prevention. Develops and provides safety performance measures for monitoring. Maintains comprehensive knowledge of government safety and fire safety regulations or occupation health. </v>
      </c>
      <c r="Q477" s="39" t="str">
        <f>_xlfn.XLOOKUP(E477,'[1]2022 GI Position Descriptions'!E:E,'[1]2022 GI Position Descriptions'!G:G)</f>
        <v>Designs, develops, implements and oversees the organization's environmental, health and safety programs and procedures to safeguard employees and surrounding communities and to ensure that all facilities are in compliance with regulations | Responsibilities are within the Environmental Health and Safety Function as a generalist or in a combination of Disciplines</v>
      </c>
      <c r="R477" s="22" t="str">
        <f>IF(LEFT(J477,1)="E","EX",LEFT(J477,1))</f>
        <v>M</v>
      </c>
      <c r="S477" s="22" t="str">
        <f>_xlfn.XLOOKUP($R477,'[1]Career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477" s="22" t="str">
        <f>J477</f>
        <v>M1</v>
      </c>
      <c r="U477" s="40" t="str">
        <f t="shared" si="15"/>
        <v>M1</v>
      </c>
      <c r="V477" s="22" t="str">
        <f>_xlfn.XLOOKUP(T477,'[1]Career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477" s="41" t="str">
        <f>J477&amp;"-"&amp;G477</f>
        <v>M1-10</v>
      </c>
      <c r="X477" s="42" t="str">
        <f>G477</f>
        <v>10</v>
      </c>
      <c r="Y477" s="22" t="str">
        <f>_xlfn.XLOOKUP(W477,'[1]Career Bands &amp; Levels'!A:A,'[1]Career Bands &amp; Levels'!C:C,"No Grade Differentiator")</f>
        <v xml:space="preserve">●	Accountable for the results of medium-sized routine support or production operations teams		
●	Solves problems based on practice and precedent		
●	Trains team members and provides input to employee performance evaluations		</v>
      </c>
      <c r="Z477" s="43" t="str">
        <f>IFERROR(O477&amp;" - "&amp;G477,"--")</f>
        <v>Supervisor EHS - 10</v>
      </c>
      <c r="AA477" s="44" t="str">
        <f>_xlfn.XLOOKUP($H477,'[1]SIG Qualifications Input'!$D:$D,'[1]SIG Qualifications Input'!$H:$H)</f>
        <v>University degree or equivalent and 5-7 years of work experience or equivalent
Experienced in application of management techniques
Experience in operationally managing a mixed-level team</v>
      </c>
    </row>
    <row r="478" spans="1:27" ht="409.6" thickBot="1" x14ac:dyDescent="0.2">
      <c r="A478" s="34" t="str">
        <f>_xlfn.XLOOKUP(C478,'[1]SIG Job Families &amp; Descriptions'!F:F,'[1]SIG Job Families &amp; Descriptions'!B:B)</f>
        <v>Quality Management</v>
      </c>
      <c r="B478" s="34" t="str">
        <f>_xlfn.XLOOKUP(C478,'[1]SIG Job Families &amp; Descriptions'!F:F,'[1]SIG Job Families &amp; Descriptions'!D:D)</f>
        <v>Environmental Health &amp; Safety</v>
      </c>
      <c r="C478" s="34" t="s">
        <v>109</v>
      </c>
      <c r="D478" s="30" t="str">
        <f t="shared" si="14"/>
        <v>AHS</v>
      </c>
      <c r="E478" s="31" t="str">
        <f>_xlfn.XLOOKUP(C478,'[1]SIG Job Families &amp; Descriptions'!F:F,'[1]SIG Job Families &amp; Descriptions'!A:A)</f>
        <v>AHS000</v>
      </c>
      <c r="F478" s="32" t="s">
        <v>32</v>
      </c>
      <c r="G478" s="33" t="s">
        <v>31</v>
      </c>
      <c r="H478" s="34" t="str">
        <f>F478&amp;"-"&amp;G478</f>
        <v>Professional-14</v>
      </c>
      <c r="I478" s="35" t="str">
        <f>IF(ISERROR(_xlfn.XLOOKUP(H478,'[1]SIG Level Structure'!D:D,'[1]SIG Level Structure'!D:D)),"0","1")</f>
        <v>1</v>
      </c>
      <c r="J478" s="36" t="str">
        <f>_xlfn.XLOOKUP($H478,'[1]SIG Level Structure'!$D:$D,'[1]SIG Level Structure'!F:F)</f>
        <v>P4</v>
      </c>
      <c r="K478" s="37" t="str">
        <f>E478&amp;"-"&amp;J478&amp;"-"&amp;G478</f>
        <v>AHS000-P4-14</v>
      </c>
      <c r="L478" s="37" t="str">
        <f>IFERROR(D478&amp;"-"&amp;LEFT(J478,1),"--")</f>
        <v>AHS-P</v>
      </c>
      <c r="M478" s="37" t="str">
        <f>VLOOKUP(L478,'[1]Compatible JC'!$A:$A,1,FALSE)</f>
        <v>AHS-P</v>
      </c>
      <c r="N478" s="37" t="str">
        <f>IFERROR(_xlfn.XLOOKUP(H478,'[1]SIG Level Structure'!D:D,'[1]SIG Level Structure'!C:C),"--")</f>
        <v>Senior Expert</v>
      </c>
      <c r="O478" s="38" t="str">
        <f>IFERROR(TRIM(N478&amp;" "&amp;C478),"--")</f>
        <v>Senior Expert EHS</v>
      </c>
      <c r="P478" s="22" t="str">
        <f>_xlfn.XLOOKUP(E478,'[1]SIG Job Families &amp; Descriptions'!A:A,'[1]SIG Job Families &amp; Descriptions'!G:G)</f>
        <v xml:space="preserve">Develops and implements the organization's positions on environmental policy issues regarding the impact of the organization's operations on water, air and land quality. Designs and implements programs to ensure healthful and safe working conditions and compliance with all environmental regulations, including clean air and hazardous waste disposal, on the organization's premises. Serves as a liaison with external government environmental agencies. Monitors programs and maintains up-to-date records required by environmental permits to ensure government compliance.
And/or designs, develops, implements and oversees the organization's safety or preventive health care programs to safeguard employees. Ensures that all facilities and safety equipement are in compliance with regulations, fire safety standards. Determine and provide employees with safety training and/or medical care/nursing care for the comfort and well-being of employees. Conducts studies and investigations and prepares regular reports/ statistics of e.g. accidents and indicidents to determine the root cause and to develop recommendations for prevention. Develops and provides safety performance measures for monitoring. Maintains comprehensive knowledge of government safety and fire safety regulations or occupation health. </v>
      </c>
      <c r="Q478" s="39" t="str">
        <f>_xlfn.XLOOKUP(E478,'[1]2022 GI Position Descriptions'!E:E,'[1]2022 GI Position Descriptions'!G:G)</f>
        <v>Designs, develops, implements and oversees the organization's environmental, health and safety programs and procedures to safeguard employees and surrounding communities and to ensure that all facilities are in compliance with regulations | Responsibilities are within the Environmental Health and Safety Function as a generalist or in a combination of Disciplines</v>
      </c>
      <c r="R478" s="22" t="str">
        <f>IF(LEFT(J478,1)="E","EX",LEFT(J478,1))</f>
        <v>P</v>
      </c>
      <c r="S478" s="22" t="str">
        <f>_xlfn.XLOOKUP($R478,'[1]Career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78" s="22" t="str">
        <f>J478</f>
        <v>P4</v>
      </c>
      <c r="U478" s="40" t="str">
        <f t="shared" si="15"/>
        <v>P4</v>
      </c>
      <c r="V478" s="22" t="str">
        <f>_xlfn.XLOOKUP(T478,'[1]Career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478" s="41" t="str">
        <f>J478&amp;"-"&amp;G478</f>
        <v>P4-14</v>
      </c>
      <c r="X478" s="42" t="str">
        <f>G478</f>
        <v>14</v>
      </c>
      <c r="Y478" s="22" t="str">
        <f>_xlfn.XLOOKUP(W478,'[1]Career Bands &amp; Levels'!A:A,'[1]Career Bands &amp; Levels'!C:C,"No Grade Differentiator")</f>
        <v xml:space="preserve">●	Guides others in resolving complex issues in own specialized area and solves complex problems with implications on cross-functional business processes and outcomes		
●	Serves as an advisor and applies knowledge of strategies that can be deployed within own function and discipline		
●	Applies working knowledge of the theories and concepts in other disciplines		
●	May lead teams or projects with broad visibility		</v>
      </c>
      <c r="Z478" s="43" t="str">
        <f>IFERROR(O478&amp;" - "&amp;G478,"--")</f>
        <v>Senior Expert EHS - 14</v>
      </c>
      <c r="AA478" s="44" t="str">
        <f>_xlfn.XLOOKUP($H478,'[1]SIG Qualifications Input'!$D:$D,'[1]SIG Qualifications Input'!$H:$H)</f>
        <v>University degree or equivalent and 8-10 years of work experience or equivalent, 
Experience in functionally leading (sub-)projects / teams</v>
      </c>
    </row>
    <row r="479" spans="1:27" ht="409.6" thickBot="1" x14ac:dyDescent="0.2">
      <c r="A479" s="34" t="str">
        <f>_xlfn.XLOOKUP(C479,'[1]SIG Job Families &amp; Descriptions'!F:F,'[1]SIG Job Families &amp; Descriptions'!B:B)</f>
        <v>Quality Management</v>
      </c>
      <c r="B479" s="34" t="str">
        <f>_xlfn.XLOOKUP(C479,'[1]SIG Job Families &amp; Descriptions'!F:F,'[1]SIG Job Families &amp; Descriptions'!D:D)</f>
        <v>Environmental Health &amp; Safety</v>
      </c>
      <c r="C479" s="34" t="s">
        <v>109</v>
      </c>
      <c r="D479" s="30" t="str">
        <f t="shared" si="14"/>
        <v>AHS</v>
      </c>
      <c r="E479" s="31" t="str">
        <f>_xlfn.XLOOKUP(C479,'[1]SIG Job Families &amp; Descriptions'!F:F,'[1]SIG Job Families &amp; Descriptions'!A:A)</f>
        <v>AHS000</v>
      </c>
      <c r="F479" s="32" t="s">
        <v>32</v>
      </c>
      <c r="G479" s="33" t="s">
        <v>33</v>
      </c>
      <c r="H479" s="34" t="str">
        <f>F479&amp;"-"&amp;G479</f>
        <v>Professional-13</v>
      </c>
      <c r="I479" s="35" t="str">
        <f>IF(ISERROR(_xlfn.XLOOKUP(H479,'[1]SIG Level Structure'!D:D,'[1]SIG Level Structure'!D:D)),"0","1")</f>
        <v>1</v>
      </c>
      <c r="J479" s="36" t="str">
        <f>_xlfn.XLOOKUP($H479,'[1]SIG Level Structure'!$D:$D,'[1]SIG Level Structure'!F:F)</f>
        <v>P4</v>
      </c>
      <c r="K479" s="37" t="str">
        <f>E479&amp;"-"&amp;J479&amp;"-"&amp;G479</f>
        <v>AHS000-P4-13</v>
      </c>
      <c r="L479" s="37" t="str">
        <f>IFERROR(D479&amp;"-"&amp;LEFT(J479,1),"--")</f>
        <v>AHS-P</v>
      </c>
      <c r="M479" s="37" t="str">
        <f>VLOOKUP(L479,'[1]Compatible JC'!$A:$A,1,FALSE)</f>
        <v>AHS-P</v>
      </c>
      <c r="N479" s="37" t="str">
        <f>IFERROR(_xlfn.XLOOKUP(H479,'[1]SIG Level Structure'!D:D,'[1]SIG Level Structure'!C:C),"--")</f>
        <v>Senior Expert</v>
      </c>
      <c r="O479" s="38" t="str">
        <f>IFERROR(TRIM(N479&amp;" "&amp;C479),"--")</f>
        <v>Senior Expert EHS</v>
      </c>
      <c r="P479" s="22" t="str">
        <f>_xlfn.XLOOKUP(E479,'[1]SIG Job Families &amp; Descriptions'!A:A,'[1]SIG Job Families &amp; Descriptions'!G:G)</f>
        <v xml:space="preserve">Develops and implements the organization's positions on environmental policy issues regarding the impact of the organization's operations on water, air and land quality. Designs and implements programs to ensure healthful and safe working conditions and compliance with all environmental regulations, including clean air and hazardous waste disposal, on the organization's premises. Serves as a liaison with external government environmental agencies. Monitors programs and maintains up-to-date records required by environmental permits to ensure government compliance.
And/or designs, develops, implements and oversees the organization's safety or preventive health care programs to safeguard employees. Ensures that all facilities and safety equipement are in compliance with regulations, fire safety standards. Determine and provide employees with safety training and/or medical care/nursing care for the comfort and well-being of employees. Conducts studies and investigations and prepares regular reports/ statistics of e.g. accidents and indicidents to determine the root cause and to develop recommendations for prevention. Develops and provides safety performance measures for monitoring. Maintains comprehensive knowledge of government safety and fire safety regulations or occupation health. </v>
      </c>
      <c r="Q479" s="39" t="str">
        <f>_xlfn.XLOOKUP(E479,'[1]2022 GI Position Descriptions'!E:E,'[1]2022 GI Position Descriptions'!G:G)</f>
        <v>Designs, develops, implements and oversees the organization's environmental, health and safety programs and procedures to safeguard employees and surrounding communities and to ensure that all facilities are in compliance with regulations | Responsibilities are within the Environmental Health and Safety Function as a generalist or in a combination of Disciplines</v>
      </c>
      <c r="R479" s="22" t="str">
        <f>IF(LEFT(J479,1)="E","EX",LEFT(J479,1))</f>
        <v>P</v>
      </c>
      <c r="S479" s="22" t="str">
        <f>_xlfn.XLOOKUP($R479,'[1]Career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79" s="22" t="str">
        <f>J479</f>
        <v>P4</v>
      </c>
      <c r="U479" s="40" t="str">
        <f t="shared" si="15"/>
        <v>P4</v>
      </c>
      <c r="V479" s="22" t="str">
        <f>_xlfn.XLOOKUP(T479,'[1]Career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479" s="41" t="str">
        <f>J479&amp;"-"&amp;G479</f>
        <v>P4-13</v>
      </c>
      <c r="X479" s="42" t="str">
        <f>G479</f>
        <v>13</v>
      </c>
      <c r="Y479" s="22" t="str">
        <f>_xlfn.XLOOKUP(W479,'[1]Career Bands &amp; Levels'!A:A,'[1]Career Bands &amp; Levels'!C:C,"No Grade Differentiator")</f>
        <v xml:space="preserve">●	Guides others in resolving complex issues in specialized area based on existing solutions and procedures		
●	Serves as an expert within own discipline		
●	May lead function teams or projects and serves as a best practices/quality resource		
●	Trains/mentors junior staff		</v>
      </c>
      <c r="Z479" s="43" t="str">
        <f>IFERROR(O479&amp;" - "&amp;G479,"--")</f>
        <v>Senior Expert EHS - 13</v>
      </c>
      <c r="AA479" s="44" t="str">
        <f>_xlfn.XLOOKUP($H479,'[1]SIG Qualifications Input'!$D:$D,'[1]SIG Qualifications Input'!$H:$H)</f>
        <v>University degree or equivalent and 8-10 years of work experience or equivalent, 
Experience in functionally leading (sub-)projects / teams</v>
      </c>
    </row>
    <row r="480" spans="1:27" ht="409.6" thickBot="1" x14ac:dyDescent="0.2">
      <c r="A480" s="34" t="str">
        <f>_xlfn.XLOOKUP(C480,'[1]SIG Job Families &amp; Descriptions'!F:F,'[1]SIG Job Families &amp; Descriptions'!B:B)</f>
        <v>Quality Management</v>
      </c>
      <c r="B480" s="34" t="str">
        <f>_xlfn.XLOOKUP(C480,'[1]SIG Job Families &amp; Descriptions'!F:F,'[1]SIG Job Families &amp; Descriptions'!D:D)</f>
        <v>Environmental Health &amp; Safety</v>
      </c>
      <c r="C480" s="34" t="s">
        <v>109</v>
      </c>
      <c r="D480" s="30" t="str">
        <f t="shared" si="14"/>
        <v>AHS</v>
      </c>
      <c r="E480" s="31" t="str">
        <f>_xlfn.XLOOKUP(C480,'[1]SIG Job Families &amp; Descriptions'!F:F,'[1]SIG Job Families &amp; Descriptions'!A:A)</f>
        <v>AHS000</v>
      </c>
      <c r="F480" s="32" t="s">
        <v>32</v>
      </c>
      <c r="G480" s="33" t="s">
        <v>34</v>
      </c>
      <c r="H480" s="34" t="str">
        <f>F480&amp;"-"&amp;G480</f>
        <v>Professional-12</v>
      </c>
      <c r="I480" s="35" t="str">
        <f>IF(ISERROR(_xlfn.XLOOKUP(H480,'[1]SIG Level Structure'!D:D,'[1]SIG Level Structure'!D:D)),"0","1")</f>
        <v>1</v>
      </c>
      <c r="J480" s="36" t="str">
        <f>_xlfn.XLOOKUP($H480,'[1]SIG Level Structure'!$D:$D,'[1]SIG Level Structure'!F:F)</f>
        <v>P3</v>
      </c>
      <c r="K480" s="37" t="str">
        <f>E480&amp;"-"&amp;J480&amp;"-"&amp;G480</f>
        <v>AHS000-P3-12</v>
      </c>
      <c r="L480" s="37" t="str">
        <f>IFERROR(D480&amp;"-"&amp;LEFT(J480,1),"--")</f>
        <v>AHS-P</v>
      </c>
      <c r="M480" s="37" t="str">
        <f>VLOOKUP(L480,'[1]Compatible JC'!$A:$A,1,FALSE)</f>
        <v>AHS-P</v>
      </c>
      <c r="N480" s="37" t="str">
        <f>IFERROR(_xlfn.XLOOKUP(H480,'[1]SIG Level Structure'!D:D,'[1]SIG Level Structure'!C:C),"--")</f>
        <v>Expert</v>
      </c>
      <c r="O480" s="38" t="str">
        <f>IFERROR(TRIM(N480&amp;" "&amp;C480),"--")</f>
        <v>Expert EHS</v>
      </c>
      <c r="P480" s="22" t="str">
        <f>_xlfn.XLOOKUP(E480,'[1]SIG Job Families &amp; Descriptions'!A:A,'[1]SIG Job Families &amp; Descriptions'!G:G)</f>
        <v xml:space="preserve">Develops and implements the organization's positions on environmental policy issues regarding the impact of the organization's operations on water, air and land quality. Designs and implements programs to ensure healthful and safe working conditions and compliance with all environmental regulations, including clean air and hazardous waste disposal, on the organization's premises. Serves as a liaison with external government environmental agencies. Monitors programs and maintains up-to-date records required by environmental permits to ensure government compliance.
And/or designs, develops, implements and oversees the organization's safety or preventive health care programs to safeguard employees. Ensures that all facilities and safety equipement are in compliance with regulations, fire safety standards. Determine and provide employees with safety training and/or medical care/nursing care for the comfort and well-being of employees. Conducts studies and investigations and prepares regular reports/ statistics of e.g. accidents and indicidents to determine the root cause and to develop recommendations for prevention. Develops and provides safety performance measures for monitoring. Maintains comprehensive knowledge of government safety and fire safety regulations or occupation health. </v>
      </c>
      <c r="Q480" s="39" t="str">
        <f>_xlfn.XLOOKUP(E480,'[1]2022 GI Position Descriptions'!E:E,'[1]2022 GI Position Descriptions'!G:G)</f>
        <v>Designs, develops, implements and oversees the organization's environmental, health and safety programs and procedures to safeguard employees and surrounding communities and to ensure that all facilities are in compliance with regulations | Responsibilities are within the Environmental Health and Safety Function as a generalist or in a combination of Disciplines</v>
      </c>
      <c r="R480" s="22" t="str">
        <f>IF(LEFT(J480,1)="E","EX",LEFT(J480,1))</f>
        <v>P</v>
      </c>
      <c r="S480" s="22" t="str">
        <f>_xlfn.XLOOKUP($R480,'[1]Career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80" s="22" t="str">
        <f>J480</f>
        <v>P3</v>
      </c>
      <c r="U480" s="40" t="str">
        <f t="shared" si="15"/>
        <v>P3</v>
      </c>
      <c r="V480" s="22" t="str">
        <f>_xlfn.XLOOKUP(T480,'[1]Career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480" s="41" t="str">
        <f>J480&amp;"-"&amp;G480</f>
        <v>P3-12</v>
      </c>
      <c r="X480" s="42" t="str">
        <f>G480</f>
        <v>12</v>
      </c>
      <c r="Y480" s="22" t="str">
        <f>_xlfn.XLOOKUP(W480,'[1]Career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480" s="43" t="str">
        <f>IFERROR(O480&amp;" - "&amp;G480,"--")</f>
        <v>Expert EHS - 12</v>
      </c>
      <c r="AA480" s="44" t="str">
        <f>_xlfn.XLOOKUP($H480,'[1]SIG Qualifications Input'!$D:$D,'[1]SIG Qualifications Input'!$H:$H)</f>
        <v>University degree or equivalent and 4-8 years of work experience or equivalent, 
Initial experience in functionally leading (sub-) projects</v>
      </c>
    </row>
    <row r="481" spans="1:27" ht="409.6" thickBot="1" x14ac:dyDescent="0.2">
      <c r="A481" s="34" t="str">
        <f>_xlfn.XLOOKUP(C481,'[1]SIG Job Families &amp; Descriptions'!F:F,'[1]SIG Job Families &amp; Descriptions'!B:B)</f>
        <v>Quality Management</v>
      </c>
      <c r="B481" s="34" t="str">
        <f>_xlfn.XLOOKUP(C481,'[1]SIG Job Families &amp; Descriptions'!F:F,'[1]SIG Job Families &amp; Descriptions'!D:D)</f>
        <v>Environmental Health &amp; Safety</v>
      </c>
      <c r="C481" s="34" t="s">
        <v>109</v>
      </c>
      <c r="D481" s="30" t="str">
        <f t="shared" si="14"/>
        <v>AHS</v>
      </c>
      <c r="E481" s="31" t="str">
        <f>_xlfn.XLOOKUP(C481,'[1]SIG Job Families &amp; Descriptions'!F:F,'[1]SIG Job Families &amp; Descriptions'!A:A)</f>
        <v>AHS000</v>
      </c>
      <c r="F481" s="32" t="s">
        <v>32</v>
      </c>
      <c r="G481" s="33" t="s">
        <v>35</v>
      </c>
      <c r="H481" s="34" t="str">
        <f>F481&amp;"-"&amp;G481</f>
        <v>Professional-11</v>
      </c>
      <c r="I481" s="35" t="str">
        <f>IF(ISERROR(_xlfn.XLOOKUP(H481,'[1]SIG Level Structure'!D:D,'[1]SIG Level Structure'!D:D)),"0","1")</f>
        <v>1</v>
      </c>
      <c r="J481" s="36" t="str">
        <f>_xlfn.XLOOKUP($H481,'[1]SIG Level Structure'!$D:$D,'[1]SIG Level Structure'!F:F)</f>
        <v>P3</v>
      </c>
      <c r="K481" s="37" t="str">
        <f>E481&amp;"-"&amp;J481&amp;"-"&amp;G481</f>
        <v>AHS000-P3-11</v>
      </c>
      <c r="L481" s="37" t="str">
        <f>IFERROR(D481&amp;"-"&amp;LEFT(J481,1),"--")</f>
        <v>AHS-P</v>
      </c>
      <c r="M481" s="37" t="str">
        <f>VLOOKUP(L481,'[1]Compatible JC'!$A:$A,1,FALSE)</f>
        <v>AHS-P</v>
      </c>
      <c r="N481" s="37" t="str">
        <f>IFERROR(_xlfn.XLOOKUP(H481,'[1]SIG Level Structure'!D:D,'[1]SIG Level Structure'!C:C),"--")</f>
        <v>Expert</v>
      </c>
      <c r="O481" s="38" t="str">
        <f>IFERROR(TRIM(N481&amp;" "&amp;C481),"--")</f>
        <v>Expert EHS</v>
      </c>
      <c r="P481" s="22" t="str">
        <f>_xlfn.XLOOKUP(E481,'[1]SIG Job Families &amp; Descriptions'!A:A,'[1]SIG Job Families &amp; Descriptions'!G:G)</f>
        <v xml:space="preserve">Develops and implements the organization's positions on environmental policy issues regarding the impact of the organization's operations on water, air and land quality. Designs and implements programs to ensure healthful and safe working conditions and compliance with all environmental regulations, including clean air and hazardous waste disposal, on the organization's premises. Serves as a liaison with external government environmental agencies. Monitors programs and maintains up-to-date records required by environmental permits to ensure government compliance.
And/or designs, develops, implements and oversees the organization's safety or preventive health care programs to safeguard employees. Ensures that all facilities and safety equipement are in compliance with regulations, fire safety standards. Determine and provide employees with safety training and/or medical care/nursing care for the comfort and well-being of employees. Conducts studies and investigations and prepares regular reports/ statistics of e.g. accidents and indicidents to determine the root cause and to develop recommendations for prevention. Develops and provides safety performance measures for monitoring. Maintains comprehensive knowledge of government safety and fire safety regulations or occupation health. </v>
      </c>
      <c r="Q481" s="39" t="str">
        <f>_xlfn.XLOOKUP(E481,'[1]2022 GI Position Descriptions'!E:E,'[1]2022 GI Position Descriptions'!G:G)</f>
        <v>Designs, develops, implements and oversees the organization's environmental, health and safety programs and procedures to safeguard employees and surrounding communities and to ensure that all facilities are in compliance with regulations | Responsibilities are within the Environmental Health and Safety Function as a generalist or in a combination of Disciplines</v>
      </c>
      <c r="R481" s="22" t="str">
        <f>IF(LEFT(J481,1)="E","EX",LEFT(J481,1))</f>
        <v>P</v>
      </c>
      <c r="S481" s="22" t="str">
        <f>_xlfn.XLOOKUP($R481,'[1]Career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81" s="22" t="str">
        <f>J481</f>
        <v>P3</v>
      </c>
      <c r="U481" s="40" t="str">
        <f t="shared" si="15"/>
        <v>P3</v>
      </c>
      <c r="V481" s="22" t="str">
        <f>_xlfn.XLOOKUP(T481,'[1]Career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481" s="41" t="str">
        <f>J481&amp;"-"&amp;G481</f>
        <v>P3-11</v>
      </c>
      <c r="X481" s="42" t="str">
        <f>G481</f>
        <v>11</v>
      </c>
      <c r="Y481" s="22" t="str">
        <f>_xlfn.XLOOKUP(W481,'[1]Career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481" s="43" t="str">
        <f>IFERROR(O481&amp;" - "&amp;G481,"--")</f>
        <v>Expert EHS - 11</v>
      </c>
      <c r="AA481" s="44" t="str">
        <f>_xlfn.XLOOKUP($H481,'[1]SIG Qualifications Input'!$D:$D,'[1]SIG Qualifications Input'!$H:$H)</f>
        <v>University degree or equivalent and 4-8 years of work experience or equivalent, 
Initial experience in functionally leading (sub-) projects</v>
      </c>
    </row>
    <row r="482" spans="1:27" ht="409.6" thickBot="1" x14ac:dyDescent="0.2">
      <c r="A482" s="34" t="str">
        <f>_xlfn.XLOOKUP(C482,'[1]SIG Job Families &amp; Descriptions'!F:F,'[1]SIG Job Families &amp; Descriptions'!B:B)</f>
        <v>Quality Management</v>
      </c>
      <c r="B482" s="34" t="str">
        <f>_xlfn.XLOOKUP(C482,'[1]SIG Job Families &amp; Descriptions'!F:F,'[1]SIG Job Families &amp; Descriptions'!D:D)</f>
        <v>Environmental Health &amp; Safety</v>
      </c>
      <c r="C482" s="34" t="s">
        <v>109</v>
      </c>
      <c r="D482" s="30" t="str">
        <f t="shared" si="14"/>
        <v>AHS</v>
      </c>
      <c r="E482" s="31" t="str">
        <f>_xlfn.XLOOKUP(C482,'[1]SIG Job Families &amp; Descriptions'!F:F,'[1]SIG Job Families &amp; Descriptions'!A:A)</f>
        <v>AHS000</v>
      </c>
      <c r="F482" s="32" t="s">
        <v>32</v>
      </c>
      <c r="G482" s="33" t="s">
        <v>36</v>
      </c>
      <c r="H482" s="34" t="str">
        <f>F482&amp;"-"&amp;G482</f>
        <v>Professional-10</v>
      </c>
      <c r="I482" s="35" t="str">
        <f>IF(ISERROR(_xlfn.XLOOKUP(H482,'[1]SIG Level Structure'!D:D,'[1]SIG Level Structure'!D:D)),"0","1")</f>
        <v>1</v>
      </c>
      <c r="J482" s="36" t="str">
        <f>_xlfn.XLOOKUP($H482,'[1]SIG Level Structure'!$D:$D,'[1]SIG Level Structure'!F:F)</f>
        <v>P2</v>
      </c>
      <c r="K482" s="37" t="str">
        <f>E482&amp;"-"&amp;J482&amp;"-"&amp;G482</f>
        <v>AHS000-P2-10</v>
      </c>
      <c r="L482" s="37" t="str">
        <f>IFERROR(D482&amp;"-"&amp;LEFT(J482,1),"--")</f>
        <v>AHS-P</v>
      </c>
      <c r="M482" s="37" t="str">
        <f>VLOOKUP(L482,'[1]Compatible JC'!$A:$A,1,FALSE)</f>
        <v>AHS-P</v>
      </c>
      <c r="N482" s="37" t="str">
        <f>IFERROR(_xlfn.XLOOKUP(H482,'[1]SIG Level Structure'!D:D,'[1]SIG Level Structure'!C:C),"--")</f>
        <v>Senior Specialist</v>
      </c>
      <c r="O482" s="38" t="str">
        <f>IFERROR(TRIM(N482&amp;" "&amp;C482),"--")</f>
        <v>Senior Specialist EHS</v>
      </c>
      <c r="P482" s="22" t="str">
        <f>_xlfn.XLOOKUP(E482,'[1]SIG Job Families &amp; Descriptions'!A:A,'[1]SIG Job Families &amp; Descriptions'!G:G)</f>
        <v xml:space="preserve">Develops and implements the organization's positions on environmental policy issues regarding the impact of the organization's operations on water, air and land quality. Designs and implements programs to ensure healthful and safe working conditions and compliance with all environmental regulations, including clean air and hazardous waste disposal, on the organization's premises. Serves as a liaison with external government environmental agencies. Monitors programs and maintains up-to-date records required by environmental permits to ensure government compliance.
And/or designs, develops, implements and oversees the organization's safety or preventive health care programs to safeguard employees. Ensures that all facilities and safety equipement are in compliance with regulations, fire safety standards. Determine and provide employees with safety training and/or medical care/nursing care for the comfort and well-being of employees. Conducts studies and investigations and prepares regular reports/ statistics of e.g. accidents and indicidents to determine the root cause and to develop recommendations for prevention. Develops and provides safety performance measures for monitoring. Maintains comprehensive knowledge of government safety and fire safety regulations or occupation health. </v>
      </c>
      <c r="Q482" s="39" t="str">
        <f>_xlfn.XLOOKUP(E482,'[1]2022 GI Position Descriptions'!E:E,'[1]2022 GI Position Descriptions'!G:G)</f>
        <v>Designs, develops, implements and oversees the organization's environmental, health and safety programs and procedures to safeguard employees and surrounding communities and to ensure that all facilities are in compliance with regulations | Responsibilities are within the Environmental Health and Safety Function as a generalist or in a combination of Disciplines</v>
      </c>
      <c r="R482" s="22" t="str">
        <f>IF(LEFT(J482,1)="E","EX",LEFT(J482,1))</f>
        <v>P</v>
      </c>
      <c r="S482" s="22" t="str">
        <f>_xlfn.XLOOKUP($R482,'[1]Career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82" s="22" t="str">
        <f>J482</f>
        <v>P2</v>
      </c>
      <c r="U482" s="40" t="str">
        <f t="shared" si="15"/>
        <v>P2</v>
      </c>
      <c r="V482" s="22" t="str">
        <f>_xlfn.XLOOKUP(T482,'[1]Career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482" s="41" t="str">
        <f>J482&amp;"-"&amp;G482</f>
        <v>P2-10</v>
      </c>
      <c r="X482" s="42" t="str">
        <f>G482</f>
        <v>10</v>
      </c>
      <c r="Y482" s="22" t="str">
        <f>_xlfn.XLOOKUP(W482,'[1]Career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482" s="43" t="str">
        <f>IFERROR(O482&amp;" - "&amp;G482,"--")</f>
        <v>Senior Specialist EHS - 10</v>
      </c>
      <c r="AA482" s="44" t="str">
        <f>_xlfn.XLOOKUP($H482,'[1]SIG Qualifications Input'!$D:$D,'[1]SIG Qualifications Input'!$H:$H)</f>
        <v>University degree or equivalent and 2-4 years of work experience or equivalent</v>
      </c>
    </row>
    <row r="483" spans="1:27" ht="409.6" thickBot="1" x14ac:dyDescent="0.2">
      <c r="A483" s="34" t="str">
        <f>_xlfn.XLOOKUP(C483,'[1]SIG Job Families &amp; Descriptions'!F:F,'[1]SIG Job Families &amp; Descriptions'!B:B)</f>
        <v>Quality Management</v>
      </c>
      <c r="B483" s="34" t="str">
        <f>_xlfn.XLOOKUP(C483,'[1]SIG Job Families &amp; Descriptions'!F:F,'[1]SIG Job Families &amp; Descriptions'!D:D)</f>
        <v>Environmental Health &amp; Safety</v>
      </c>
      <c r="C483" s="34" t="s">
        <v>109</v>
      </c>
      <c r="D483" s="30" t="str">
        <f t="shared" si="14"/>
        <v>AHS</v>
      </c>
      <c r="E483" s="31" t="str">
        <f>_xlfn.XLOOKUP(C483,'[1]SIG Job Families &amp; Descriptions'!F:F,'[1]SIG Job Families &amp; Descriptions'!A:A)</f>
        <v>AHS000</v>
      </c>
      <c r="F483" s="32" t="s">
        <v>32</v>
      </c>
      <c r="G483" s="33" t="s">
        <v>37</v>
      </c>
      <c r="H483" s="34" t="str">
        <f>F483&amp;"-"&amp;G483</f>
        <v>Professional-09</v>
      </c>
      <c r="I483" s="35" t="str">
        <f>IF(ISERROR(_xlfn.XLOOKUP(H483,'[1]SIG Level Structure'!D:D,'[1]SIG Level Structure'!D:D)),"0","1")</f>
        <v>1</v>
      </c>
      <c r="J483" s="36" t="str">
        <f>_xlfn.XLOOKUP($H483,'[1]SIG Level Structure'!$D:$D,'[1]SIG Level Structure'!F:F)</f>
        <v>P2</v>
      </c>
      <c r="K483" s="37" t="str">
        <f>E483&amp;"-"&amp;J483&amp;"-"&amp;G483</f>
        <v>AHS000-P2-09</v>
      </c>
      <c r="L483" s="37" t="str">
        <f>IFERROR(D483&amp;"-"&amp;LEFT(J483,1),"--")</f>
        <v>AHS-P</v>
      </c>
      <c r="M483" s="37" t="str">
        <f>VLOOKUP(L483,'[1]Compatible JC'!$A:$A,1,FALSE)</f>
        <v>AHS-P</v>
      </c>
      <c r="N483" s="37" t="str">
        <f>IFERROR(_xlfn.XLOOKUP(H483,'[1]SIG Level Structure'!D:D,'[1]SIG Level Structure'!C:C),"--")</f>
        <v>Senior Specialist</v>
      </c>
      <c r="O483" s="38" t="str">
        <f>IFERROR(TRIM(N483&amp;" "&amp;C483),"--")</f>
        <v>Senior Specialist EHS</v>
      </c>
      <c r="P483" s="22" t="str">
        <f>_xlfn.XLOOKUP(E483,'[1]SIG Job Families &amp; Descriptions'!A:A,'[1]SIG Job Families &amp; Descriptions'!G:G)</f>
        <v xml:space="preserve">Develops and implements the organization's positions on environmental policy issues regarding the impact of the organization's operations on water, air and land quality. Designs and implements programs to ensure healthful and safe working conditions and compliance with all environmental regulations, including clean air and hazardous waste disposal, on the organization's premises. Serves as a liaison with external government environmental agencies. Monitors programs and maintains up-to-date records required by environmental permits to ensure government compliance.
And/or designs, develops, implements and oversees the organization's safety or preventive health care programs to safeguard employees. Ensures that all facilities and safety equipement are in compliance with regulations, fire safety standards. Determine and provide employees with safety training and/or medical care/nursing care for the comfort and well-being of employees. Conducts studies and investigations and prepares regular reports/ statistics of e.g. accidents and indicidents to determine the root cause and to develop recommendations for prevention. Develops and provides safety performance measures for monitoring. Maintains comprehensive knowledge of government safety and fire safety regulations or occupation health. </v>
      </c>
      <c r="Q483" s="39" t="str">
        <f>_xlfn.XLOOKUP(E483,'[1]2022 GI Position Descriptions'!E:E,'[1]2022 GI Position Descriptions'!G:G)</f>
        <v>Designs, develops, implements and oversees the organization's environmental, health and safety programs and procedures to safeguard employees and surrounding communities and to ensure that all facilities are in compliance with regulations | Responsibilities are within the Environmental Health and Safety Function as a generalist or in a combination of Disciplines</v>
      </c>
      <c r="R483" s="22" t="str">
        <f>IF(LEFT(J483,1)="E","EX",LEFT(J483,1))</f>
        <v>P</v>
      </c>
      <c r="S483" s="22" t="str">
        <f>_xlfn.XLOOKUP($R483,'[1]Career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83" s="22" t="str">
        <f>J483</f>
        <v>P2</v>
      </c>
      <c r="U483" s="40" t="str">
        <f t="shared" si="15"/>
        <v>P2</v>
      </c>
      <c r="V483" s="22" t="str">
        <f>_xlfn.XLOOKUP(T483,'[1]Career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483" s="41" t="str">
        <f>J483&amp;"-"&amp;G483</f>
        <v>P2-09</v>
      </c>
      <c r="X483" s="42" t="str">
        <f>G483</f>
        <v>09</v>
      </c>
      <c r="Y483" s="22" t="str">
        <f>_xlfn.XLOOKUP(W483,'[1]Career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483" s="43" t="str">
        <f>IFERROR(O483&amp;" - "&amp;G483,"--")</f>
        <v>Senior Specialist EHS - 09</v>
      </c>
      <c r="AA483" s="44" t="str">
        <f>_xlfn.XLOOKUP($H483,'[1]SIG Qualifications Input'!$D:$D,'[1]SIG Qualifications Input'!$H:$H)</f>
        <v>University degree or equivalent and 2-4 years of work experience or equivalent</v>
      </c>
    </row>
    <row r="484" spans="1:27" ht="409.6" thickBot="1" x14ac:dyDescent="0.2">
      <c r="A484" s="34" t="str">
        <f>_xlfn.XLOOKUP(C484,'[1]SIG Job Families &amp; Descriptions'!F:F,'[1]SIG Job Families &amp; Descriptions'!B:B)</f>
        <v>Quality Management</v>
      </c>
      <c r="B484" s="34" t="str">
        <f>_xlfn.XLOOKUP(C484,'[1]SIG Job Families &amp; Descriptions'!F:F,'[1]SIG Job Families &amp; Descriptions'!D:D)</f>
        <v>Environmental Health &amp; Safety</v>
      </c>
      <c r="C484" s="34" t="s">
        <v>109</v>
      </c>
      <c r="D484" s="30" t="str">
        <f t="shared" si="14"/>
        <v>AHS</v>
      </c>
      <c r="E484" s="31" t="str">
        <f>_xlfn.XLOOKUP(C484,'[1]SIG Job Families &amp; Descriptions'!F:F,'[1]SIG Job Families &amp; Descriptions'!A:A)</f>
        <v>AHS000</v>
      </c>
      <c r="F484" s="32" t="s">
        <v>32</v>
      </c>
      <c r="G484" s="33" t="s">
        <v>43</v>
      </c>
      <c r="H484" s="34" t="str">
        <f>F484&amp;"-"&amp;G484</f>
        <v>Professional-08</v>
      </c>
      <c r="I484" s="35" t="str">
        <f>IF(ISERROR(_xlfn.XLOOKUP(H484,'[1]SIG Level Structure'!D:D,'[1]SIG Level Structure'!D:D)),"0","1")</f>
        <v>1</v>
      </c>
      <c r="J484" s="36" t="str">
        <f>_xlfn.XLOOKUP($H484,'[1]SIG Level Structure'!$D:$D,'[1]SIG Level Structure'!F:F)</f>
        <v>P1</v>
      </c>
      <c r="K484" s="37" t="str">
        <f>E484&amp;"-"&amp;J484&amp;"-"&amp;G484</f>
        <v>AHS000-P1-08</v>
      </c>
      <c r="L484" s="37" t="str">
        <f>IFERROR(D484&amp;"-"&amp;LEFT(J484,1),"--")</f>
        <v>AHS-P</v>
      </c>
      <c r="M484" s="37" t="str">
        <f>VLOOKUP(L484,'[1]Compatible JC'!$A:$A,1,FALSE)</f>
        <v>AHS-P</v>
      </c>
      <c r="N484" s="37" t="str">
        <f>IFERROR(_xlfn.XLOOKUP(H484,'[1]SIG Level Structure'!D:D,'[1]SIG Level Structure'!C:C),"--")</f>
        <v>Specialist</v>
      </c>
      <c r="O484" s="38" t="str">
        <f>IFERROR(TRIM(N484&amp;" "&amp;C484),"--")</f>
        <v>Specialist EHS</v>
      </c>
      <c r="P484" s="22" t="str">
        <f>_xlfn.XLOOKUP(E484,'[1]SIG Job Families &amp; Descriptions'!A:A,'[1]SIG Job Families &amp; Descriptions'!G:G)</f>
        <v xml:space="preserve">Develops and implements the organization's positions on environmental policy issues regarding the impact of the organization's operations on water, air and land quality. Designs and implements programs to ensure healthful and safe working conditions and compliance with all environmental regulations, including clean air and hazardous waste disposal, on the organization's premises. Serves as a liaison with external government environmental agencies. Monitors programs and maintains up-to-date records required by environmental permits to ensure government compliance.
And/or designs, develops, implements and oversees the organization's safety or preventive health care programs to safeguard employees. Ensures that all facilities and safety equipement are in compliance with regulations, fire safety standards. Determine and provide employees with safety training and/or medical care/nursing care for the comfort and well-being of employees. Conducts studies and investigations and prepares regular reports/ statistics of e.g. accidents and indicidents to determine the root cause and to develop recommendations for prevention. Develops and provides safety performance measures for monitoring. Maintains comprehensive knowledge of government safety and fire safety regulations or occupation health. </v>
      </c>
      <c r="Q484" s="39" t="str">
        <f>_xlfn.XLOOKUP(E484,'[1]2022 GI Position Descriptions'!E:E,'[1]2022 GI Position Descriptions'!G:G)</f>
        <v>Designs, develops, implements and oversees the organization's environmental, health and safety programs and procedures to safeguard employees and surrounding communities and to ensure that all facilities are in compliance with regulations | Responsibilities are within the Environmental Health and Safety Function as a generalist or in a combination of Disciplines</v>
      </c>
      <c r="R484" s="22" t="str">
        <f>IF(LEFT(J484,1)="E","EX",LEFT(J484,1))</f>
        <v>P</v>
      </c>
      <c r="S484" s="22" t="str">
        <f>_xlfn.XLOOKUP($R484,'[1]Career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84" s="22" t="str">
        <f>J484</f>
        <v>P1</v>
      </c>
      <c r="U484" s="40" t="str">
        <f t="shared" si="15"/>
        <v>P1</v>
      </c>
      <c r="V484" s="22" t="str">
        <f>_xlfn.XLOOKUP(T484,'[1]Career Bands &amp; Levels'!A:A,'[1]Career Bands &amp; Levels'!C:C)</f>
        <v xml:space="preserve">●	Performs routine assignments in the entry level of the Professional Career Band		
●	Typically requires a college or university degree or the equivalent work experience and has conceptual knowledge of fundamental theories, principles and practices 		
●	Has no discretion to vary from established procedures by performing structured work assignments		
●	Uses existing procedures to solve routine or standard problems		
●	Receives instruction, guidance and direction from more senior level roles		</v>
      </c>
      <c r="W484" s="41" t="str">
        <f>J484&amp;"-"&amp;G484</f>
        <v>P1-08</v>
      </c>
      <c r="X484" s="42" t="str">
        <f>G484</f>
        <v>08</v>
      </c>
      <c r="Y484" s="22" t="str">
        <f>_xlfn.XLOOKUP(W484,'[1]Career Bands &amp; Levels'!A:A,'[1]Career Bands &amp; Levels'!C:C,"No Grade Differentiator")</f>
        <v>No Grade Differentiator</v>
      </c>
      <c r="Z484" s="43" t="str">
        <f>IFERROR(O484&amp;" - "&amp;G484,"--")</f>
        <v>Specialist EHS - 08</v>
      </c>
      <c r="AA484" s="44" t="str">
        <f>_xlfn.XLOOKUP($H484,'[1]SIG Qualifications Input'!$D:$D,'[1]SIG Qualifications Input'!$H:$H)</f>
        <v>University degree or equivalent and 0-1 year of work experience or equivalent</v>
      </c>
    </row>
    <row r="485" spans="1:27" ht="409.6" thickBot="1" x14ac:dyDescent="0.2">
      <c r="A485" s="34" t="str">
        <f>_xlfn.XLOOKUP(C485,'[1]SIG Job Families &amp; Descriptions'!F:F,'[1]SIG Job Families &amp; Descriptions'!B:B)</f>
        <v>Quality Management</v>
      </c>
      <c r="B485" s="34" t="str">
        <f>_xlfn.XLOOKUP(C485,'[1]SIG Job Families &amp; Descriptions'!F:F,'[1]SIG Job Families &amp; Descriptions'!D:D)</f>
        <v>Environmental Health &amp; Safety</v>
      </c>
      <c r="C485" s="34" t="s">
        <v>109</v>
      </c>
      <c r="D485" s="30" t="str">
        <f t="shared" si="14"/>
        <v>AHS</v>
      </c>
      <c r="E485" s="31" t="str">
        <f>_xlfn.XLOOKUP(C485,'[1]SIG Job Families &amp; Descriptions'!F:F,'[1]SIG Job Families &amp; Descriptions'!A:A)</f>
        <v>AHS000</v>
      </c>
      <c r="F485" s="32" t="s">
        <v>32</v>
      </c>
      <c r="G485" s="33" t="s">
        <v>52</v>
      </c>
      <c r="H485" s="34" t="str">
        <f>F485&amp;"-"&amp;G485</f>
        <v>Professional-07</v>
      </c>
      <c r="I485" s="35" t="str">
        <f>IF(ISERROR(_xlfn.XLOOKUP(H485,'[1]SIG Level Structure'!D:D,'[1]SIG Level Structure'!D:D)),"0","1")</f>
        <v>1</v>
      </c>
      <c r="J485" s="36" t="str">
        <f>_xlfn.XLOOKUP($H485,'[1]SIG Level Structure'!$D:$D,'[1]SIG Level Structure'!F:F)</f>
        <v>U3</v>
      </c>
      <c r="K485" s="37" t="str">
        <f>E485&amp;"-"&amp;J485&amp;"-"&amp;G485</f>
        <v>AHS000-U3-07</v>
      </c>
      <c r="L485" s="37" t="str">
        <f>IFERROR(D485&amp;"-"&amp;LEFT(J485,1),"--")</f>
        <v>AHS-U</v>
      </c>
      <c r="M485" s="37" t="e">
        <f>VLOOKUP(L485,'[1]Compatible JC'!$A:$A,1,FALSE)</f>
        <v>#N/A</v>
      </c>
      <c r="N485" s="37" t="str">
        <f>IFERROR(_xlfn.XLOOKUP(H485,'[1]SIG Level Structure'!D:D,'[1]SIG Level Structure'!C:C),"--")</f>
        <v>Assistant / Analyst</v>
      </c>
      <c r="O485" s="38" t="str">
        <f>IFERROR(TRIM(N485&amp;" "&amp;C485),"--")</f>
        <v>Assistant / Analyst EHS</v>
      </c>
      <c r="P485" s="22" t="str">
        <f>_xlfn.XLOOKUP(E485,'[1]SIG Job Families &amp; Descriptions'!A:A,'[1]SIG Job Families &amp; Descriptions'!G:G)</f>
        <v xml:space="preserve">Develops and implements the organization's positions on environmental policy issues regarding the impact of the organization's operations on water, air and land quality. Designs and implements programs to ensure healthful and safe working conditions and compliance with all environmental regulations, including clean air and hazardous waste disposal, on the organization's premises. Serves as a liaison with external government environmental agencies. Monitors programs and maintains up-to-date records required by environmental permits to ensure government compliance.
And/or designs, develops, implements and oversees the organization's safety or preventive health care programs to safeguard employees. Ensures that all facilities and safety equipement are in compliance with regulations, fire safety standards. Determine and provide employees with safety training and/or medical care/nursing care for the comfort and well-being of employees. Conducts studies and investigations and prepares regular reports/ statistics of e.g. accidents and indicidents to determine the root cause and to develop recommendations for prevention. Develops and provides safety performance measures for monitoring. Maintains comprehensive knowledge of government safety and fire safety regulations or occupation health. </v>
      </c>
      <c r="Q485" s="39" t="str">
        <f>_xlfn.XLOOKUP(E485,'[1]2022 GI Position Descriptions'!E:E,'[1]2022 GI Position Descriptions'!G:G)</f>
        <v>Designs, develops, implements and oversees the organization's environmental, health and safety programs and procedures to safeguard employees and surrounding communities and to ensure that all facilities are in compliance with regulations | Responsibilities are within the Environmental Health and Safety Function as a generalist or in a combination of Disciplines</v>
      </c>
      <c r="R485" s="22" t="str">
        <f>IF(LEFT(J485,1)="E","EX",LEFT(J485,1))</f>
        <v>U</v>
      </c>
      <c r="S485" s="22" t="str">
        <f>_xlfn.XLOOKUP($R485,'[1]Career Bands &amp; Levels'!A:A,'[1]Career Bands &amp; Levels'!C:C)</f>
        <v>● Performs clerical/administrative or specialized support tasks in an office, field or retail store/site setting
● May require vocational training or the equivalent experience, but does not require a university degree</v>
      </c>
      <c r="T485" s="22" t="str">
        <f>J485</f>
        <v>U3</v>
      </c>
      <c r="U485" s="40" t="str">
        <f t="shared" si="15"/>
        <v>U3</v>
      </c>
      <c r="V485" s="22" t="str">
        <f>_xlfn.XLOOKUP(T485,'[1]Career Bands &amp; Levels'!A:A,'[1]Career Bands &amp; Levels'!C:C)</f>
        <v xml:space="preserve">●	Has full proficiency gained through job-related training and considerable work experience		
●	Completes work with a limited degree of supervision		
●	Likely to act as an informal resource for colleagues with less experience		
●	Identifies key issues and patterns from partial/conflicting data		
●	Takes a broad perspective to problems and spots new, less obvious solutions		</v>
      </c>
      <c r="W485" s="41" t="str">
        <f>J485&amp;"-"&amp;G485</f>
        <v>U3-07</v>
      </c>
      <c r="X485" s="42" t="str">
        <f>G485</f>
        <v>07</v>
      </c>
      <c r="Y485" s="22" t="str">
        <f>_xlfn.XLOOKUP(W485,'[1]Career Bands &amp; Levels'!A:A,'[1]Career Bands &amp; Levels'!C:C,"No Grade Differentiator")</f>
        <v>No Grade Differentiator</v>
      </c>
      <c r="Z485" s="43" t="str">
        <f>IFERROR(O485&amp;" - "&amp;G485,"--")</f>
        <v>Assistant / Analyst EHS - 07</v>
      </c>
      <c r="AA485" s="44" t="str">
        <f>_xlfn.XLOOKUP($H485,'[1]SIG Qualifications Input'!$D:$D,'[1]SIG Qualifications Input'!$H:$H)</f>
        <v>Vocational training in e.g. commercial field or equivalent work experience. Up to 5 years of experience, possibly further internal trainings.</v>
      </c>
    </row>
    <row r="486" spans="1:27" ht="409.6" thickBot="1" x14ac:dyDescent="0.2">
      <c r="A486" s="34" t="str">
        <f>_xlfn.XLOOKUP(C486,'[1]SIG Job Families &amp; Descriptions'!F:F,'[1]SIG Job Families &amp; Descriptions'!B:B)</f>
        <v>Quality Management</v>
      </c>
      <c r="B486" s="34" t="str">
        <f>_xlfn.XLOOKUP(C486,'[1]SIG Job Families &amp; Descriptions'!F:F,'[1]SIG Job Families &amp; Descriptions'!D:D)</f>
        <v>Environmental Health &amp; Safety</v>
      </c>
      <c r="C486" s="34" t="s">
        <v>109</v>
      </c>
      <c r="D486" s="30" t="str">
        <f t="shared" si="14"/>
        <v>AHS</v>
      </c>
      <c r="E486" s="31" t="str">
        <f>_xlfn.XLOOKUP(C486,'[1]SIG Job Families &amp; Descriptions'!F:F,'[1]SIG Job Families &amp; Descriptions'!A:A)</f>
        <v>AHS000</v>
      </c>
      <c r="F486" s="32" t="s">
        <v>50</v>
      </c>
      <c r="G486" s="33" t="s">
        <v>37</v>
      </c>
      <c r="H486" s="34" t="str">
        <f>F486&amp;"-"&amp;G486</f>
        <v>Operations-09</v>
      </c>
      <c r="I486" s="35" t="str">
        <f>IF(ISERROR(_xlfn.XLOOKUP(H486,'[1]SIG Level Structure'!D:D,'[1]SIG Level Structure'!D:D)),"0","1")</f>
        <v>1</v>
      </c>
      <c r="J486" s="36" t="str">
        <f>_xlfn.XLOOKUP($H486,'[1]SIG Level Structure'!$D:$D,'[1]SIG Level Structure'!F:F)</f>
        <v>T4</v>
      </c>
      <c r="K486" s="37" t="str">
        <f>E486&amp;"-"&amp;J486&amp;"-"&amp;G486</f>
        <v>AHS000-T4-09</v>
      </c>
      <c r="L486" s="37" t="str">
        <f>IFERROR(D486&amp;"-"&amp;LEFT(J486,1),"--")</f>
        <v>AHS-T</v>
      </c>
      <c r="M486" s="37" t="str">
        <f>VLOOKUP(L486,'[1]Compatible JC'!$A:$A,1,FALSE)</f>
        <v>AHS-T</v>
      </c>
      <c r="N486" s="37" t="str">
        <f>IFERROR(_xlfn.XLOOKUP(H486,'[1]SIG Level Structure'!D:D,'[1]SIG Level Structure'!C:C),"--")</f>
        <v>Technician</v>
      </c>
      <c r="O486" s="38" t="str">
        <f>IFERROR(TRIM(N486&amp;" "&amp;C486),"--")</f>
        <v>Technician EHS</v>
      </c>
      <c r="P486" s="22" t="str">
        <f>_xlfn.XLOOKUP(E486,'[1]SIG Job Families &amp; Descriptions'!A:A,'[1]SIG Job Families &amp; Descriptions'!G:G)</f>
        <v xml:space="preserve">Develops and implements the organization's positions on environmental policy issues regarding the impact of the organization's operations on water, air and land quality. Designs and implements programs to ensure healthful and safe working conditions and compliance with all environmental regulations, including clean air and hazardous waste disposal, on the organization's premises. Serves as a liaison with external government environmental agencies. Monitors programs and maintains up-to-date records required by environmental permits to ensure government compliance.
And/or designs, develops, implements and oversees the organization's safety or preventive health care programs to safeguard employees. Ensures that all facilities and safety equipement are in compliance with regulations, fire safety standards. Determine and provide employees with safety training and/or medical care/nursing care for the comfort and well-being of employees. Conducts studies and investigations and prepares regular reports/ statistics of e.g. accidents and indicidents to determine the root cause and to develop recommendations for prevention. Develops and provides safety performance measures for monitoring. Maintains comprehensive knowledge of government safety and fire safety regulations or occupation health. </v>
      </c>
      <c r="Q486" s="39" t="str">
        <f>_xlfn.XLOOKUP(E486,'[1]2022 GI Position Descriptions'!E:E,'[1]2022 GI Position Descriptions'!G:G)</f>
        <v>Designs, develops, implements and oversees the organization's environmental, health and safety programs and procedures to safeguard employees and surrounding communities and to ensure that all facilities are in compliance with regulations | Responsibilities are within the Environmental Health and Safety Function as a generalist or in a combination of Disciplines</v>
      </c>
      <c r="R486" s="22" t="str">
        <f>IF(LEFT(J486,1)="E","EX",LEFT(J486,1))</f>
        <v>T</v>
      </c>
      <c r="S486" s="22" t="str">
        <f>_xlfn.XLOOKUP($R486,'[1]Career Bands &amp; Levels'!A:A,'[1]Career Bands &amp; Levels'!C:C)</f>
        <v>● Performs specialized technical tasks required to support operations (e.g., IT development, research support, skilled trade)
● Requires vocational training or the equivalent experience and may require external certification but typically does not require a university degree</v>
      </c>
      <c r="T486" s="22" t="str">
        <f>J486</f>
        <v>T4</v>
      </c>
      <c r="U486" s="40" t="str">
        <f t="shared" si="15"/>
        <v>T4</v>
      </c>
      <c r="V486" s="22" t="str">
        <f>_xlfn.XLOOKUP(T486,'[1]Career Bands &amp; Levels'!A:A,'[1]Career Bands &amp; Levels'!C:C)</f>
        <v xml:space="preserve">●	Has advanced and specialized expertise, typically developed through a combination of job-related training and considerable work experience		
●	Proposes improvements to processes		
●	May act as a lead, coordinating and facilitating the work of others but is not a supervisor		
●	Works autonomously within established procedures and practices		
●	Spends a majority of working time performing the same work processes and activities as employees on team		</v>
      </c>
      <c r="W486" s="41" t="str">
        <f>J486&amp;"-"&amp;G486</f>
        <v>T4-09</v>
      </c>
      <c r="X486" s="42" t="str">
        <f>G486</f>
        <v>09</v>
      </c>
      <c r="Y486" s="22" t="str">
        <f>_xlfn.XLOOKUP(W486,'[1]Career Bands &amp; Levels'!A:A,'[1]Career Bands &amp; Levels'!C:C,"No Grade Differentiator")</f>
        <v xml:space="preserve">●	Performs a variety of complex tasks and/or may lead a team in the performance of a variety of tasks that are often routine		
●	Solves complex problems of a recurring nature		</v>
      </c>
      <c r="Z486" s="43" t="str">
        <f>IFERROR(O486&amp;" - "&amp;G486,"--")</f>
        <v>Technician EHS - 09</v>
      </c>
      <c r="AA486" s="44" t="str">
        <f>_xlfn.XLOOKUP($H486,'[1]SIG Qualifications Input'!$D:$D,'[1]SIG Qualifications Input'!$H:$H)</f>
        <v>Typically an Associate’s degree or 2 to 4 years of vocational technical training preferred. HS diploma or equivalent required. Specialized skill training/certification often required to meet specific needs. Up to 8 years of experience.</v>
      </c>
    </row>
    <row r="487" spans="1:27" ht="409.6" thickBot="1" x14ac:dyDescent="0.2">
      <c r="A487" s="34" t="str">
        <f>_xlfn.XLOOKUP(C487,'[1]SIG Job Families &amp; Descriptions'!F:F,'[1]SIG Job Families &amp; Descriptions'!B:B)</f>
        <v>Quality Management</v>
      </c>
      <c r="B487" s="34" t="str">
        <f>_xlfn.XLOOKUP(C487,'[1]SIG Job Families &amp; Descriptions'!F:F,'[1]SIG Job Families &amp; Descriptions'!D:D)</f>
        <v>Environmental Health &amp; Safety</v>
      </c>
      <c r="C487" s="34" t="s">
        <v>109</v>
      </c>
      <c r="D487" s="30" t="str">
        <f t="shared" si="14"/>
        <v>AHS</v>
      </c>
      <c r="E487" s="31" t="str">
        <f>_xlfn.XLOOKUP(C487,'[1]SIG Job Families &amp; Descriptions'!F:F,'[1]SIG Job Families &amp; Descriptions'!A:A)</f>
        <v>AHS000</v>
      </c>
      <c r="F487" s="32" t="s">
        <v>50</v>
      </c>
      <c r="G487" s="33" t="s">
        <v>43</v>
      </c>
      <c r="H487" s="34" t="str">
        <f>F487&amp;"-"&amp;G487</f>
        <v>Operations-08</v>
      </c>
      <c r="I487" s="35" t="str">
        <f>IF(ISERROR(_xlfn.XLOOKUP(H487,'[1]SIG Level Structure'!D:D,'[1]SIG Level Structure'!D:D)),"0","1")</f>
        <v>1</v>
      </c>
      <c r="J487" s="36" t="str">
        <f>_xlfn.XLOOKUP($H487,'[1]SIG Level Structure'!$D:$D,'[1]SIG Level Structure'!F:F)</f>
        <v>W4</v>
      </c>
      <c r="K487" s="37" t="str">
        <f>E487&amp;"-"&amp;J487&amp;"-"&amp;G487</f>
        <v>AHS000-W4-08</v>
      </c>
      <c r="L487" s="37" t="str">
        <f>IFERROR(D487&amp;"-"&amp;LEFT(J487,1),"--")</f>
        <v>AHS-W</v>
      </c>
      <c r="M487" s="37" t="e">
        <f>VLOOKUP(L487,'[1]Compatible JC'!$A:$A,1,FALSE)</f>
        <v>#N/A</v>
      </c>
      <c r="N487" s="37" t="str">
        <f>IFERROR(_xlfn.XLOOKUP(H487,'[1]SIG Level Structure'!D:D,'[1]SIG Level Structure'!C:C),"--")</f>
        <v>Senior Operator</v>
      </c>
      <c r="O487" s="38" t="str">
        <f>IFERROR(TRIM(N487&amp;" "&amp;C487),"--")</f>
        <v>Senior Operator EHS</v>
      </c>
      <c r="P487" s="22" t="str">
        <f>_xlfn.XLOOKUP(E487,'[1]SIG Job Families &amp; Descriptions'!A:A,'[1]SIG Job Families &amp; Descriptions'!G:G)</f>
        <v xml:space="preserve">Develops and implements the organization's positions on environmental policy issues regarding the impact of the organization's operations on water, air and land quality. Designs and implements programs to ensure healthful and safe working conditions and compliance with all environmental regulations, including clean air and hazardous waste disposal, on the organization's premises. Serves as a liaison with external government environmental agencies. Monitors programs and maintains up-to-date records required by environmental permits to ensure government compliance.
And/or designs, develops, implements and oversees the organization's safety or preventive health care programs to safeguard employees. Ensures that all facilities and safety equipement are in compliance with regulations, fire safety standards. Determine and provide employees with safety training and/or medical care/nursing care for the comfort and well-being of employees. Conducts studies and investigations and prepares regular reports/ statistics of e.g. accidents and indicidents to determine the root cause and to develop recommendations for prevention. Develops and provides safety performance measures for monitoring. Maintains comprehensive knowledge of government safety and fire safety regulations or occupation health. </v>
      </c>
      <c r="Q487" s="39" t="str">
        <f>_xlfn.XLOOKUP(E487,'[1]2022 GI Position Descriptions'!E:E,'[1]2022 GI Position Descriptions'!G:G)</f>
        <v>Designs, develops, implements and oversees the organization's environmental, health and safety programs and procedures to safeguard employees and surrounding communities and to ensure that all facilities are in compliance with regulations | Responsibilities are within the Environmental Health and Safety Function as a generalist or in a combination of Disciplines</v>
      </c>
      <c r="R487" s="22" t="str">
        <f>IF(LEFT(J487,1)="E","EX",LEFT(J487,1))</f>
        <v>W</v>
      </c>
      <c r="S487" s="22" t="str">
        <f>_xlfn.XLOOKUP($R487,'[1]Career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487" s="22" t="str">
        <f>J487</f>
        <v>W4</v>
      </c>
      <c r="U487" s="40" t="str">
        <f t="shared" si="15"/>
        <v>W4</v>
      </c>
      <c r="V487" s="22" t="str">
        <f>_xlfn.XLOOKUP(T487,'[1]Career Bands &amp; Levels'!A:A,'[1]Career Bands &amp; Levels'!C:C)</f>
        <v xml:space="preserve">●	Has advanced skills, typically gained through a combination of job-related training and considerable work experience		
●	May act as a lead, coordinating the work of others, but is not a supervisor		
●	Works autonomously within established procedures and practices		
●	Has developed a specialized level of skill to perform assigned tasks		</v>
      </c>
      <c r="W487" s="41" t="str">
        <f>J487&amp;"-"&amp;G487</f>
        <v>W4-08</v>
      </c>
      <c r="X487" s="42" t="str">
        <f>G487</f>
        <v>08</v>
      </c>
      <c r="Y487" s="22" t="str">
        <f>_xlfn.XLOOKUP(W487,'[1]Career Bands &amp; Levels'!A:A,'[1]Career Bands &amp; Levels'!C:C,"No Grade Differentiator")</f>
        <v xml:space="preserve">●	Performs a variety of the most complex tasks and/or may lead one or more teams		
●	Supports the delivery of new solutions complex problems where precedent may not exist		</v>
      </c>
      <c r="Z487" s="43" t="str">
        <f>IFERROR(O487&amp;" - "&amp;G487,"--")</f>
        <v>Senior Operator EHS - 08</v>
      </c>
      <c r="AA487" s="44" t="str">
        <f>_xlfn.XLOOKUP($H487,'[1]SIG Qualifications Input'!$D:$D,'[1]SIG Qualifications Input'!$H:$H)</f>
        <v>Vocational training in e.g. manual or technical  field or equivalent work experience. 4-7 years of experience, possibly further internal trainings and/or external advanced training</v>
      </c>
    </row>
    <row r="488" spans="1:27" ht="409.6" thickBot="1" x14ac:dyDescent="0.2">
      <c r="A488" s="34" t="str">
        <f>_xlfn.XLOOKUP(C488,'[1]SIG Job Families &amp; Descriptions'!F:F,'[1]SIG Job Families &amp; Descriptions'!B:B)</f>
        <v>Quality Management</v>
      </c>
      <c r="B488" s="34" t="str">
        <f>_xlfn.XLOOKUP(C488,'[1]SIG Job Families &amp; Descriptions'!F:F,'[1]SIG Job Families &amp; Descriptions'!D:D)</f>
        <v>Environmental Health &amp; Safety</v>
      </c>
      <c r="C488" s="34" t="s">
        <v>109</v>
      </c>
      <c r="D488" s="30" t="str">
        <f t="shared" si="14"/>
        <v>AHS</v>
      </c>
      <c r="E488" s="31" t="str">
        <f>_xlfn.XLOOKUP(C488,'[1]SIG Job Families &amp; Descriptions'!F:F,'[1]SIG Job Families &amp; Descriptions'!A:A)</f>
        <v>AHS000</v>
      </c>
      <c r="F488" s="32" t="s">
        <v>50</v>
      </c>
      <c r="G488" s="33" t="s">
        <v>53</v>
      </c>
      <c r="H488" s="34" t="str">
        <f>F488&amp;"-"&amp;G488</f>
        <v>Operations-06</v>
      </c>
      <c r="I488" s="35" t="str">
        <f>IF(ISERROR(_xlfn.XLOOKUP(H488,'[1]SIG Level Structure'!D:D,'[1]SIG Level Structure'!D:D)),"0","1")</f>
        <v>1</v>
      </c>
      <c r="J488" s="36" t="str">
        <f>_xlfn.XLOOKUP($H488,'[1]SIG Level Structure'!$D:$D,'[1]SIG Level Structure'!F:F)</f>
        <v>W3</v>
      </c>
      <c r="K488" s="37" t="str">
        <f>E488&amp;"-"&amp;J488&amp;"-"&amp;G488</f>
        <v>AHS000-W3-06</v>
      </c>
      <c r="L488" s="37" t="str">
        <f>IFERROR(D488&amp;"-"&amp;LEFT(J488,1),"--")</f>
        <v>AHS-W</v>
      </c>
      <c r="M488" s="37" t="e">
        <f>VLOOKUP(L488,'[1]Compatible JC'!$A:$A,1,FALSE)</f>
        <v>#N/A</v>
      </c>
      <c r="N488" s="37" t="str">
        <f>IFERROR(_xlfn.XLOOKUP(H488,'[1]SIG Level Structure'!D:D,'[1]SIG Level Structure'!C:C),"--")</f>
        <v>Operator</v>
      </c>
      <c r="O488" s="38" t="str">
        <f>IFERROR(TRIM(N488&amp;" "&amp;C488),"--")</f>
        <v>Operator EHS</v>
      </c>
      <c r="P488" s="22" t="str">
        <f>_xlfn.XLOOKUP(E488,'[1]SIG Job Families &amp; Descriptions'!A:A,'[1]SIG Job Families &amp; Descriptions'!G:G)</f>
        <v xml:space="preserve">Develops and implements the organization's positions on environmental policy issues regarding the impact of the organization's operations on water, air and land quality. Designs and implements programs to ensure healthful and safe working conditions and compliance with all environmental regulations, including clean air and hazardous waste disposal, on the organization's premises. Serves as a liaison with external government environmental agencies. Monitors programs and maintains up-to-date records required by environmental permits to ensure government compliance.
And/or designs, develops, implements and oversees the organization's safety or preventive health care programs to safeguard employees. Ensures that all facilities and safety equipement are in compliance with regulations, fire safety standards. Determine and provide employees with safety training and/or medical care/nursing care for the comfort and well-being of employees. Conducts studies and investigations and prepares regular reports/ statistics of e.g. accidents and indicidents to determine the root cause and to develop recommendations for prevention. Develops and provides safety performance measures for monitoring. Maintains comprehensive knowledge of government safety and fire safety regulations or occupation health. </v>
      </c>
      <c r="Q488" s="39" t="str">
        <f>_xlfn.XLOOKUP(E488,'[1]2022 GI Position Descriptions'!E:E,'[1]2022 GI Position Descriptions'!G:G)</f>
        <v>Designs, develops, implements and oversees the organization's environmental, health and safety programs and procedures to safeguard employees and surrounding communities and to ensure that all facilities are in compliance with regulations | Responsibilities are within the Environmental Health and Safety Function as a generalist or in a combination of Disciplines</v>
      </c>
      <c r="R488" s="22" t="str">
        <f>IF(LEFT(J488,1)="E","EX",LEFT(J488,1))</f>
        <v>W</v>
      </c>
      <c r="S488" s="22" t="str">
        <f>_xlfn.XLOOKUP($R488,'[1]Career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488" s="22" t="str">
        <f>J488</f>
        <v>W3</v>
      </c>
      <c r="U488" s="40" t="str">
        <f t="shared" si="15"/>
        <v>W3</v>
      </c>
      <c r="V488" s="22" t="str">
        <f>_xlfn.XLOOKUP(T488,'[1]Career Bands &amp; Levels'!A:A,'[1]Career Bands &amp; Levels'!C:C)</f>
        <v xml:space="preserve">●	Has proficiency through job-related training and considerable work experience		
●	Completes work with a limited degree of supervision; regularly provides guidance to others with less experience		
●	May act as an informal resource for colleagues with less experience		</v>
      </c>
      <c r="W488" s="41" t="str">
        <f>J488&amp;"-"&amp;G488</f>
        <v>W3-06</v>
      </c>
      <c r="X488" s="42" t="str">
        <f>G488</f>
        <v>06</v>
      </c>
      <c r="Y488" s="22" t="str">
        <f>_xlfn.XLOOKUP(W488,'[1]Career Bands &amp; Levels'!A:A,'[1]Career Bands &amp; Levels'!C:C,"No Grade Differentiator")</f>
        <v>No Grade Differentiator</v>
      </c>
      <c r="Z488" s="43" t="str">
        <f>IFERROR(O488&amp;" - "&amp;G488,"--")</f>
        <v>Operator EHS - 06</v>
      </c>
      <c r="AA488" s="44" t="str">
        <f>_xlfn.XLOOKUP($H488,'[1]SIG Qualifications Input'!$D:$D,'[1]SIG Qualifications Input'!$H:$H)</f>
        <v>Vocational training in e.g. manual or technical  field or equivalent work experience. 0-4 years of experience</v>
      </c>
    </row>
    <row r="489" spans="1:27" ht="409.6" thickBot="1" x14ac:dyDescent="0.2">
      <c r="A489" s="34" t="str">
        <f>_xlfn.XLOOKUP(C489,'[1]SIG Job Families &amp; Descriptions'!F:F,'[1]SIG Job Families &amp; Descriptions'!B:B)</f>
        <v>Quality Management</v>
      </c>
      <c r="B489" s="34" t="str">
        <f>_xlfn.XLOOKUP(C489,'[1]SIG Job Families &amp; Descriptions'!F:F,'[1]SIG Job Families &amp; Descriptions'!D:D)</f>
        <v>Environmental Health &amp; Safety</v>
      </c>
      <c r="C489" s="34" t="s">
        <v>109</v>
      </c>
      <c r="D489" s="30" t="str">
        <f t="shared" si="14"/>
        <v>AHS</v>
      </c>
      <c r="E489" s="31" t="str">
        <f>_xlfn.XLOOKUP(C489,'[1]SIG Job Families &amp; Descriptions'!F:F,'[1]SIG Job Families &amp; Descriptions'!A:A)</f>
        <v>AHS000</v>
      </c>
      <c r="F489" s="32" t="s">
        <v>50</v>
      </c>
      <c r="G489" s="33" t="s">
        <v>54</v>
      </c>
      <c r="H489" s="34" t="str">
        <f>F489&amp;"-"&amp;G489</f>
        <v>Operations-05</v>
      </c>
      <c r="I489" s="35" t="str">
        <f>IF(ISERROR(_xlfn.XLOOKUP(H489,'[1]SIG Level Structure'!D:D,'[1]SIG Level Structure'!D:D)),"0","1")</f>
        <v>1</v>
      </c>
      <c r="J489" s="36" t="str">
        <f>_xlfn.XLOOKUP($H489,'[1]SIG Level Structure'!$D:$D,'[1]SIG Level Structure'!F:F)</f>
        <v>W2</v>
      </c>
      <c r="K489" s="37" t="str">
        <f>E489&amp;"-"&amp;J489&amp;"-"&amp;G489</f>
        <v>AHS000-W2-05</v>
      </c>
      <c r="L489" s="37" t="str">
        <f>IFERROR(D489&amp;"-"&amp;LEFT(J489,1),"--")</f>
        <v>AHS-W</v>
      </c>
      <c r="M489" s="37" t="e">
        <f>VLOOKUP(L489,'[1]Compatible JC'!$A:$A,1,FALSE)</f>
        <v>#N/A</v>
      </c>
      <c r="N489" s="37" t="str">
        <f>IFERROR(_xlfn.XLOOKUP(H489,'[1]SIG Level Structure'!D:D,'[1]SIG Level Structure'!C:C),"--")</f>
        <v>Operator</v>
      </c>
      <c r="O489" s="38" t="str">
        <f>IFERROR(TRIM(N489&amp;" "&amp;C489),"--")</f>
        <v>Operator EHS</v>
      </c>
      <c r="P489" s="22" t="str">
        <f>_xlfn.XLOOKUP(E489,'[1]SIG Job Families &amp; Descriptions'!A:A,'[1]SIG Job Families &amp; Descriptions'!G:G)</f>
        <v xml:space="preserve">Develops and implements the organization's positions on environmental policy issues regarding the impact of the organization's operations on water, air and land quality. Designs and implements programs to ensure healthful and safe working conditions and compliance with all environmental regulations, including clean air and hazardous waste disposal, on the organization's premises. Serves as a liaison with external government environmental agencies. Monitors programs and maintains up-to-date records required by environmental permits to ensure government compliance.
And/or designs, develops, implements and oversees the organization's safety or preventive health care programs to safeguard employees. Ensures that all facilities and safety equipement are in compliance with regulations, fire safety standards. Determine and provide employees with safety training and/or medical care/nursing care for the comfort and well-being of employees. Conducts studies and investigations and prepares regular reports/ statistics of e.g. accidents and indicidents to determine the root cause and to develop recommendations for prevention. Develops and provides safety performance measures for monitoring. Maintains comprehensive knowledge of government safety and fire safety regulations or occupation health. </v>
      </c>
      <c r="Q489" s="39" t="str">
        <f>_xlfn.XLOOKUP(E489,'[1]2022 GI Position Descriptions'!E:E,'[1]2022 GI Position Descriptions'!G:G)</f>
        <v>Designs, develops, implements and oversees the organization's environmental, health and safety programs and procedures to safeguard employees and surrounding communities and to ensure that all facilities are in compliance with regulations | Responsibilities are within the Environmental Health and Safety Function as a generalist or in a combination of Disciplines</v>
      </c>
      <c r="R489" s="22" t="str">
        <f>IF(LEFT(J489,1)="E","EX",LEFT(J489,1))</f>
        <v>W</v>
      </c>
      <c r="S489" s="22" t="str">
        <f>_xlfn.XLOOKUP($R489,'[1]Career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489" s="22" t="str">
        <f>J489</f>
        <v>W2</v>
      </c>
      <c r="U489" s="40" t="str">
        <f t="shared" si="15"/>
        <v>W2</v>
      </c>
      <c r="V489" s="22" t="str">
        <f>_xlfn.XLOOKUP(T489,'[1]Career Bands &amp; Levels'!A:A,'[1]Career Bands &amp; Levels'!C:C)</f>
        <v xml:space="preserve">●	Has skills developed through formal training or work experience		
●	Works within established procedures and guidelines with limited ability to modify methods and approach		
●	Completes assigned tasks with a moderate degree of supervision		</v>
      </c>
      <c r="W489" s="41" t="str">
        <f>J489&amp;"-"&amp;G489</f>
        <v>W2-05</v>
      </c>
      <c r="X489" s="42" t="str">
        <f>G489</f>
        <v>05</v>
      </c>
      <c r="Y489" s="22" t="str">
        <f>_xlfn.XLOOKUP(W489,'[1]Career Bands &amp; Levels'!A:A,'[1]Career Bands &amp; Levels'!C:C,"No Grade Differentiator")</f>
        <v xml:space="preserve">●	Performs the full range of established procedures, and will typically be considered skilled through work experience		
●	Resolves routine issues without supervisory approval		</v>
      </c>
      <c r="Z489" s="43" t="str">
        <f>IFERROR(O489&amp;" - "&amp;G489,"--")</f>
        <v>Operator EHS - 05</v>
      </c>
      <c r="AA489" s="44" t="str">
        <f>_xlfn.XLOOKUP($H489,'[1]SIG Qualifications Input'!$D:$D,'[1]SIG Qualifications Input'!$H:$H)</f>
        <v>Vocational training in e.g. manual or technical  field or equivalent work experience. 0-4 years of experience</v>
      </c>
    </row>
    <row r="490" spans="1:27" ht="409.6" thickBot="1" x14ac:dyDescent="0.2">
      <c r="A490" s="34" t="str">
        <f>_xlfn.XLOOKUP(C490,'[1]SIG Job Families &amp; Descriptions'!F:F,'[1]SIG Job Families &amp; Descriptions'!B:B)</f>
        <v>Quality Management</v>
      </c>
      <c r="B490" s="34" t="str">
        <f>_xlfn.XLOOKUP(C490,'[1]SIG Job Families &amp; Descriptions'!F:F,'[1]SIG Job Families &amp; Descriptions'!D:D)</f>
        <v>Environmental Health &amp; Safety</v>
      </c>
      <c r="C490" s="34" t="s">
        <v>109</v>
      </c>
      <c r="D490" s="30" t="str">
        <f t="shared" si="14"/>
        <v>AHS</v>
      </c>
      <c r="E490" s="31" t="str">
        <f>_xlfn.XLOOKUP(C490,'[1]SIG Job Families &amp; Descriptions'!F:F,'[1]SIG Job Families &amp; Descriptions'!A:A)</f>
        <v>AHS000</v>
      </c>
      <c r="F490" s="32" t="s">
        <v>50</v>
      </c>
      <c r="G490" s="33" t="s">
        <v>55</v>
      </c>
      <c r="H490" s="34" t="str">
        <f>F490&amp;"-"&amp;G490</f>
        <v>Operations-04</v>
      </c>
      <c r="I490" s="35" t="str">
        <f>IF(ISERROR(_xlfn.XLOOKUP(H490,'[1]SIG Level Structure'!D:D,'[1]SIG Level Structure'!D:D)),"0","1")</f>
        <v>1</v>
      </c>
      <c r="J490" s="36" t="str">
        <f>_xlfn.XLOOKUP($H490,'[1]SIG Level Structure'!$D:$D,'[1]SIG Level Structure'!F:F)</f>
        <v>W2</v>
      </c>
      <c r="K490" s="37" t="str">
        <f>E490&amp;"-"&amp;J490&amp;"-"&amp;G490</f>
        <v>AHS000-W2-04</v>
      </c>
      <c r="L490" s="37" t="str">
        <f>IFERROR(D490&amp;"-"&amp;LEFT(J490,1),"--")</f>
        <v>AHS-W</v>
      </c>
      <c r="M490" s="37" t="e">
        <f>VLOOKUP(L490,'[1]Compatible JC'!$A:$A,1,FALSE)</f>
        <v>#N/A</v>
      </c>
      <c r="N490" s="37" t="str">
        <f>IFERROR(_xlfn.XLOOKUP(H490,'[1]SIG Level Structure'!D:D,'[1]SIG Level Structure'!C:C),"--")</f>
        <v>Operator</v>
      </c>
      <c r="O490" s="38" t="str">
        <f>IFERROR(TRIM(N490&amp;" "&amp;C490),"--")</f>
        <v>Operator EHS</v>
      </c>
      <c r="P490" s="22" t="str">
        <f>_xlfn.XLOOKUP(E490,'[1]SIG Job Families &amp; Descriptions'!A:A,'[1]SIG Job Families &amp; Descriptions'!G:G)</f>
        <v xml:space="preserve">Develops and implements the organization's positions on environmental policy issues regarding the impact of the organization's operations on water, air and land quality. Designs and implements programs to ensure healthful and safe working conditions and compliance with all environmental regulations, including clean air and hazardous waste disposal, on the organization's premises. Serves as a liaison with external government environmental agencies. Monitors programs and maintains up-to-date records required by environmental permits to ensure government compliance.
And/or designs, develops, implements and oversees the organization's safety or preventive health care programs to safeguard employees. Ensures that all facilities and safety equipement are in compliance with regulations, fire safety standards. Determine and provide employees with safety training and/or medical care/nursing care for the comfort and well-being of employees. Conducts studies and investigations and prepares regular reports/ statistics of e.g. accidents and indicidents to determine the root cause and to develop recommendations for prevention. Develops and provides safety performance measures for monitoring. Maintains comprehensive knowledge of government safety and fire safety regulations or occupation health. </v>
      </c>
      <c r="Q490" s="39" t="str">
        <f>_xlfn.XLOOKUP(E490,'[1]2022 GI Position Descriptions'!E:E,'[1]2022 GI Position Descriptions'!G:G)</f>
        <v>Designs, develops, implements and oversees the organization's environmental, health and safety programs and procedures to safeguard employees and surrounding communities and to ensure that all facilities are in compliance with regulations | Responsibilities are within the Environmental Health and Safety Function as a generalist or in a combination of Disciplines</v>
      </c>
      <c r="R490" s="22" t="str">
        <f>IF(LEFT(J490,1)="E","EX",LEFT(J490,1))</f>
        <v>W</v>
      </c>
      <c r="S490" s="22" t="str">
        <f>_xlfn.XLOOKUP($R490,'[1]Career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490" s="22" t="str">
        <f>J490</f>
        <v>W2</v>
      </c>
      <c r="U490" s="40" t="str">
        <f t="shared" si="15"/>
        <v>W2</v>
      </c>
      <c r="V490" s="22" t="str">
        <f>_xlfn.XLOOKUP(T490,'[1]Career Bands &amp; Levels'!A:A,'[1]Career Bands &amp; Levels'!C:C)</f>
        <v xml:space="preserve">●	Has skills developed through formal training or work experience		
●	Works within established procedures and guidelines with limited ability to modify methods and approach		
●	Completes assigned tasks with a moderate degree of supervision		</v>
      </c>
      <c r="W490" s="41" t="str">
        <f>J490&amp;"-"&amp;G490</f>
        <v>W2-04</v>
      </c>
      <c r="X490" s="42" t="str">
        <f>G490</f>
        <v>04</v>
      </c>
      <c r="Y490" s="22" t="str">
        <f>_xlfn.XLOOKUP(W490,'[1]Career Bands &amp; Levels'!A:A,'[1]Career Bands &amp; Levels'!C:C,"No Grade Differentiator")</f>
        <v xml:space="preserve">●	Performs most established procedures and will typically be considered semi-skilled through work experience		
●	Resolves routine issues with senior staff or supervisory guidance and approval		</v>
      </c>
      <c r="Z490" s="43" t="str">
        <f>IFERROR(O490&amp;" - "&amp;G490,"--")</f>
        <v>Operator EHS - 04</v>
      </c>
      <c r="AA490" s="44" t="str">
        <f>_xlfn.XLOOKUP($H490,'[1]SIG Qualifications Input'!$D:$D,'[1]SIG Qualifications Input'!$H:$H)</f>
        <v>Vocational training in e.g. manual or technical  field or equivalent work experience. 0-4 years of experience</v>
      </c>
    </row>
    <row r="491" spans="1:27" ht="197" thickBot="1" x14ac:dyDescent="0.2">
      <c r="A491" s="34" t="str">
        <f>_xlfn.XLOOKUP(C491,'[1]SIG Job Families &amp; Descriptions'!F:F,'[1]SIG Job Families &amp; Descriptions'!B:B)</f>
        <v>Research &amp; Development</v>
      </c>
      <c r="B491" s="34" t="str">
        <f>_xlfn.XLOOKUP(C491,'[1]SIG Job Families &amp; Descriptions'!F:F,'[1]SIG Job Families &amp; Descriptions'!D:D)</f>
        <v>General R&amp;D</v>
      </c>
      <c r="C491" s="34" t="s">
        <v>110</v>
      </c>
      <c r="D491" s="30" t="str">
        <f t="shared" si="14"/>
        <v>ARS</v>
      </c>
      <c r="E491" s="31" t="str">
        <f>_xlfn.XLOOKUP(C491,'[1]SIG Job Families &amp; Descriptions'!F:F,'[1]SIG Job Families &amp; Descriptions'!A:A)</f>
        <v>ARS000</v>
      </c>
      <c r="F491" s="32" t="s">
        <v>29</v>
      </c>
      <c r="G491" s="33" t="s">
        <v>30</v>
      </c>
      <c r="H491" s="34" t="str">
        <f>F491&amp;"-"&amp;G491</f>
        <v>Management-15</v>
      </c>
      <c r="I491" s="35" t="str">
        <f>IF(ISERROR(_xlfn.XLOOKUP(H491,'[1]SIG Level Structure'!D:D,'[1]SIG Level Structure'!D:D)),"0","1")</f>
        <v>1</v>
      </c>
      <c r="J491" s="36" t="str">
        <f>_xlfn.XLOOKUP($H491,'[1]SIG Level Structure'!$D:$D,'[1]SIG Level Structure'!F:F)</f>
        <v>M3</v>
      </c>
      <c r="K491" s="37" t="str">
        <f>E491&amp;"-"&amp;J491&amp;"-"&amp;G491</f>
        <v>ARS000-M3-15</v>
      </c>
      <c r="L491" s="37" t="str">
        <f>IFERROR(D491&amp;"-"&amp;LEFT(J491,1),"--")</f>
        <v>ARS-M</v>
      </c>
      <c r="M491" s="37" t="str">
        <f>VLOOKUP(L491,'[1]Compatible JC'!$A:$A,1,FALSE)</f>
        <v>ARS-M</v>
      </c>
      <c r="N491" s="37" t="str">
        <f>IFERROR(_xlfn.XLOOKUP(H491,'[1]SIG Level Structure'!D:D,'[1]SIG Level Structure'!C:C),"--")</f>
        <v>Senior Manager</v>
      </c>
      <c r="O491" s="38" t="str">
        <f>IFERROR(TRIM(N491&amp;" "&amp;C491),"--")</f>
        <v>Senior Manager General R&amp;D</v>
      </c>
      <c r="P491" s="22" t="str">
        <f>_xlfn.XLOOKUP(E491,'[1]SIG Job Families &amp; Descriptions'!A:A,'[1]SIG Job Families &amp; Descriptions'!G:G)</f>
        <v xml:space="preserve">Performs basic theoretical and experimental scientific and technological investigation directed toward the acquisition of new knowledge. Prepares comprehensive documented observations, analyses and interpretations of results, including technical reports, summaries, protocols and quantitative analyses. Publishes activities, findings and conclusions in recognized scientific publications and presents same at appropriate scientific conferences and forums. Documents research leading to patent disclosure or technical and/or scientific advancement.
</v>
      </c>
      <c r="Q491" s="39" t="str">
        <f>_xlfn.XLOOKUP(E491,'[1]2022 GI Position Descriptions'!E:E,'[1]2022 GI Position Descriptions'!G:G)</f>
        <v>Performs basic theoretical and experimental scientific and technological investigation directed toward the acquisition of new knowledge | Prepares comprehensive documented observations, analyses and interpretations of results, including technical reports, summaries, protocols and quantitative analyses | Publishes activities, findings and conclusions in recognized scientific publications and presents same at appropriate scientific conferences and forums | Documents research leading to patent disclosure or technical and/or scientific advancement | Responsibilities are within the Research Function as a generalist or in a combination of Disciplines</v>
      </c>
      <c r="R491" s="22" t="str">
        <f>IF(LEFT(J491,1)="E","EX",LEFT(J491,1))</f>
        <v>M</v>
      </c>
      <c r="S491" s="22" t="str">
        <f>_xlfn.XLOOKUP($R491,'[1]Career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491" s="22" t="str">
        <f>J491</f>
        <v>M3</v>
      </c>
      <c r="U491" s="40" t="str">
        <f t="shared" si="15"/>
        <v>M3</v>
      </c>
      <c r="V491" s="22" t="str">
        <f>_xlfn.XLOOKUP(T491,'[1]Career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491" s="41" t="str">
        <f>J491&amp;"-"&amp;G491</f>
        <v>M3-15</v>
      </c>
      <c r="X491" s="42" t="str">
        <f>G491</f>
        <v>15</v>
      </c>
      <c r="Y491" s="22" t="str">
        <f>_xlfn.XLOOKUP(W491,'[1]Career Bands &amp; Levels'!A:A,'[1]Career Bands &amp; Levels'!C:C,"No Grade Differentiator")</f>
        <v xml:space="preserve">●	Looks beyond existing methodologies and own discipline to define and resolve complex problems
●	Develops plans and delivers results in fast-changing businesses and/or regulatory environments
●	Provides input to functional or departmental strategy		
●	Manages large, potentially diverse teams of managers and/or senior professionals		
		</v>
      </c>
      <c r="Z491" s="43" t="str">
        <f>IFERROR(O491&amp;" - "&amp;G491,"--")</f>
        <v>Senior Manager General R&amp;D - 15</v>
      </c>
      <c r="AA491" s="44" t="str">
        <f>_xlfn.XLOOKUP($H491,'[1]SIG Qualifications Input'!$D:$D,'[1]SIG Qualifications Input'!$H:$H)</f>
        <v xml:space="preserve">University degree or equivalent and 10+ years of work experience or equivalent
Profound experience in managing performance and results of diverse activities / multiple teams </v>
      </c>
    </row>
    <row r="492" spans="1:27" ht="197" thickBot="1" x14ac:dyDescent="0.2">
      <c r="A492" s="34" t="str">
        <f>_xlfn.XLOOKUP(C492,'[1]SIG Job Families &amp; Descriptions'!F:F,'[1]SIG Job Families &amp; Descriptions'!B:B)</f>
        <v>Research &amp; Development</v>
      </c>
      <c r="B492" s="34" t="str">
        <f>_xlfn.XLOOKUP(C492,'[1]SIG Job Families &amp; Descriptions'!F:F,'[1]SIG Job Families &amp; Descriptions'!D:D)</f>
        <v>General R&amp;D</v>
      </c>
      <c r="C492" s="34" t="s">
        <v>110</v>
      </c>
      <c r="D492" s="30" t="str">
        <f t="shared" si="14"/>
        <v>ARS</v>
      </c>
      <c r="E492" s="31" t="str">
        <f>_xlfn.XLOOKUP(C492,'[1]SIG Job Families &amp; Descriptions'!F:F,'[1]SIG Job Families &amp; Descriptions'!A:A)</f>
        <v>ARS000</v>
      </c>
      <c r="F492" s="32" t="s">
        <v>29</v>
      </c>
      <c r="G492" s="33" t="s">
        <v>31</v>
      </c>
      <c r="H492" s="34" t="str">
        <f>F492&amp;"-"&amp;G492</f>
        <v>Management-14</v>
      </c>
      <c r="I492" s="35" t="str">
        <f>IF(ISERROR(_xlfn.XLOOKUP(H492,'[1]SIG Level Structure'!D:D,'[1]SIG Level Structure'!D:D)),"0","1")</f>
        <v>1</v>
      </c>
      <c r="J492" s="36" t="str">
        <f>_xlfn.XLOOKUP($H492,'[1]SIG Level Structure'!$D:$D,'[1]SIG Level Structure'!F:F)</f>
        <v>M3</v>
      </c>
      <c r="K492" s="37" t="str">
        <f>E492&amp;"-"&amp;J492&amp;"-"&amp;G492</f>
        <v>ARS000-M3-14</v>
      </c>
      <c r="L492" s="37" t="str">
        <f>IFERROR(D492&amp;"-"&amp;LEFT(J492,1),"--")</f>
        <v>ARS-M</v>
      </c>
      <c r="M492" s="37" t="str">
        <f>VLOOKUP(L492,'[1]Compatible JC'!$A:$A,1,FALSE)</f>
        <v>ARS-M</v>
      </c>
      <c r="N492" s="37" t="str">
        <f>IFERROR(_xlfn.XLOOKUP(H492,'[1]SIG Level Structure'!D:D,'[1]SIG Level Structure'!C:C),"--")</f>
        <v>Senior Manager</v>
      </c>
      <c r="O492" s="38" t="str">
        <f>IFERROR(TRIM(N492&amp;" "&amp;C492),"--")</f>
        <v>Senior Manager General R&amp;D</v>
      </c>
      <c r="P492" s="22" t="str">
        <f>_xlfn.XLOOKUP(E492,'[1]SIG Job Families &amp; Descriptions'!A:A,'[1]SIG Job Families &amp; Descriptions'!G:G)</f>
        <v xml:space="preserve">Performs basic theoretical and experimental scientific and technological investigation directed toward the acquisition of new knowledge. Prepares comprehensive documented observations, analyses and interpretations of results, including technical reports, summaries, protocols and quantitative analyses. Publishes activities, findings and conclusions in recognized scientific publications and presents same at appropriate scientific conferences and forums. Documents research leading to patent disclosure or technical and/or scientific advancement.
</v>
      </c>
      <c r="Q492" s="39" t="str">
        <f>_xlfn.XLOOKUP(E492,'[1]2022 GI Position Descriptions'!E:E,'[1]2022 GI Position Descriptions'!G:G)</f>
        <v>Performs basic theoretical and experimental scientific and technological investigation directed toward the acquisition of new knowledge | Prepares comprehensive documented observations, analyses and interpretations of results, including technical reports, summaries, protocols and quantitative analyses | Publishes activities, findings and conclusions in recognized scientific publications and presents same at appropriate scientific conferences and forums | Documents research leading to patent disclosure or technical and/or scientific advancement | Responsibilities are within the Research Function as a generalist or in a combination of Disciplines</v>
      </c>
      <c r="R492" s="22" t="str">
        <f>IF(LEFT(J492,1)="E","EX",LEFT(J492,1))</f>
        <v>M</v>
      </c>
      <c r="S492" s="22" t="str">
        <f>_xlfn.XLOOKUP($R492,'[1]Career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492" s="22" t="str">
        <f>J492</f>
        <v>M3</v>
      </c>
      <c r="U492" s="40" t="str">
        <f t="shared" si="15"/>
        <v>M3</v>
      </c>
      <c r="V492" s="22" t="str">
        <f>_xlfn.XLOOKUP(T492,'[1]Career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492" s="41" t="str">
        <f>J492&amp;"-"&amp;G492</f>
        <v>M3-14</v>
      </c>
      <c r="X492" s="42" t="str">
        <f>G492</f>
        <v>14</v>
      </c>
      <c r="Y492" s="22" t="str">
        <f>_xlfn.XLOOKUP(W492,'[1]Career Bands &amp; Levels'!A:A,'[1]Career Bands &amp; Levels'!C:C,"No Grade Differentiator")</f>
        <v xml:space="preserve">●	Identifies applications of functional knowledge and existing methodologies to complex problems	
●	Manages large teams of professionals and/or junior managers		
		</v>
      </c>
      <c r="Z492" s="43" t="str">
        <f>IFERROR(O492&amp;" - "&amp;G492,"--")</f>
        <v>Senior Manager General R&amp;D - 14</v>
      </c>
      <c r="AA492" s="44" t="str">
        <f>_xlfn.XLOOKUP($H492,'[1]SIG Qualifications Input'!$D:$D,'[1]SIG Qualifications Input'!$H:$H)</f>
        <v xml:space="preserve">University degree or equivalent and 10+ years of work experience or equivalent
Profound experience in managing performance and results of diverse activities / multiple teams </v>
      </c>
    </row>
    <row r="493" spans="1:27" ht="197" thickBot="1" x14ac:dyDescent="0.2">
      <c r="A493" s="34" t="str">
        <f>_xlfn.XLOOKUP(C493,'[1]SIG Job Families &amp; Descriptions'!F:F,'[1]SIG Job Families &amp; Descriptions'!B:B)</f>
        <v>Research &amp; Development</v>
      </c>
      <c r="B493" s="34" t="str">
        <f>_xlfn.XLOOKUP(C493,'[1]SIG Job Families &amp; Descriptions'!F:F,'[1]SIG Job Families &amp; Descriptions'!D:D)</f>
        <v>General R&amp;D</v>
      </c>
      <c r="C493" s="34" t="s">
        <v>110</v>
      </c>
      <c r="D493" s="30" t="str">
        <f t="shared" si="14"/>
        <v>ARS</v>
      </c>
      <c r="E493" s="31" t="str">
        <f>_xlfn.XLOOKUP(C493,'[1]SIG Job Families &amp; Descriptions'!F:F,'[1]SIG Job Families &amp; Descriptions'!A:A)</f>
        <v>ARS000</v>
      </c>
      <c r="F493" s="32" t="s">
        <v>29</v>
      </c>
      <c r="G493" s="33" t="s">
        <v>33</v>
      </c>
      <c r="H493" s="34" t="str">
        <f>F493&amp;"-"&amp;G493</f>
        <v>Management-13</v>
      </c>
      <c r="I493" s="35" t="str">
        <f>IF(ISERROR(_xlfn.XLOOKUP(H493,'[1]SIG Level Structure'!D:D,'[1]SIG Level Structure'!D:D)),"0","1")</f>
        <v>1</v>
      </c>
      <c r="J493" s="36" t="str">
        <f>_xlfn.XLOOKUP($H493,'[1]SIG Level Structure'!$D:$D,'[1]SIG Level Structure'!F:F)</f>
        <v>M2</v>
      </c>
      <c r="K493" s="37" t="str">
        <f>E493&amp;"-"&amp;J493&amp;"-"&amp;G493</f>
        <v>ARS000-M2-13</v>
      </c>
      <c r="L493" s="37" t="str">
        <f>IFERROR(D493&amp;"-"&amp;LEFT(J493,1),"--")</f>
        <v>ARS-M</v>
      </c>
      <c r="M493" s="37" t="str">
        <f>VLOOKUP(L493,'[1]Compatible JC'!$A:$A,1,FALSE)</f>
        <v>ARS-M</v>
      </c>
      <c r="N493" s="37" t="str">
        <f>IFERROR(_xlfn.XLOOKUP(H493,'[1]SIG Level Structure'!D:D,'[1]SIG Level Structure'!C:C),"--")</f>
        <v>Manager</v>
      </c>
      <c r="O493" s="38" t="str">
        <f>IFERROR(TRIM(N493&amp;" "&amp;C493),"--")</f>
        <v>Manager General R&amp;D</v>
      </c>
      <c r="P493" s="22" t="str">
        <f>_xlfn.XLOOKUP(E493,'[1]SIG Job Families &amp; Descriptions'!A:A,'[1]SIG Job Families &amp; Descriptions'!G:G)</f>
        <v xml:space="preserve">Performs basic theoretical and experimental scientific and technological investigation directed toward the acquisition of new knowledge. Prepares comprehensive documented observations, analyses and interpretations of results, including technical reports, summaries, protocols and quantitative analyses. Publishes activities, findings and conclusions in recognized scientific publications and presents same at appropriate scientific conferences and forums. Documents research leading to patent disclosure or technical and/or scientific advancement.
</v>
      </c>
      <c r="Q493" s="39" t="str">
        <f>_xlfn.XLOOKUP(E493,'[1]2022 GI Position Descriptions'!E:E,'[1]2022 GI Position Descriptions'!G:G)</f>
        <v>Performs basic theoretical and experimental scientific and technological investigation directed toward the acquisition of new knowledge | Prepares comprehensive documented observations, analyses and interpretations of results, including technical reports, summaries, protocols and quantitative analyses | Publishes activities, findings and conclusions in recognized scientific publications and presents same at appropriate scientific conferences and forums | Documents research leading to patent disclosure or technical and/or scientific advancement | Responsibilities are within the Research Function as a generalist or in a combination of Disciplines</v>
      </c>
      <c r="R493" s="22" t="str">
        <f>IF(LEFT(J493,1)="E","EX",LEFT(J493,1))</f>
        <v>M</v>
      </c>
      <c r="S493" s="22" t="str">
        <f>_xlfn.XLOOKUP($R493,'[1]Career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493" s="22" t="str">
        <f>J493</f>
        <v>M2</v>
      </c>
      <c r="U493" s="40" t="str">
        <f t="shared" si="15"/>
        <v>M2</v>
      </c>
      <c r="V493" s="22" t="str">
        <f>_xlfn.XLOOKUP(T493,'[1]Career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493" s="41" t="str">
        <f>J493&amp;"-"&amp;G493</f>
        <v>M2-13</v>
      </c>
      <c r="X493" s="42" t="str">
        <f>G493</f>
        <v>13</v>
      </c>
      <c r="Y493" s="22" t="str">
        <f>_xlfn.XLOOKUP(W493,'[1]Career Bands &amp; Levels'!A:A,'[1]Career Bands &amp; Levels'!C:C,"No Grade Differentiator")</f>
        <v>●	Accountable for the budget, performance and results of a medium-sized team or multiple small teams of employees		
●	Exercises full management authority, including performance reviews, pay decisions, recruitment, discipline, termination and other personnel actions		
●	Addresses issues with impact beyond own team based on knowledge of related disciplines</v>
      </c>
      <c r="Z493" s="43" t="str">
        <f>IFERROR(O493&amp;" - "&amp;G493,"--")</f>
        <v>Manager General R&amp;D - 13</v>
      </c>
      <c r="AA493" s="44" t="str">
        <f>_xlfn.XLOOKUP($H493,'[1]SIG Qualifications Input'!$D:$D,'[1]SIG Qualifications Input'!$H:$H)</f>
        <v>University degree or equivalent and 7-10 years of work experience or equivalent
Experience in managing mixed-level team(s) of professionals and subordinate managers</v>
      </c>
    </row>
    <row r="494" spans="1:27" ht="197" thickBot="1" x14ac:dyDescent="0.2">
      <c r="A494" s="34" t="str">
        <f>_xlfn.XLOOKUP(C494,'[1]SIG Job Families &amp; Descriptions'!F:F,'[1]SIG Job Families &amp; Descriptions'!B:B)</f>
        <v>Research &amp; Development</v>
      </c>
      <c r="B494" s="34" t="str">
        <f>_xlfn.XLOOKUP(C494,'[1]SIG Job Families &amp; Descriptions'!F:F,'[1]SIG Job Families &amp; Descriptions'!D:D)</f>
        <v>General R&amp;D</v>
      </c>
      <c r="C494" s="34" t="s">
        <v>110</v>
      </c>
      <c r="D494" s="30" t="str">
        <f t="shared" si="14"/>
        <v>ARS</v>
      </c>
      <c r="E494" s="31" t="str">
        <f>_xlfn.XLOOKUP(C494,'[1]SIG Job Families &amp; Descriptions'!F:F,'[1]SIG Job Families &amp; Descriptions'!A:A)</f>
        <v>ARS000</v>
      </c>
      <c r="F494" s="32" t="s">
        <v>29</v>
      </c>
      <c r="G494" s="33" t="s">
        <v>34</v>
      </c>
      <c r="H494" s="34" t="str">
        <f>F494&amp;"-"&amp;G494</f>
        <v>Management-12</v>
      </c>
      <c r="I494" s="35" t="str">
        <f>IF(ISERROR(_xlfn.XLOOKUP(H494,'[1]SIG Level Structure'!D:D,'[1]SIG Level Structure'!D:D)),"0","1")</f>
        <v>1</v>
      </c>
      <c r="J494" s="36" t="str">
        <f>_xlfn.XLOOKUP($H494,'[1]SIG Level Structure'!$D:$D,'[1]SIG Level Structure'!F:F)</f>
        <v>M2</v>
      </c>
      <c r="K494" s="37" t="str">
        <f>E494&amp;"-"&amp;J494&amp;"-"&amp;G494</f>
        <v>ARS000-M2-12</v>
      </c>
      <c r="L494" s="37" t="str">
        <f>IFERROR(D494&amp;"-"&amp;LEFT(J494,1),"--")</f>
        <v>ARS-M</v>
      </c>
      <c r="M494" s="37" t="str">
        <f>VLOOKUP(L494,'[1]Compatible JC'!$A:$A,1,FALSE)</f>
        <v>ARS-M</v>
      </c>
      <c r="N494" s="37" t="str">
        <f>IFERROR(_xlfn.XLOOKUP(H494,'[1]SIG Level Structure'!D:D,'[1]SIG Level Structure'!C:C),"--")</f>
        <v>Manager</v>
      </c>
      <c r="O494" s="38" t="str">
        <f>IFERROR(TRIM(N494&amp;" "&amp;C494),"--")</f>
        <v>Manager General R&amp;D</v>
      </c>
      <c r="P494" s="22" t="str">
        <f>_xlfn.XLOOKUP(E494,'[1]SIG Job Families &amp; Descriptions'!A:A,'[1]SIG Job Families &amp; Descriptions'!G:G)</f>
        <v xml:space="preserve">Performs basic theoretical and experimental scientific and technological investigation directed toward the acquisition of new knowledge. Prepares comprehensive documented observations, analyses and interpretations of results, including technical reports, summaries, protocols and quantitative analyses. Publishes activities, findings and conclusions in recognized scientific publications and presents same at appropriate scientific conferences and forums. Documents research leading to patent disclosure or technical and/or scientific advancement.
</v>
      </c>
      <c r="Q494" s="39" t="str">
        <f>_xlfn.XLOOKUP(E494,'[1]2022 GI Position Descriptions'!E:E,'[1]2022 GI Position Descriptions'!G:G)</f>
        <v>Performs basic theoretical and experimental scientific and technological investigation directed toward the acquisition of new knowledge | Prepares comprehensive documented observations, analyses and interpretations of results, including technical reports, summaries, protocols and quantitative analyses | Publishes activities, findings and conclusions in recognized scientific publications and presents same at appropriate scientific conferences and forums | Documents research leading to patent disclosure or technical and/or scientific advancement | Responsibilities are within the Research Function as a generalist or in a combination of Disciplines</v>
      </c>
      <c r="R494" s="22" t="str">
        <f>IF(LEFT(J494,1)="E","EX",LEFT(J494,1))</f>
        <v>M</v>
      </c>
      <c r="S494" s="22" t="str">
        <f>_xlfn.XLOOKUP($R494,'[1]Career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494" s="22" t="str">
        <f>J494</f>
        <v>M2</v>
      </c>
      <c r="U494" s="40" t="str">
        <f t="shared" si="15"/>
        <v>M2</v>
      </c>
      <c r="V494" s="22" t="str">
        <f>_xlfn.XLOOKUP(T494,'[1]Career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494" s="41" t="str">
        <f>J494&amp;"-"&amp;G494</f>
        <v>M2-12</v>
      </c>
      <c r="X494" s="42" t="str">
        <f>G494</f>
        <v>12</v>
      </c>
      <c r="Y494" s="22" t="str">
        <f>_xlfn.XLOOKUP(W494,'[1]Career Bands &amp; Levels'!A:A,'[1]Career Bands &amp; Levels'!C:C,"No Grade Differentiator")</f>
        <v xml:space="preserve">●	Accountable for results of a small team of employees		
●	Exercises limited management authority; sets employee performance objectives, conducts performance reviews and recommends pay actions		
●	Defines team operating standards and ensures essential procedures are followed based on knowledge of own discipline		</v>
      </c>
      <c r="Z494" s="43" t="str">
        <f>IFERROR(O494&amp;" - "&amp;G494,"--")</f>
        <v>Manager General R&amp;D - 12</v>
      </c>
      <c r="AA494" s="44" t="str">
        <f>_xlfn.XLOOKUP($H494,'[1]SIG Qualifications Input'!$D:$D,'[1]SIG Qualifications Input'!$H:$H)</f>
        <v>University degree or equivalent and 7-10 years of work experience or equivalent
Experience in managing mixed-level team(s) of professionals and subordinate managers</v>
      </c>
    </row>
    <row r="495" spans="1:27" ht="197" thickBot="1" x14ac:dyDescent="0.2">
      <c r="A495" s="34" t="str">
        <f>_xlfn.XLOOKUP(C495,'[1]SIG Job Families &amp; Descriptions'!F:F,'[1]SIG Job Families &amp; Descriptions'!B:B)</f>
        <v>Research &amp; Development</v>
      </c>
      <c r="B495" s="34" t="str">
        <f>_xlfn.XLOOKUP(C495,'[1]SIG Job Families &amp; Descriptions'!F:F,'[1]SIG Job Families &amp; Descriptions'!D:D)</f>
        <v>General R&amp;D</v>
      </c>
      <c r="C495" s="34" t="s">
        <v>110</v>
      </c>
      <c r="D495" s="30" t="str">
        <f t="shared" si="14"/>
        <v>ARS</v>
      </c>
      <c r="E495" s="31" t="str">
        <f>_xlfn.XLOOKUP(C495,'[1]SIG Job Families &amp; Descriptions'!F:F,'[1]SIG Job Families &amp; Descriptions'!A:A)</f>
        <v>ARS000</v>
      </c>
      <c r="F495" s="32" t="s">
        <v>32</v>
      </c>
      <c r="G495" s="33" t="s">
        <v>34</v>
      </c>
      <c r="H495" s="34" t="str">
        <f>F495&amp;"-"&amp;G495</f>
        <v>Professional-12</v>
      </c>
      <c r="I495" s="35" t="str">
        <f>IF(ISERROR(_xlfn.XLOOKUP(H495,'[1]SIG Level Structure'!D:D,'[1]SIG Level Structure'!D:D)),"0","1")</f>
        <v>1</v>
      </c>
      <c r="J495" s="36" t="str">
        <f>_xlfn.XLOOKUP($H495,'[1]SIG Level Structure'!$D:$D,'[1]SIG Level Structure'!F:F)</f>
        <v>P3</v>
      </c>
      <c r="K495" s="37" t="str">
        <f>E495&amp;"-"&amp;J495&amp;"-"&amp;G495</f>
        <v>ARS000-P3-12</v>
      </c>
      <c r="L495" s="37" t="str">
        <f>IFERROR(D495&amp;"-"&amp;LEFT(J495,1),"--")</f>
        <v>ARS-P</v>
      </c>
      <c r="M495" s="37" t="str">
        <f>VLOOKUP(L495,'[1]Compatible JC'!$A:$A,1,FALSE)</f>
        <v>ARS-P</v>
      </c>
      <c r="N495" s="37" t="str">
        <f>IFERROR(_xlfn.XLOOKUP(H495,'[1]SIG Level Structure'!D:D,'[1]SIG Level Structure'!C:C),"--")</f>
        <v>Expert</v>
      </c>
      <c r="O495" s="38" t="str">
        <f>IFERROR(TRIM(N495&amp;" "&amp;C495),"--")</f>
        <v>Expert General R&amp;D</v>
      </c>
      <c r="P495" s="22" t="str">
        <f>_xlfn.XLOOKUP(E495,'[1]SIG Job Families &amp; Descriptions'!A:A,'[1]SIG Job Families &amp; Descriptions'!G:G)</f>
        <v xml:space="preserve">Performs basic theoretical and experimental scientific and technological investigation directed toward the acquisition of new knowledge. Prepares comprehensive documented observations, analyses and interpretations of results, including technical reports, summaries, protocols and quantitative analyses. Publishes activities, findings and conclusions in recognized scientific publications and presents same at appropriate scientific conferences and forums. Documents research leading to patent disclosure or technical and/or scientific advancement.
</v>
      </c>
      <c r="Q495" s="39" t="str">
        <f>_xlfn.XLOOKUP(E495,'[1]2022 GI Position Descriptions'!E:E,'[1]2022 GI Position Descriptions'!G:G)</f>
        <v>Performs basic theoretical and experimental scientific and technological investigation directed toward the acquisition of new knowledge | Prepares comprehensive documented observations, analyses and interpretations of results, including technical reports, summaries, protocols and quantitative analyses | Publishes activities, findings and conclusions in recognized scientific publications and presents same at appropriate scientific conferences and forums | Documents research leading to patent disclosure or technical and/or scientific advancement | Responsibilities are within the Research Function as a generalist or in a combination of Disciplines</v>
      </c>
      <c r="R495" s="22" t="str">
        <f>IF(LEFT(J495,1)="E","EX",LEFT(J495,1))</f>
        <v>P</v>
      </c>
      <c r="S495" s="22" t="str">
        <f>_xlfn.XLOOKUP($R495,'[1]Career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95" s="22" t="str">
        <f>J495</f>
        <v>P3</v>
      </c>
      <c r="U495" s="40" t="str">
        <f t="shared" si="15"/>
        <v>P3</v>
      </c>
      <c r="V495" s="22" t="str">
        <f>_xlfn.XLOOKUP(T495,'[1]Career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495" s="41" t="str">
        <f>J495&amp;"-"&amp;G495</f>
        <v>P3-12</v>
      </c>
      <c r="X495" s="42" t="str">
        <f>G495</f>
        <v>12</v>
      </c>
      <c r="Y495" s="22" t="str">
        <f>_xlfn.XLOOKUP(W495,'[1]Career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495" s="43" t="str">
        <f>IFERROR(O495&amp;" - "&amp;G495,"--")</f>
        <v>Expert General R&amp;D - 12</v>
      </c>
      <c r="AA495" s="44" t="str">
        <f>_xlfn.XLOOKUP($H495,'[1]SIG Qualifications Input'!$D:$D,'[1]SIG Qualifications Input'!$H:$H)</f>
        <v>University degree or equivalent and 4-8 years of work experience or equivalent, 
Initial experience in functionally leading (sub-) projects</v>
      </c>
    </row>
    <row r="496" spans="1:27" ht="197" thickBot="1" x14ac:dyDescent="0.2">
      <c r="A496" s="34" t="str">
        <f>_xlfn.XLOOKUP(C496,'[1]SIG Job Families &amp; Descriptions'!F:F,'[1]SIG Job Families &amp; Descriptions'!B:B)</f>
        <v>Research &amp; Development</v>
      </c>
      <c r="B496" s="34" t="str">
        <f>_xlfn.XLOOKUP(C496,'[1]SIG Job Families &amp; Descriptions'!F:F,'[1]SIG Job Families &amp; Descriptions'!D:D)</f>
        <v>General R&amp;D</v>
      </c>
      <c r="C496" s="34" t="s">
        <v>110</v>
      </c>
      <c r="D496" s="30" t="str">
        <f t="shared" si="14"/>
        <v>ARS</v>
      </c>
      <c r="E496" s="31" t="str">
        <f>_xlfn.XLOOKUP(C496,'[1]SIG Job Families &amp; Descriptions'!F:F,'[1]SIG Job Families &amp; Descriptions'!A:A)</f>
        <v>ARS000</v>
      </c>
      <c r="F496" s="32" t="s">
        <v>32</v>
      </c>
      <c r="G496" s="33" t="s">
        <v>35</v>
      </c>
      <c r="H496" s="34" t="str">
        <f>F496&amp;"-"&amp;G496</f>
        <v>Professional-11</v>
      </c>
      <c r="I496" s="35" t="str">
        <f>IF(ISERROR(_xlfn.XLOOKUP(H496,'[1]SIG Level Structure'!D:D,'[1]SIG Level Structure'!D:D)),"0","1")</f>
        <v>1</v>
      </c>
      <c r="J496" s="36" t="str">
        <f>_xlfn.XLOOKUP($H496,'[1]SIG Level Structure'!$D:$D,'[1]SIG Level Structure'!F:F)</f>
        <v>P3</v>
      </c>
      <c r="K496" s="37" t="str">
        <f>E496&amp;"-"&amp;J496&amp;"-"&amp;G496</f>
        <v>ARS000-P3-11</v>
      </c>
      <c r="L496" s="37" t="str">
        <f>IFERROR(D496&amp;"-"&amp;LEFT(J496,1),"--")</f>
        <v>ARS-P</v>
      </c>
      <c r="M496" s="37" t="str">
        <f>VLOOKUP(L496,'[1]Compatible JC'!$A:$A,1,FALSE)</f>
        <v>ARS-P</v>
      </c>
      <c r="N496" s="37" t="str">
        <f>IFERROR(_xlfn.XLOOKUP(H496,'[1]SIG Level Structure'!D:D,'[1]SIG Level Structure'!C:C),"--")</f>
        <v>Expert</v>
      </c>
      <c r="O496" s="38" t="str">
        <f>IFERROR(TRIM(N496&amp;" "&amp;C496),"--")</f>
        <v>Expert General R&amp;D</v>
      </c>
      <c r="P496" s="22" t="str">
        <f>_xlfn.XLOOKUP(E496,'[1]SIG Job Families &amp; Descriptions'!A:A,'[1]SIG Job Families &amp; Descriptions'!G:G)</f>
        <v xml:space="preserve">Performs basic theoretical and experimental scientific and technological investigation directed toward the acquisition of new knowledge. Prepares comprehensive documented observations, analyses and interpretations of results, including technical reports, summaries, protocols and quantitative analyses. Publishes activities, findings and conclusions in recognized scientific publications and presents same at appropriate scientific conferences and forums. Documents research leading to patent disclosure or technical and/or scientific advancement.
</v>
      </c>
      <c r="Q496" s="39" t="str">
        <f>_xlfn.XLOOKUP(E496,'[1]2022 GI Position Descriptions'!E:E,'[1]2022 GI Position Descriptions'!G:G)</f>
        <v>Performs basic theoretical and experimental scientific and technological investigation directed toward the acquisition of new knowledge | Prepares comprehensive documented observations, analyses and interpretations of results, including technical reports, summaries, protocols and quantitative analyses | Publishes activities, findings and conclusions in recognized scientific publications and presents same at appropriate scientific conferences and forums | Documents research leading to patent disclosure or technical and/or scientific advancement | Responsibilities are within the Research Function as a generalist or in a combination of Disciplines</v>
      </c>
      <c r="R496" s="22" t="str">
        <f>IF(LEFT(J496,1)="E","EX",LEFT(J496,1))</f>
        <v>P</v>
      </c>
      <c r="S496" s="22" t="str">
        <f>_xlfn.XLOOKUP($R496,'[1]Career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96" s="22" t="str">
        <f>J496</f>
        <v>P3</v>
      </c>
      <c r="U496" s="40" t="str">
        <f t="shared" si="15"/>
        <v>P3</v>
      </c>
      <c r="V496" s="22" t="str">
        <f>_xlfn.XLOOKUP(T496,'[1]Career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496" s="41" t="str">
        <f>J496&amp;"-"&amp;G496</f>
        <v>P3-11</v>
      </c>
      <c r="X496" s="42" t="str">
        <f>G496</f>
        <v>11</v>
      </c>
      <c r="Y496" s="22" t="str">
        <f>_xlfn.XLOOKUP(W496,'[1]Career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496" s="43" t="str">
        <f>IFERROR(O496&amp;" - "&amp;G496,"--")</f>
        <v>Expert General R&amp;D - 11</v>
      </c>
      <c r="AA496" s="44" t="str">
        <f>_xlfn.XLOOKUP($H496,'[1]SIG Qualifications Input'!$D:$D,'[1]SIG Qualifications Input'!$H:$H)</f>
        <v>University degree or equivalent and 4-8 years of work experience or equivalent, 
Initial experience in functionally leading (sub-) projects</v>
      </c>
    </row>
    <row r="497" spans="1:27" ht="197" thickBot="1" x14ac:dyDescent="0.2">
      <c r="A497" s="34" t="str">
        <f>_xlfn.XLOOKUP(C497,'[1]SIG Job Families &amp; Descriptions'!F:F,'[1]SIG Job Families &amp; Descriptions'!B:B)</f>
        <v>Research &amp; Development</v>
      </c>
      <c r="B497" s="34" t="str">
        <f>_xlfn.XLOOKUP(C497,'[1]SIG Job Families &amp; Descriptions'!F:F,'[1]SIG Job Families &amp; Descriptions'!D:D)</f>
        <v>General R&amp;D</v>
      </c>
      <c r="C497" s="34" t="s">
        <v>110</v>
      </c>
      <c r="D497" s="30" t="str">
        <f t="shared" si="14"/>
        <v>ARS</v>
      </c>
      <c r="E497" s="31" t="str">
        <f>_xlfn.XLOOKUP(C497,'[1]SIG Job Families &amp; Descriptions'!F:F,'[1]SIG Job Families &amp; Descriptions'!A:A)</f>
        <v>ARS000</v>
      </c>
      <c r="F497" s="32" t="s">
        <v>32</v>
      </c>
      <c r="G497" s="33" t="s">
        <v>36</v>
      </c>
      <c r="H497" s="34" t="str">
        <f>F497&amp;"-"&amp;G497</f>
        <v>Professional-10</v>
      </c>
      <c r="I497" s="35" t="str">
        <f>IF(ISERROR(_xlfn.XLOOKUP(H497,'[1]SIG Level Structure'!D:D,'[1]SIG Level Structure'!D:D)),"0","1")</f>
        <v>1</v>
      </c>
      <c r="J497" s="36" t="str">
        <f>_xlfn.XLOOKUP($H497,'[1]SIG Level Structure'!$D:$D,'[1]SIG Level Structure'!F:F)</f>
        <v>P2</v>
      </c>
      <c r="K497" s="37" t="str">
        <f>E497&amp;"-"&amp;J497&amp;"-"&amp;G497</f>
        <v>ARS000-P2-10</v>
      </c>
      <c r="L497" s="37" t="str">
        <f>IFERROR(D497&amp;"-"&amp;LEFT(J497,1),"--")</f>
        <v>ARS-P</v>
      </c>
      <c r="M497" s="37" t="str">
        <f>VLOOKUP(L497,'[1]Compatible JC'!$A:$A,1,FALSE)</f>
        <v>ARS-P</v>
      </c>
      <c r="N497" s="37" t="str">
        <f>IFERROR(_xlfn.XLOOKUP(H497,'[1]SIG Level Structure'!D:D,'[1]SIG Level Structure'!C:C),"--")</f>
        <v>Senior Specialist</v>
      </c>
      <c r="O497" s="38" t="str">
        <f>IFERROR(TRIM(N497&amp;" "&amp;C497),"--")</f>
        <v>Senior Specialist General R&amp;D</v>
      </c>
      <c r="P497" s="22" t="str">
        <f>_xlfn.XLOOKUP(E497,'[1]SIG Job Families &amp; Descriptions'!A:A,'[1]SIG Job Families &amp; Descriptions'!G:G)</f>
        <v xml:space="preserve">Performs basic theoretical and experimental scientific and technological investigation directed toward the acquisition of new knowledge. Prepares comprehensive documented observations, analyses and interpretations of results, including technical reports, summaries, protocols and quantitative analyses. Publishes activities, findings and conclusions in recognized scientific publications and presents same at appropriate scientific conferences and forums. Documents research leading to patent disclosure or technical and/or scientific advancement.
</v>
      </c>
      <c r="Q497" s="39" t="str">
        <f>_xlfn.XLOOKUP(E497,'[1]2022 GI Position Descriptions'!E:E,'[1]2022 GI Position Descriptions'!G:G)</f>
        <v>Performs basic theoretical and experimental scientific and technological investigation directed toward the acquisition of new knowledge | Prepares comprehensive documented observations, analyses and interpretations of results, including technical reports, summaries, protocols and quantitative analyses | Publishes activities, findings and conclusions in recognized scientific publications and presents same at appropriate scientific conferences and forums | Documents research leading to patent disclosure or technical and/or scientific advancement | Responsibilities are within the Research Function as a generalist or in a combination of Disciplines</v>
      </c>
      <c r="R497" s="22" t="str">
        <f>IF(LEFT(J497,1)="E","EX",LEFT(J497,1))</f>
        <v>P</v>
      </c>
      <c r="S497" s="22" t="str">
        <f>_xlfn.XLOOKUP($R497,'[1]Career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97" s="22" t="str">
        <f>J497</f>
        <v>P2</v>
      </c>
      <c r="U497" s="40" t="str">
        <f t="shared" si="15"/>
        <v>P2</v>
      </c>
      <c r="V497" s="22" t="str">
        <f>_xlfn.XLOOKUP(T497,'[1]Career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497" s="41" t="str">
        <f>J497&amp;"-"&amp;G497</f>
        <v>P2-10</v>
      </c>
      <c r="X497" s="42" t="str">
        <f>G497</f>
        <v>10</v>
      </c>
      <c r="Y497" s="22" t="str">
        <f>_xlfn.XLOOKUP(W497,'[1]Career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497" s="43" t="str">
        <f>IFERROR(O497&amp;" - "&amp;G497,"--")</f>
        <v>Senior Specialist General R&amp;D - 10</v>
      </c>
      <c r="AA497" s="44" t="str">
        <f>_xlfn.XLOOKUP($H497,'[1]SIG Qualifications Input'!$D:$D,'[1]SIG Qualifications Input'!$H:$H)</f>
        <v>University degree or equivalent and 2-4 years of work experience or equivalent</v>
      </c>
    </row>
    <row r="498" spans="1:27" ht="197" thickBot="1" x14ac:dyDescent="0.2">
      <c r="A498" s="34" t="str">
        <f>_xlfn.XLOOKUP(C498,'[1]SIG Job Families &amp; Descriptions'!F:F,'[1]SIG Job Families &amp; Descriptions'!B:B)</f>
        <v>Research &amp; Development</v>
      </c>
      <c r="B498" s="34" t="str">
        <f>_xlfn.XLOOKUP(C498,'[1]SIG Job Families &amp; Descriptions'!F:F,'[1]SIG Job Families &amp; Descriptions'!D:D)</f>
        <v>General R&amp;D</v>
      </c>
      <c r="C498" s="34" t="s">
        <v>110</v>
      </c>
      <c r="D498" s="30" t="str">
        <f t="shared" si="14"/>
        <v>ARS</v>
      </c>
      <c r="E498" s="31" t="str">
        <f>_xlfn.XLOOKUP(C498,'[1]SIG Job Families &amp; Descriptions'!F:F,'[1]SIG Job Families &amp; Descriptions'!A:A)</f>
        <v>ARS000</v>
      </c>
      <c r="F498" s="32" t="s">
        <v>32</v>
      </c>
      <c r="G498" s="33" t="s">
        <v>37</v>
      </c>
      <c r="H498" s="34" t="str">
        <f>F498&amp;"-"&amp;G498</f>
        <v>Professional-09</v>
      </c>
      <c r="I498" s="35" t="str">
        <f>IF(ISERROR(_xlfn.XLOOKUP(H498,'[1]SIG Level Structure'!D:D,'[1]SIG Level Structure'!D:D)),"0","1")</f>
        <v>1</v>
      </c>
      <c r="J498" s="36" t="str">
        <f>_xlfn.XLOOKUP($H498,'[1]SIG Level Structure'!$D:$D,'[1]SIG Level Structure'!F:F)</f>
        <v>P2</v>
      </c>
      <c r="K498" s="37" t="str">
        <f>E498&amp;"-"&amp;J498&amp;"-"&amp;G498</f>
        <v>ARS000-P2-09</v>
      </c>
      <c r="L498" s="37" t="str">
        <f>IFERROR(D498&amp;"-"&amp;LEFT(J498,1),"--")</f>
        <v>ARS-P</v>
      </c>
      <c r="M498" s="37" t="str">
        <f>VLOOKUP(L498,'[1]Compatible JC'!$A:$A,1,FALSE)</f>
        <v>ARS-P</v>
      </c>
      <c r="N498" s="37" t="str">
        <f>IFERROR(_xlfn.XLOOKUP(H498,'[1]SIG Level Structure'!D:D,'[1]SIG Level Structure'!C:C),"--")</f>
        <v>Senior Specialist</v>
      </c>
      <c r="O498" s="38" t="str">
        <f>IFERROR(TRIM(N498&amp;" "&amp;C498),"--")</f>
        <v>Senior Specialist General R&amp;D</v>
      </c>
      <c r="P498" s="22" t="str">
        <f>_xlfn.XLOOKUP(E498,'[1]SIG Job Families &amp; Descriptions'!A:A,'[1]SIG Job Families &amp; Descriptions'!G:G)</f>
        <v xml:space="preserve">Performs basic theoretical and experimental scientific and technological investigation directed toward the acquisition of new knowledge. Prepares comprehensive documented observations, analyses and interpretations of results, including technical reports, summaries, protocols and quantitative analyses. Publishes activities, findings and conclusions in recognized scientific publications and presents same at appropriate scientific conferences and forums. Documents research leading to patent disclosure or technical and/or scientific advancement.
</v>
      </c>
      <c r="Q498" s="39" t="str">
        <f>_xlfn.XLOOKUP(E498,'[1]2022 GI Position Descriptions'!E:E,'[1]2022 GI Position Descriptions'!G:G)</f>
        <v>Performs basic theoretical and experimental scientific and technological investigation directed toward the acquisition of new knowledge | Prepares comprehensive documented observations, analyses and interpretations of results, including technical reports, summaries, protocols and quantitative analyses | Publishes activities, findings and conclusions in recognized scientific publications and presents same at appropriate scientific conferences and forums | Documents research leading to patent disclosure or technical and/or scientific advancement | Responsibilities are within the Research Function as a generalist or in a combination of Disciplines</v>
      </c>
      <c r="R498" s="22" t="str">
        <f>IF(LEFT(J498,1)="E","EX",LEFT(J498,1))</f>
        <v>P</v>
      </c>
      <c r="S498" s="22" t="str">
        <f>_xlfn.XLOOKUP($R498,'[1]Career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498" s="22" t="str">
        <f>J498</f>
        <v>P2</v>
      </c>
      <c r="U498" s="40" t="str">
        <f t="shared" si="15"/>
        <v>P2</v>
      </c>
      <c r="V498" s="22" t="str">
        <f>_xlfn.XLOOKUP(T498,'[1]Career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498" s="41" t="str">
        <f>J498&amp;"-"&amp;G498</f>
        <v>P2-09</v>
      </c>
      <c r="X498" s="42" t="str">
        <f>G498</f>
        <v>09</v>
      </c>
      <c r="Y498" s="22" t="str">
        <f>_xlfn.XLOOKUP(W498,'[1]Career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498" s="43" t="str">
        <f>IFERROR(O498&amp;" - "&amp;G498,"--")</f>
        <v>Senior Specialist General R&amp;D - 09</v>
      </c>
      <c r="AA498" s="44" t="str">
        <f>_xlfn.XLOOKUP($H498,'[1]SIG Qualifications Input'!$D:$D,'[1]SIG Qualifications Input'!$H:$H)</f>
        <v>University degree or equivalent and 2-4 years of work experience or equivalent</v>
      </c>
    </row>
    <row r="499" spans="1:27" ht="183" thickBot="1" x14ac:dyDescent="0.2">
      <c r="A499" s="34" t="str">
        <f>_xlfn.XLOOKUP(C499,'[1]SIG Job Families &amp; Descriptions'!F:F,'[1]SIG Job Families &amp; Descriptions'!B:B)</f>
        <v>Research &amp; Development</v>
      </c>
      <c r="B499" s="34" t="str">
        <f>_xlfn.XLOOKUP(C499,'[1]SIG Job Families &amp; Descriptions'!F:F,'[1]SIG Job Families &amp; Descriptions'!D:D)</f>
        <v>Product Development</v>
      </c>
      <c r="C499" s="34" t="s">
        <v>111</v>
      </c>
      <c r="D499" s="30" t="str">
        <f t="shared" si="14"/>
        <v>ARP</v>
      </c>
      <c r="E499" s="31" t="str">
        <f>_xlfn.XLOOKUP(C499,'[1]SIG Job Families &amp; Descriptions'!F:F,'[1]SIG Job Families &amp; Descriptions'!A:A)</f>
        <v>ARP000</v>
      </c>
      <c r="F499" s="32" t="s">
        <v>29</v>
      </c>
      <c r="G499" s="33" t="s">
        <v>45</v>
      </c>
      <c r="H499" s="34" t="str">
        <f>F499&amp;"-"&amp;G499</f>
        <v>Management-17</v>
      </c>
      <c r="I499" s="35" t="str">
        <f>IF(ISERROR(_xlfn.XLOOKUP(H499,'[1]SIG Level Structure'!D:D,'[1]SIG Level Structure'!D:D)),"0","1")</f>
        <v>1</v>
      </c>
      <c r="J499" s="36" t="str">
        <f>_xlfn.XLOOKUP($H499,'[1]SIG Level Structure'!$D:$D,'[1]SIG Level Structure'!F:F)</f>
        <v>EX</v>
      </c>
      <c r="K499" s="37" t="str">
        <f>E499&amp;"-"&amp;J499&amp;"-"&amp;G499</f>
        <v>ARP000-EX-17</v>
      </c>
      <c r="L499" s="37" t="str">
        <f>IFERROR(D499&amp;"-"&amp;LEFT(J499,1),"--")</f>
        <v>ARP-E</v>
      </c>
      <c r="M499" s="37" t="str">
        <f>VLOOKUP(L499,'[1]Compatible JC'!$A:$A,1,FALSE)</f>
        <v>ARP-E</v>
      </c>
      <c r="N499" s="37" t="str">
        <f>IFERROR(_xlfn.XLOOKUP(H499,'[1]SIG Level Structure'!D:D,'[1]SIG Level Structure'!C:C),"--")</f>
        <v>Group Manager</v>
      </c>
      <c r="O499" s="38" t="str">
        <f>IFERROR(TRIM(N499&amp;" "&amp;C499),"--")</f>
        <v>Group Manager Product Development</v>
      </c>
      <c r="P499" s="22" t="str">
        <f>_xlfn.XLOOKUP(E499,'[1]SIG Job Families &amp; Descriptions'!A:A,'[1]SIG Job Families &amp; Descriptions'!G:G)</f>
        <v xml:space="preserve">Discovers, develops and evaluates new product ideas, enhancements to existing products or strategic product extensions, and translates research discoveries into usable and marketable products to determine their potential to address customer needs and to achieve goals in revenue growth and market share. Leads, plans and tracks all phases of the product life cycle, from inception to introduction into the marketplace. Develops design briefs for new product ideas, including specifications, sketches and/or models to present a clear, focused concept for strategic consideration. 
</v>
      </c>
      <c r="Q499" s="39" t="str">
        <f>_xlfn.XLOOKUP(E499,'[1]2022 GI Position Descriptions'!E:E,'[1]2022 GI Position Descriptions'!G:G)</f>
        <v>Discovers, develops and evaluates new product ideas, enhancements to existing products or strategic product extensions, and translates research discoveries into usable and marketable products | Leads, plans and tracks all phases of the product life cycle, from inception to introduction into the marketplace | Develops design briefs for new product ideas, including specifications, sketches and/or models to present a clear, focused concept for strategic consideration | Responsibilities are within the Product Development Function as a generalist or in a combination of Disciplines</v>
      </c>
      <c r="R499" s="22" t="str">
        <f>IF(LEFT(J499,1)="E","EX",LEFT(J499,1))</f>
        <v>EX</v>
      </c>
      <c r="S499" s="22" t="str">
        <f>_xlfn.XLOOKUP($R499,'[1]Career Bands &amp; Levels'!A:A,'[1]Career Bands &amp; Levels'!C:C)</f>
        <v>● Holds management accountability for a business, division, major geography, corporate function or major corporate sub-function
● Develops, establishes and approves long-term vision and strategy for the area managed
● May be a board or executive committee member or have a comparable level of influence</v>
      </c>
      <c r="T499" s="22" t="str">
        <f>J499</f>
        <v>EX</v>
      </c>
      <c r="U499" s="40" t="str">
        <f t="shared" si="15"/>
        <v>EX</v>
      </c>
      <c r="V499" s="22" t="str">
        <f>_xlfn.XLOOKUP(T499,'[1]Career Bands &amp; Levels'!A:A,'[1]Career Bands &amp; Levels'!C:C)</f>
        <v>● Holds management accountability for a business, division, major geography, corporate function or major corporate sub-function
● Develops, establishes and approves long-term vision and strategy for the area managed
● May be a board or executive committee member or have a comparable level of influence</v>
      </c>
      <c r="W499" s="41" t="str">
        <f>J499&amp;"-"&amp;G499</f>
        <v>EX-17</v>
      </c>
      <c r="X499" s="42" t="str">
        <f>G499</f>
        <v>17</v>
      </c>
      <c r="Y499" s="22" t="str">
        <f>_xlfn.XLOOKUP(W499,'[1]Career Bands &amp; Levels'!A:A,'[1]Career Bands &amp; Levels'!C:C,"No Grade Differentiator")</f>
        <v>● Typically reports to the head of a subregion, country, division or function
● In large organizations (Global Grade 20 to 22), heads an infrastructure function with indirect impact on business performance</v>
      </c>
      <c r="Z499" s="43" t="str">
        <f>IFERROR(O499&amp;" - "&amp;G499,"--")</f>
        <v>Group Manager Product Development - 17</v>
      </c>
      <c r="AA499" s="44" t="str">
        <f>_xlfn.XLOOKUP($H499,'[1]SIG Qualifications Input'!$D:$D,'[1]SIG Qualifications Input'!$H:$H)</f>
        <v>University degree or equivalent and 10-15 years of work experience or equivalent
Profound experience in management of a global function or major region including setting the respective strategy</v>
      </c>
    </row>
    <row r="500" spans="1:27" ht="183" thickBot="1" x14ac:dyDescent="0.2">
      <c r="A500" s="34" t="str">
        <f>_xlfn.XLOOKUP(C500,'[1]SIG Job Families &amp; Descriptions'!F:F,'[1]SIG Job Families &amp; Descriptions'!B:B)</f>
        <v>Research &amp; Development</v>
      </c>
      <c r="B500" s="34" t="str">
        <f>_xlfn.XLOOKUP(C500,'[1]SIG Job Families &amp; Descriptions'!F:F,'[1]SIG Job Families &amp; Descriptions'!D:D)</f>
        <v>Product Development</v>
      </c>
      <c r="C500" s="34" t="s">
        <v>111</v>
      </c>
      <c r="D500" s="30" t="str">
        <f t="shared" si="14"/>
        <v>ARP</v>
      </c>
      <c r="E500" s="31" t="str">
        <f>_xlfn.XLOOKUP(C500,'[1]SIG Job Families &amp; Descriptions'!F:F,'[1]SIG Job Families &amp; Descriptions'!A:A)</f>
        <v>ARP000</v>
      </c>
      <c r="F500" s="32" t="s">
        <v>29</v>
      </c>
      <c r="G500" s="33" t="s">
        <v>40</v>
      </c>
      <c r="H500" s="34" t="str">
        <f>F500&amp;"-"&amp;G500</f>
        <v>Management-16</v>
      </c>
      <c r="I500" s="35" t="str">
        <f>IF(ISERROR(_xlfn.XLOOKUP(H500,'[1]SIG Level Structure'!D:D,'[1]SIG Level Structure'!D:D)),"0","1")</f>
        <v>1</v>
      </c>
      <c r="J500" s="36" t="str">
        <f>_xlfn.XLOOKUP($H500,'[1]SIG Level Structure'!$D:$D,'[1]SIG Level Structure'!F:F)</f>
        <v>M4</v>
      </c>
      <c r="K500" s="37" t="str">
        <f>E500&amp;"-"&amp;J500&amp;"-"&amp;G500</f>
        <v>ARP000-M4-16</v>
      </c>
      <c r="L500" s="37" t="str">
        <f>IFERROR(D500&amp;"-"&amp;LEFT(J500,1),"--")</f>
        <v>ARP-M</v>
      </c>
      <c r="M500" s="37" t="str">
        <f>VLOOKUP(L500,'[1]Compatible JC'!$A:$A,1,FALSE)</f>
        <v>ARP-M</v>
      </c>
      <c r="N500" s="37" t="str">
        <f>IFERROR(_xlfn.XLOOKUP(H500,'[1]SIG Level Structure'!D:D,'[1]SIG Level Structure'!C:C),"--")</f>
        <v>Group Manager</v>
      </c>
      <c r="O500" s="38" t="str">
        <f>IFERROR(TRIM(N500&amp;" "&amp;C500),"--")</f>
        <v>Group Manager Product Development</v>
      </c>
      <c r="P500" s="22" t="str">
        <f>_xlfn.XLOOKUP(E500,'[1]SIG Job Families &amp; Descriptions'!A:A,'[1]SIG Job Families &amp; Descriptions'!G:G)</f>
        <v xml:space="preserve">Discovers, develops and evaluates new product ideas, enhancements to existing products or strategic product extensions, and translates research discoveries into usable and marketable products to determine their potential to address customer needs and to achieve goals in revenue growth and market share. Leads, plans and tracks all phases of the product life cycle, from inception to introduction into the marketplace. Develops design briefs for new product ideas, including specifications, sketches and/or models to present a clear, focused concept for strategic consideration. 
</v>
      </c>
      <c r="Q500" s="39" t="str">
        <f>_xlfn.XLOOKUP(E500,'[1]2022 GI Position Descriptions'!E:E,'[1]2022 GI Position Descriptions'!G:G)</f>
        <v>Discovers, develops and evaluates new product ideas, enhancements to existing products or strategic product extensions, and translates research discoveries into usable and marketable products | Leads, plans and tracks all phases of the product life cycle, from inception to introduction into the marketplace | Develops design briefs for new product ideas, including specifications, sketches and/or models to present a clear, focused concept for strategic consideration | Responsibilities are within the Product Development Function as a generalist or in a combination of Disciplines</v>
      </c>
      <c r="R500" s="22" t="str">
        <f>IF(LEFT(J500,1)="E","EX",LEFT(J500,1))</f>
        <v>M</v>
      </c>
      <c r="S500" s="22" t="str">
        <f>_xlfn.XLOOKUP($R500,'[1]Career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500" s="22" t="str">
        <f>J500</f>
        <v>M4</v>
      </c>
      <c r="U500" s="40" t="str">
        <f t="shared" si="15"/>
        <v>M4</v>
      </c>
      <c r="V500" s="22" t="str">
        <f>_xlfn.XLOOKUP(T500,'[1]Career Bands &amp; Levels'!A:A,'[1]Career Bands &amp; Levels'!C:C)</f>
        <v xml:space="preserve">●	Provides leadership and direction through Senior Managers and Managers		
●	Has accountability for the performance and results of:		
	●	A large, strategically important discipline in an extremely large market; and/or	
	●	Related disciplines or a medium-sized function in a large market or medium-sized division; and/or	
	●	A medium-sized discipline or department in a major region	
●	Adapts and executes functional or departmental business plans and contributes to the development of functional or departmental strategies		
●	Decisions are guided by functional or major operational segment strategies and priorities		</v>
      </c>
      <c r="W500" s="41" t="str">
        <f>J500&amp;"-"&amp;G500</f>
        <v>M4-16</v>
      </c>
      <c r="X500" s="42" t="str">
        <f>G500</f>
        <v>16</v>
      </c>
      <c r="Y500" s="22" t="str">
        <f>_xlfn.XLOOKUP(W500,'[1]Career Bands &amp; Levels'!A:A,'[1]Career Bands &amp; Levels'!C:C,"No Grade Differentiator")</f>
        <v>No Grade Differentiator</v>
      </c>
      <c r="Z500" s="43" t="str">
        <f>IFERROR(O500&amp;" - "&amp;G500,"--")</f>
        <v>Group Manager Product Development - 16</v>
      </c>
      <c r="AA500" s="44" t="str">
        <f>_xlfn.XLOOKUP($H500,'[1]SIG Qualifications Input'!$D:$D,'[1]SIG Qualifications Input'!$H:$H)</f>
        <v>University degree or equivalent and 10-15 years of work experience or equivalent
Profound experience in management of a global function or major region including setting the respective strategy</v>
      </c>
    </row>
    <row r="501" spans="1:27" ht="183" thickBot="1" x14ac:dyDescent="0.2">
      <c r="A501" s="34" t="str">
        <f>_xlfn.XLOOKUP(C501,'[1]SIG Job Families &amp; Descriptions'!F:F,'[1]SIG Job Families &amp; Descriptions'!B:B)</f>
        <v>Research &amp; Development</v>
      </c>
      <c r="B501" s="34" t="str">
        <f>_xlfn.XLOOKUP(C501,'[1]SIG Job Families &amp; Descriptions'!F:F,'[1]SIG Job Families &amp; Descriptions'!D:D)</f>
        <v>Product Development</v>
      </c>
      <c r="C501" s="34" t="s">
        <v>111</v>
      </c>
      <c r="D501" s="30" t="str">
        <f t="shared" si="14"/>
        <v>ARP</v>
      </c>
      <c r="E501" s="31" t="str">
        <f>_xlfn.XLOOKUP(C501,'[1]SIG Job Families &amp; Descriptions'!F:F,'[1]SIG Job Families &amp; Descriptions'!A:A)</f>
        <v>ARP000</v>
      </c>
      <c r="F501" s="32" t="s">
        <v>29</v>
      </c>
      <c r="G501" s="33" t="s">
        <v>30</v>
      </c>
      <c r="H501" s="34" t="str">
        <f>F501&amp;"-"&amp;G501</f>
        <v>Management-15</v>
      </c>
      <c r="I501" s="35" t="str">
        <f>IF(ISERROR(_xlfn.XLOOKUP(H501,'[1]SIG Level Structure'!D:D,'[1]SIG Level Structure'!D:D)),"0","1")</f>
        <v>1</v>
      </c>
      <c r="J501" s="36" t="str">
        <f>_xlfn.XLOOKUP($H501,'[1]SIG Level Structure'!$D:$D,'[1]SIG Level Structure'!F:F)</f>
        <v>M3</v>
      </c>
      <c r="K501" s="37" t="str">
        <f>E501&amp;"-"&amp;J501&amp;"-"&amp;G501</f>
        <v>ARP000-M3-15</v>
      </c>
      <c r="L501" s="37" t="str">
        <f>IFERROR(D501&amp;"-"&amp;LEFT(J501,1),"--")</f>
        <v>ARP-M</v>
      </c>
      <c r="M501" s="37" t="str">
        <f>VLOOKUP(L501,'[1]Compatible JC'!$A:$A,1,FALSE)</f>
        <v>ARP-M</v>
      </c>
      <c r="N501" s="37" t="str">
        <f>IFERROR(_xlfn.XLOOKUP(H501,'[1]SIG Level Structure'!D:D,'[1]SIG Level Structure'!C:C),"--")</f>
        <v>Senior Manager</v>
      </c>
      <c r="O501" s="38" t="str">
        <f>IFERROR(TRIM(N501&amp;" "&amp;C501),"--")</f>
        <v>Senior Manager Product Development</v>
      </c>
      <c r="P501" s="22" t="str">
        <f>_xlfn.XLOOKUP(E501,'[1]SIG Job Families &amp; Descriptions'!A:A,'[1]SIG Job Families &amp; Descriptions'!G:G)</f>
        <v xml:space="preserve">Discovers, develops and evaluates new product ideas, enhancements to existing products or strategic product extensions, and translates research discoveries into usable and marketable products to determine their potential to address customer needs and to achieve goals in revenue growth and market share. Leads, plans and tracks all phases of the product life cycle, from inception to introduction into the marketplace. Develops design briefs for new product ideas, including specifications, sketches and/or models to present a clear, focused concept for strategic consideration. 
</v>
      </c>
      <c r="Q501" s="39" t="str">
        <f>_xlfn.XLOOKUP(E501,'[1]2022 GI Position Descriptions'!E:E,'[1]2022 GI Position Descriptions'!G:G)</f>
        <v>Discovers, develops and evaluates new product ideas, enhancements to existing products or strategic product extensions, and translates research discoveries into usable and marketable products | Leads, plans and tracks all phases of the product life cycle, from inception to introduction into the marketplace | Develops design briefs for new product ideas, including specifications, sketches and/or models to present a clear, focused concept for strategic consideration | Responsibilities are within the Product Development Function as a generalist or in a combination of Disciplines</v>
      </c>
      <c r="R501" s="22" t="str">
        <f>IF(LEFT(J501,1)="E","EX",LEFT(J501,1))</f>
        <v>M</v>
      </c>
      <c r="S501" s="22" t="str">
        <f>_xlfn.XLOOKUP($R501,'[1]Career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501" s="22" t="str">
        <f>J501</f>
        <v>M3</v>
      </c>
      <c r="U501" s="40" t="str">
        <f t="shared" si="15"/>
        <v>M3</v>
      </c>
      <c r="V501" s="22" t="str">
        <f>_xlfn.XLOOKUP(T501,'[1]Career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501" s="41" t="str">
        <f>J501&amp;"-"&amp;G501</f>
        <v>M3-15</v>
      </c>
      <c r="X501" s="42" t="str">
        <f>G501</f>
        <v>15</v>
      </c>
      <c r="Y501" s="22" t="str">
        <f>_xlfn.XLOOKUP(W501,'[1]Career Bands &amp; Levels'!A:A,'[1]Career Bands &amp; Levels'!C:C,"No Grade Differentiator")</f>
        <v xml:space="preserve">●	Looks beyond existing methodologies and own discipline to define and resolve complex problems
●	Develops plans and delivers results in fast-changing businesses and/or regulatory environments
●	Provides input to functional or departmental strategy		
●	Manages large, potentially diverse teams of managers and/or senior professionals		
		</v>
      </c>
      <c r="Z501" s="43" t="str">
        <f>IFERROR(O501&amp;" - "&amp;G501,"--")</f>
        <v>Senior Manager Product Development - 15</v>
      </c>
      <c r="AA501" s="44" t="str">
        <f>_xlfn.XLOOKUP($H501,'[1]SIG Qualifications Input'!$D:$D,'[1]SIG Qualifications Input'!$H:$H)</f>
        <v xml:space="preserve">University degree or equivalent and 10+ years of work experience or equivalent
Profound experience in managing performance and results of diverse activities / multiple teams </v>
      </c>
    </row>
    <row r="502" spans="1:27" ht="183" thickBot="1" x14ac:dyDescent="0.2">
      <c r="A502" s="34" t="str">
        <f>_xlfn.XLOOKUP(C502,'[1]SIG Job Families &amp; Descriptions'!F:F,'[1]SIG Job Families &amp; Descriptions'!B:B)</f>
        <v>Research &amp; Development</v>
      </c>
      <c r="B502" s="34" t="str">
        <f>_xlfn.XLOOKUP(C502,'[1]SIG Job Families &amp; Descriptions'!F:F,'[1]SIG Job Families &amp; Descriptions'!D:D)</f>
        <v>Product Development</v>
      </c>
      <c r="C502" s="34" t="s">
        <v>111</v>
      </c>
      <c r="D502" s="30" t="str">
        <f t="shared" si="14"/>
        <v>ARP</v>
      </c>
      <c r="E502" s="31" t="str">
        <f>_xlfn.XLOOKUP(C502,'[1]SIG Job Families &amp; Descriptions'!F:F,'[1]SIG Job Families &amp; Descriptions'!A:A)</f>
        <v>ARP000</v>
      </c>
      <c r="F502" s="32" t="s">
        <v>29</v>
      </c>
      <c r="G502" s="33" t="s">
        <v>31</v>
      </c>
      <c r="H502" s="34" t="str">
        <f>F502&amp;"-"&amp;G502</f>
        <v>Management-14</v>
      </c>
      <c r="I502" s="35" t="str">
        <f>IF(ISERROR(_xlfn.XLOOKUP(H502,'[1]SIG Level Structure'!D:D,'[1]SIG Level Structure'!D:D)),"0","1")</f>
        <v>1</v>
      </c>
      <c r="J502" s="36" t="str">
        <f>_xlfn.XLOOKUP($H502,'[1]SIG Level Structure'!$D:$D,'[1]SIG Level Structure'!F:F)</f>
        <v>M3</v>
      </c>
      <c r="K502" s="37" t="str">
        <f>E502&amp;"-"&amp;J502&amp;"-"&amp;G502</f>
        <v>ARP000-M3-14</v>
      </c>
      <c r="L502" s="37" t="str">
        <f>IFERROR(D502&amp;"-"&amp;LEFT(J502,1),"--")</f>
        <v>ARP-M</v>
      </c>
      <c r="M502" s="37" t="str">
        <f>VLOOKUP(L502,'[1]Compatible JC'!$A:$A,1,FALSE)</f>
        <v>ARP-M</v>
      </c>
      <c r="N502" s="37" t="str">
        <f>IFERROR(_xlfn.XLOOKUP(H502,'[1]SIG Level Structure'!D:D,'[1]SIG Level Structure'!C:C),"--")</f>
        <v>Senior Manager</v>
      </c>
      <c r="O502" s="38" t="str">
        <f>IFERROR(TRIM(N502&amp;" "&amp;C502),"--")</f>
        <v>Senior Manager Product Development</v>
      </c>
      <c r="P502" s="22" t="str">
        <f>_xlfn.XLOOKUP(E502,'[1]SIG Job Families &amp; Descriptions'!A:A,'[1]SIG Job Families &amp; Descriptions'!G:G)</f>
        <v xml:space="preserve">Discovers, develops and evaluates new product ideas, enhancements to existing products or strategic product extensions, and translates research discoveries into usable and marketable products to determine their potential to address customer needs and to achieve goals in revenue growth and market share. Leads, plans and tracks all phases of the product life cycle, from inception to introduction into the marketplace. Develops design briefs for new product ideas, including specifications, sketches and/or models to present a clear, focused concept for strategic consideration. 
</v>
      </c>
      <c r="Q502" s="39" t="str">
        <f>_xlfn.XLOOKUP(E502,'[1]2022 GI Position Descriptions'!E:E,'[1]2022 GI Position Descriptions'!G:G)</f>
        <v>Discovers, develops and evaluates new product ideas, enhancements to existing products or strategic product extensions, and translates research discoveries into usable and marketable products | Leads, plans and tracks all phases of the product life cycle, from inception to introduction into the marketplace | Develops design briefs for new product ideas, including specifications, sketches and/or models to present a clear, focused concept for strategic consideration | Responsibilities are within the Product Development Function as a generalist or in a combination of Disciplines</v>
      </c>
      <c r="R502" s="22" t="str">
        <f>IF(LEFT(J502,1)="E","EX",LEFT(J502,1))</f>
        <v>M</v>
      </c>
      <c r="S502" s="22" t="str">
        <f>_xlfn.XLOOKUP($R502,'[1]Career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502" s="22" t="str">
        <f>J502</f>
        <v>M3</v>
      </c>
      <c r="U502" s="40" t="str">
        <f t="shared" si="15"/>
        <v>M3</v>
      </c>
      <c r="V502" s="22" t="str">
        <f>_xlfn.XLOOKUP(T502,'[1]Career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502" s="41" t="str">
        <f>J502&amp;"-"&amp;G502</f>
        <v>M3-14</v>
      </c>
      <c r="X502" s="42" t="str">
        <f>G502</f>
        <v>14</v>
      </c>
      <c r="Y502" s="22" t="str">
        <f>_xlfn.XLOOKUP(W502,'[1]Career Bands &amp; Levels'!A:A,'[1]Career Bands &amp; Levels'!C:C,"No Grade Differentiator")</f>
        <v xml:space="preserve">●	Identifies applications of functional knowledge and existing methodologies to complex problems	
●	Manages large teams of professionals and/or junior managers		
		</v>
      </c>
      <c r="Z502" s="43" t="str">
        <f>IFERROR(O502&amp;" - "&amp;G502,"--")</f>
        <v>Senior Manager Product Development - 14</v>
      </c>
      <c r="AA502" s="44" t="str">
        <f>_xlfn.XLOOKUP($H502,'[1]SIG Qualifications Input'!$D:$D,'[1]SIG Qualifications Input'!$H:$H)</f>
        <v xml:space="preserve">University degree or equivalent and 10+ years of work experience or equivalent
Profound experience in managing performance and results of diverse activities / multiple teams </v>
      </c>
    </row>
    <row r="503" spans="1:27" ht="183" thickBot="1" x14ac:dyDescent="0.2">
      <c r="A503" s="34" t="str">
        <f>_xlfn.XLOOKUP(C503,'[1]SIG Job Families &amp; Descriptions'!F:F,'[1]SIG Job Families &amp; Descriptions'!B:B)</f>
        <v>Research &amp; Development</v>
      </c>
      <c r="B503" s="34" t="str">
        <f>_xlfn.XLOOKUP(C503,'[1]SIG Job Families &amp; Descriptions'!F:F,'[1]SIG Job Families &amp; Descriptions'!D:D)</f>
        <v>Product Development</v>
      </c>
      <c r="C503" s="34" t="s">
        <v>111</v>
      </c>
      <c r="D503" s="30" t="str">
        <f t="shared" si="14"/>
        <v>ARP</v>
      </c>
      <c r="E503" s="31" t="str">
        <f>_xlfn.XLOOKUP(C503,'[1]SIG Job Families &amp; Descriptions'!F:F,'[1]SIG Job Families &amp; Descriptions'!A:A)</f>
        <v>ARP000</v>
      </c>
      <c r="F503" s="32" t="s">
        <v>29</v>
      </c>
      <c r="G503" s="33" t="s">
        <v>33</v>
      </c>
      <c r="H503" s="34" t="str">
        <f>F503&amp;"-"&amp;G503</f>
        <v>Management-13</v>
      </c>
      <c r="I503" s="35" t="str">
        <f>IF(ISERROR(_xlfn.XLOOKUP(H503,'[1]SIG Level Structure'!D:D,'[1]SIG Level Structure'!D:D)),"0","1")</f>
        <v>1</v>
      </c>
      <c r="J503" s="36" t="str">
        <f>_xlfn.XLOOKUP($H503,'[1]SIG Level Structure'!$D:$D,'[1]SIG Level Structure'!F:F)</f>
        <v>M2</v>
      </c>
      <c r="K503" s="37" t="str">
        <f>E503&amp;"-"&amp;J503&amp;"-"&amp;G503</f>
        <v>ARP000-M2-13</v>
      </c>
      <c r="L503" s="37" t="str">
        <f>IFERROR(D503&amp;"-"&amp;LEFT(J503,1),"--")</f>
        <v>ARP-M</v>
      </c>
      <c r="M503" s="37" t="str">
        <f>VLOOKUP(L503,'[1]Compatible JC'!$A:$A,1,FALSE)</f>
        <v>ARP-M</v>
      </c>
      <c r="N503" s="37" t="str">
        <f>IFERROR(_xlfn.XLOOKUP(H503,'[1]SIG Level Structure'!D:D,'[1]SIG Level Structure'!C:C),"--")</f>
        <v>Manager</v>
      </c>
      <c r="O503" s="38" t="str">
        <f>IFERROR(TRIM(N503&amp;" "&amp;C503),"--")</f>
        <v>Manager Product Development</v>
      </c>
      <c r="P503" s="22" t="str">
        <f>_xlfn.XLOOKUP(E503,'[1]SIG Job Families &amp; Descriptions'!A:A,'[1]SIG Job Families &amp; Descriptions'!G:G)</f>
        <v xml:space="preserve">Discovers, develops and evaluates new product ideas, enhancements to existing products or strategic product extensions, and translates research discoveries into usable and marketable products to determine their potential to address customer needs and to achieve goals in revenue growth and market share. Leads, plans and tracks all phases of the product life cycle, from inception to introduction into the marketplace. Develops design briefs for new product ideas, including specifications, sketches and/or models to present a clear, focused concept for strategic consideration. 
</v>
      </c>
      <c r="Q503" s="39" t="str">
        <f>_xlfn.XLOOKUP(E503,'[1]2022 GI Position Descriptions'!E:E,'[1]2022 GI Position Descriptions'!G:G)</f>
        <v>Discovers, develops and evaluates new product ideas, enhancements to existing products or strategic product extensions, and translates research discoveries into usable and marketable products | Leads, plans and tracks all phases of the product life cycle, from inception to introduction into the marketplace | Develops design briefs for new product ideas, including specifications, sketches and/or models to present a clear, focused concept for strategic consideration | Responsibilities are within the Product Development Function as a generalist or in a combination of Disciplines</v>
      </c>
      <c r="R503" s="22" t="str">
        <f>IF(LEFT(J503,1)="E","EX",LEFT(J503,1))</f>
        <v>M</v>
      </c>
      <c r="S503" s="22" t="str">
        <f>_xlfn.XLOOKUP($R503,'[1]Career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503" s="22" t="str">
        <f>J503</f>
        <v>M2</v>
      </c>
      <c r="U503" s="40" t="str">
        <f t="shared" si="15"/>
        <v>M2</v>
      </c>
      <c r="V503" s="22" t="str">
        <f>_xlfn.XLOOKUP(T503,'[1]Career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503" s="41" t="str">
        <f>J503&amp;"-"&amp;G503</f>
        <v>M2-13</v>
      </c>
      <c r="X503" s="42" t="str">
        <f>G503</f>
        <v>13</v>
      </c>
      <c r="Y503" s="22" t="str">
        <f>_xlfn.XLOOKUP(W503,'[1]Career Bands &amp; Levels'!A:A,'[1]Career Bands &amp; Levels'!C:C,"No Grade Differentiator")</f>
        <v>●	Accountable for the budget, performance and results of a medium-sized team or multiple small teams of employees		
●	Exercises full management authority, including performance reviews, pay decisions, recruitment, discipline, termination and other personnel actions		
●	Addresses issues with impact beyond own team based on knowledge of related disciplines</v>
      </c>
      <c r="Z503" s="43" t="str">
        <f>IFERROR(O503&amp;" - "&amp;G503,"--")</f>
        <v>Manager Product Development - 13</v>
      </c>
      <c r="AA503" s="44" t="str">
        <f>_xlfn.XLOOKUP($H503,'[1]SIG Qualifications Input'!$D:$D,'[1]SIG Qualifications Input'!$H:$H)</f>
        <v>University degree or equivalent and 7-10 years of work experience or equivalent
Experience in managing mixed-level team(s) of professionals and subordinate managers</v>
      </c>
    </row>
    <row r="504" spans="1:27" ht="183" thickBot="1" x14ac:dyDescent="0.2">
      <c r="A504" s="34" t="str">
        <f>_xlfn.XLOOKUP(C504,'[1]SIG Job Families &amp; Descriptions'!F:F,'[1]SIG Job Families &amp; Descriptions'!B:B)</f>
        <v>Research &amp; Development</v>
      </c>
      <c r="B504" s="34" t="str">
        <f>_xlfn.XLOOKUP(C504,'[1]SIG Job Families &amp; Descriptions'!F:F,'[1]SIG Job Families &amp; Descriptions'!D:D)</f>
        <v>Product Development</v>
      </c>
      <c r="C504" s="34" t="s">
        <v>111</v>
      </c>
      <c r="D504" s="30" t="str">
        <f t="shared" si="14"/>
        <v>ARP</v>
      </c>
      <c r="E504" s="31" t="str">
        <f>_xlfn.XLOOKUP(C504,'[1]SIG Job Families &amp; Descriptions'!F:F,'[1]SIG Job Families &amp; Descriptions'!A:A)</f>
        <v>ARP000</v>
      </c>
      <c r="F504" s="32" t="s">
        <v>29</v>
      </c>
      <c r="G504" s="33" t="s">
        <v>34</v>
      </c>
      <c r="H504" s="34" t="str">
        <f>F504&amp;"-"&amp;G504</f>
        <v>Management-12</v>
      </c>
      <c r="I504" s="35" t="str">
        <f>IF(ISERROR(_xlfn.XLOOKUP(H504,'[1]SIG Level Structure'!D:D,'[1]SIG Level Structure'!D:D)),"0","1")</f>
        <v>1</v>
      </c>
      <c r="J504" s="36" t="str">
        <f>_xlfn.XLOOKUP($H504,'[1]SIG Level Structure'!$D:$D,'[1]SIG Level Structure'!F:F)</f>
        <v>M2</v>
      </c>
      <c r="K504" s="37" t="str">
        <f>E504&amp;"-"&amp;J504&amp;"-"&amp;G504</f>
        <v>ARP000-M2-12</v>
      </c>
      <c r="L504" s="37" t="str">
        <f>IFERROR(D504&amp;"-"&amp;LEFT(J504,1),"--")</f>
        <v>ARP-M</v>
      </c>
      <c r="M504" s="37" t="str">
        <f>VLOOKUP(L504,'[1]Compatible JC'!$A:$A,1,FALSE)</f>
        <v>ARP-M</v>
      </c>
      <c r="N504" s="37" t="str">
        <f>IFERROR(_xlfn.XLOOKUP(H504,'[1]SIG Level Structure'!D:D,'[1]SIG Level Structure'!C:C),"--")</f>
        <v>Manager</v>
      </c>
      <c r="O504" s="38" t="str">
        <f>IFERROR(TRIM(N504&amp;" "&amp;C504),"--")</f>
        <v>Manager Product Development</v>
      </c>
      <c r="P504" s="22" t="str">
        <f>_xlfn.XLOOKUP(E504,'[1]SIG Job Families &amp; Descriptions'!A:A,'[1]SIG Job Families &amp; Descriptions'!G:G)</f>
        <v xml:space="preserve">Discovers, develops and evaluates new product ideas, enhancements to existing products or strategic product extensions, and translates research discoveries into usable and marketable products to determine their potential to address customer needs and to achieve goals in revenue growth and market share. Leads, plans and tracks all phases of the product life cycle, from inception to introduction into the marketplace. Develops design briefs for new product ideas, including specifications, sketches and/or models to present a clear, focused concept for strategic consideration. 
</v>
      </c>
      <c r="Q504" s="39" t="str">
        <f>_xlfn.XLOOKUP(E504,'[1]2022 GI Position Descriptions'!E:E,'[1]2022 GI Position Descriptions'!G:G)</f>
        <v>Discovers, develops and evaluates new product ideas, enhancements to existing products or strategic product extensions, and translates research discoveries into usable and marketable products | Leads, plans and tracks all phases of the product life cycle, from inception to introduction into the marketplace | Develops design briefs for new product ideas, including specifications, sketches and/or models to present a clear, focused concept for strategic consideration | Responsibilities are within the Product Development Function as a generalist or in a combination of Disciplines</v>
      </c>
      <c r="R504" s="22" t="str">
        <f>IF(LEFT(J504,1)="E","EX",LEFT(J504,1))</f>
        <v>M</v>
      </c>
      <c r="S504" s="22" t="str">
        <f>_xlfn.XLOOKUP($R504,'[1]Career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504" s="22" t="str">
        <f>J504</f>
        <v>M2</v>
      </c>
      <c r="U504" s="40" t="str">
        <f t="shared" si="15"/>
        <v>M2</v>
      </c>
      <c r="V504" s="22" t="str">
        <f>_xlfn.XLOOKUP(T504,'[1]Career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504" s="41" t="str">
        <f>J504&amp;"-"&amp;G504</f>
        <v>M2-12</v>
      </c>
      <c r="X504" s="42" t="str">
        <f>G504</f>
        <v>12</v>
      </c>
      <c r="Y504" s="22" t="str">
        <f>_xlfn.XLOOKUP(W504,'[1]Career Bands &amp; Levels'!A:A,'[1]Career Bands &amp; Levels'!C:C,"No Grade Differentiator")</f>
        <v xml:space="preserve">●	Accountable for results of a small team of employees		
●	Exercises limited management authority; sets employee performance objectives, conducts performance reviews and recommends pay actions		
●	Defines team operating standards and ensures essential procedures are followed based on knowledge of own discipline		</v>
      </c>
      <c r="Z504" s="43" t="str">
        <f>IFERROR(O504&amp;" - "&amp;G504,"--")</f>
        <v>Manager Product Development - 12</v>
      </c>
      <c r="AA504" s="44" t="str">
        <f>_xlfn.XLOOKUP($H504,'[1]SIG Qualifications Input'!$D:$D,'[1]SIG Qualifications Input'!$H:$H)</f>
        <v>University degree or equivalent and 7-10 years of work experience or equivalent
Experience in managing mixed-level team(s) of professionals and subordinate managers</v>
      </c>
    </row>
    <row r="505" spans="1:27" ht="183" thickBot="1" x14ac:dyDescent="0.2">
      <c r="A505" s="34" t="str">
        <f>_xlfn.XLOOKUP(C505,'[1]SIG Job Families &amp; Descriptions'!F:F,'[1]SIG Job Families &amp; Descriptions'!B:B)</f>
        <v>Research &amp; Development</v>
      </c>
      <c r="B505" s="34" t="str">
        <f>_xlfn.XLOOKUP(C505,'[1]SIG Job Families &amp; Descriptions'!F:F,'[1]SIG Job Families &amp; Descriptions'!D:D)</f>
        <v>Product Development</v>
      </c>
      <c r="C505" s="34" t="s">
        <v>111</v>
      </c>
      <c r="D505" s="30" t="str">
        <f t="shared" si="14"/>
        <v>ARP</v>
      </c>
      <c r="E505" s="31" t="str">
        <f>_xlfn.XLOOKUP(C505,'[1]SIG Job Families &amp; Descriptions'!F:F,'[1]SIG Job Families &amp; Descriptions'!A:A)</f>
        <v>ARP000</v>
      </c>
      <c r="F505" s="32" t="s">
        <v>32</v>
      </c>
      <c r="G505" s="33" t="s">
        <v>31</v>
      </c>
      <c r="H505" s="34" t="str">
        <f>F505&amp;"-"&amp;G505</f>
        <v>Professional-14</v>
      </c>
      <c r="I505" s="35" t="str">
        <f>IF(ISERROR(_xlfn.XLOOKUP(H505,'[1]SIG Level Structure'!D:D,'[1]SIG Level Structure'!D:D)),"0","1")</f>
        <v>1</v>
      </c>
      <c r="J505" s="36" t="str">
        <f>_xlfn.XLOOKUP($H505,'[1]SIG Level Structure'!$D:$D,'[1]SIG Level Structure'!F:F)</f>
        <v>P4</v>
      </c>
      <c r="K505" s="37" t="str">
        <f>E505&amp;"-"&amp;J505&amp;"-"&amp;G505</f>
        <v>ARP000-P4-14</v>
      </c>
      <c r="L505" s="37" t="str">
        <f>IFERROR(D505&amp;"-"&amp;LEFT(J505,1),"--")</f>
        <v>ARP-P</v>
      </c>
      <c r="M505" s="37" t="str">
        <f>VLOOKUP(L505,'[1]Compatible JC'!$A:$A,1,FALSE)</f>
        <v>ARP-P</v>
      </c>
      <c r="N505" s="37" t="str">
        <f>IFERROR(_xlfn.XLOOKUP(H505,'[1]SIG Level Structure'!D:D,'[1]SIG Level Structure'!C:C),"--")</f>
        <v>Senior Expert</v>
      </c>
      <c r="O505" s="38" t="str">
        <f>IFERROR(TRIM(N505&amp;" "&amp;C505),"--")</f>
        <v>Senior Expert Product Development</v>
      </c>
      <c r="P505" s="22" t="str">
        <f>_xlfn.XLOOKUP(E505,'[1]SIG Job Families &amp; Descriptions'!A:A,'[1]SIG Job Families &amp; Descriptions'!G:G)</f>
        <v xml:space="preserve">Discovers, develops and evaluates new product ideas, enhancements to existing products or strategic product extensions, and translates research discoveries into usable and marketable products to determine their potential to address customer needs and to achieve goals in revenue growth and market share. Leads, plans and tracks all phases of the product life cycle, from inception to introduction into the marketplace. Develops design briefs for new product ideas, including specifications, sketches and/or models to present a clear, focused concept for strategic consideration. 
</v>
      </c>
      <c r="Q505" s="39" t="str">
        <f>_xlfn.XLOOKUP(E505,'[1]2022 GI Position Descriptions'!E:E,'[1]2022 GI Position Descriptions'!G:G)</f>
        <v>Discovers, develops and evaluates new product ideas, enhancements to existing products or strategic product extensions, and translates research discoveries into usable and marketable products | Leads, plans and tracks all phases of the product life cycle, from inception to introduction into the marketplace | Develops design briefs for new product ideas, including specifications, sketches and/or models to present a clear, focused concept for strategic consideration | Responsibilities are within the Product Development Function as a generalist or in a combination of Disciplines</v>
      </c>
      <c r="R505" s="22" t="str">
        <f>IF(LEFT(J505,1)="E","EX",LEFT(J505,1))</f>
        <v>P</v>
      </c>
      <c r="S505" s="22" t="str">
        <f>_xlfn.XLOOKUP($R505,'[1]Career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05" s="22" t="str">
        <f>J505</f>
        <v>P4</v>
      </c>
      <c r="U505" s="40" t="str">
        <f t="shared" si="15"/>
        <v>P4</v>
      </c>
      <c r="V505" s="22" t="str">
        <f>_xlfn.XLOOKUP(T505,'[1]Career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505" s="41" t="str">
        <f>J505&amp;"-"&amp;G505</f>
        <v>P4-14</v>
      </c>
      <c r="X505" s="42" t="str">
        <f>G505</f>
        <v>14</v>
      </c>
      <c r="Y505" s="22" t="str">
        <f>_xlfn.XLOOKUP(W505,'[1]Career Bands &amp; Levels'!A:A,'[1]Career Bands &amp; Levels'!C:C,"No Grade Differentiator")</f>
        <v xml:space="preserve">●	Guides others in resolving complex issues in own specialized area and solves complex problems with implications on cross-functional business processes and outcomes		
●	Serves as an advisor and applies knowledge of strategies that can be deployed within own function and discipline		
●	Applies working knowledge of the theories and concepts in other disciplines		
●	May lead teams or projects with broad visibility		</v>
      </c>
      <c r="Z505" s="43" t="str">
        <f>IFERROR(O505&amp;" - "&amp;G505,"--")</f>
        <v>Senior Expert Product Development - 14</v>
      </c>
      <c r="AA505" s="44" t="str">
        <f>_xlfn.XLOOKUP($H505,'[1]SIG Qualifications Input'!$D:$D,'[1]SIG Qualifications Input'!$H:$H)</f>
        <v>University degree or equivalent and 8-10 years of work experience or equivalent, 
Experience in functionally leading (sub-)projects / teams</v>
      </c>
    </row>
    <row r="506" spans="1:27" ht="183" thickBot="1" x14ac:dyDescent="0.2">
      <c r="A506" s="34" t="str">
        <f>_xlfn.XLOOKUP(C506,'[1]SIG Job Families &amp; Descriptions'!F:F,'[1]SIG Job Families &amp; Descriptions'!B:B)</f>
        <v>Research &amp; Development</v>
      </c>
      <c r="B506" s="34" t="str">
        <f>_xlfn.XLOOKUP(C506,'[1]SIG Job Families &amp; Descriptions'!F:F,'[1]SIG Job Families &amp; Descriptions'!D:D)</f>
        <v>Product Development</v>
      </c>
      <c r="C506" s="34" t="s">
        <v>111</v>
      </c>
      <c r="D506" s="30" t="str">
        <f t="shared" si="14"/>
        <v>ARP</v>
      </c>
      <c r="E506" s="31" t="str">
        <f>_xlfn.XLOOKUP(C506,'[1]SIG Job Families &amp; Descriptions'!F:F,'[1]SIG Job Families &amp; Descriptions'!A:A)</f>
        <v>ARP000</v>
      </c>
      <c r="F506" s="32" t="s">
        <v>32</v>
      </c>
      <c r="G506" s="33" t="s">
        <v>33</v>
      </c>
      <c r="H506" s="34" t="str">
        <f>F506&amp;"-"&amp;G506</f>
        <v>Professional-13</v>
      </c>
      <c r="I506" s="35" t="str">
        <f>IF(ISERROR(_xlfn.XLOOKUP(H506,'[1]SIG Level Structure'!D:D,'[1]SIG Level Structure'!D:D)),"0","1")</f>
        <v>1</v>
      </c>
      <c r="J506" s="36" t="str">
        <f>_xlfn.XLOOKUP($H506,'[1]SIG Level Structure'!$D:$D,'[1]SIG Level Structure'!F:F)</f>
        <v>P4</v>
      </c>
      <c r="K506" s="37" t="str">
        <f>E506&amp;"-"&amp;J506&amp;"-"&amp;G506</f>
        <v>ARP000-P4-13</v>
      </c>
      <c r="L506" s="37" t="str">
        <f>IFERROR(D506&amp;"-"&amp;LEFT(J506,1),"--")</f>
        <v>ARP-P</v>
      </c>
      <c r="M506" s="37" t="str">
        <f>VLOOKUP(L506,'[1]Compatible JC'!$A:$A,1,FALSE)</f>
        <v>ARP-P</v>
      </c>
      <c r="N506" s="37" t="str">
        <f>IFERROR(_xlfn.XLOOKUP(H506,'[1]SIG Level Structure'!D:D,'[1]SIG Level Structure'!C:C),"--")</f>
        <v>Senior Expert</v>
      </c>
      <c r="O506" s="38" t="str">
        <f>IFERROR(TRIM(N506&amp;" "&amp;C506),"--")</f>
        <v>Senior Expert Product Development</v>
      </c>
      <c r="P506" s="22" t="str">
        <f>_xlfn.XLOOKUP(E506,'[1]SIG Job Families &amp; Descriptions'!A:A,'[1]SIG Job Families &amp; Descriptions'!G:G)</f>
        <v xml:space="preserve">Discovers, develops and evaluates new product ideas, enhancements to existing products or strategic product extensions, and translates research discoveries into usable and marketable products to determine their potential to address customer needs and to achieve goals in revenue growth and market share. Leads, plans and tracks all phases of the product life cycle, from inception to introduction into the marketplace. Develops design briefs for new product ideas, including specifications, sketches and/or models to present a clear, focused concept for strategic consideration. 
</v>
      </c>
      <c r="Q506" s="39" t="str">
        <f>_xlfn.XLOOKUP(E506,'[1]2022 GI Position Descriptions'!E:E,'[1]2022 GI Position Descriptions'!G:G)</f>
        <v>Discovers, develops and evaluates new product ideas, enhancements to existing products or strategic product extensions, and translates research discoveries into usable and marketable products | Leads, plans and tracks all phases of the product life cycle, from inception to introduction into the marketplace | Develops design briefs for new product ideas, including specifications, sketches and/or models to present a clear, focused concept for strategic consideration | Responsibilities are within the Product Development Function as a generalist or in a combination of Disciplines</v>
      </c>
      <c r="R506" s="22" t="str">
        <f>IF(LEFT(J506,1)="E","EX",LEFT(J506,1))</f>
        <v>P</v>
      </c>
      <c r="S506" s="22" t="str">
        <f>_xlfn.XLOOKUP($R506,'[1]Career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06" s="22" t="str">
        <f>J506</f>
        <v>P4</v>
      </c>
      <c r="U506" s="40" t="str">
        <f t="shared" si="15"/>
        <v>P4</v>
      </c>
      <c r="V506" s="22" t="str">
        <f>_xlfn.XLOOKUP(T506,'[1]Career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506" s="41" t="str">
        <f>J506&amp;"-"&amp;G506</f>
        <v>P4-13</v>
      </c>
      <c r="X506" s="42" t="str">
        <f>G506</f>
        <v>13</v>
      </c>
      <c r="Y506" s="22" t="str">
        <f>_xlfn.XLOOKUP(W506,'[1]Career Bands &amp; Levels'!A:A,'[1]Career Bands &amp; Levels'!C:C,"No Grade Differentiator")</f>
        <v xml:space="preserve">●	Guides others in resolving complex issues in specialized area based on existing solutions and procedures		
●	Serves as an expert within own discipline		
●	May lead function teams or projects and serves as a best practices/quality resource		
●	Trains/mentors junior staff		</v>
      </c>
      <c r="Z506" s="43" t="str">
        <f>IFERROR(O506&amp;" - "&amp;G506,"--")</f>
        <v>Senior Expert Product Development - 13</v>
      </c>
      <c r="AA506" s="44" t="str">
        <f>_xlfn.XLOOKUP($H506,'[1]SIG Qualifications Input'!$D:$D,'[1]SIG Qualifications Input'!$H:$H)</f>
        <v>University degree or equivalent and 8-10 years of work experience or equivalent, 
Experience in functionally leading (sub-)projects / teams</v>
      </c>
    </row>
    <row r="507" spans="1:27" ht="183" thickBot="1" x14ac:dyDescent="0.2">
      <c r="A507" s="34" t="str">
        <f>_xlfn.XLOOKUP(C507,'[1]SIG Job Families &amp; Descriptions'!F:F,'[1]SIG Job Families &amp; Descriptions'!B:B)</f>
        <v>Research &amp; Development</v>
      </c>
      <c r="B507" s="34" t="str">
        <f>_xlfn.XLOOKUP(C507,'[1]SIG Job Families &amp; Descriptions'!F:F,'[1]SIG Job Families &amp; Descriptions'!D:D)</f>
        <v>Product Development</v>
      </c>
      <c r="C507" s="34" t="s">
        <v>111</v>
      </c>
      <c r="D507" s="30" t="str">
        <f t="shared" si="14"/>
        <v>ARP</v>
      </c>
      <c r="E507" s="31" t="str">
        <f>_xlfn.XLOOKUP(C507,'[1]SIG Job Families &amp; Descriptions'!F:F,'[1]SIG Job Families &amp; Descriptions'!A:A)</f>
        <v>ARP000</v>
      </c>
      <c r="F507" s="32" t="s">
        <v>32</v>
      </c>
      <c r="G507" s="33" t="s">
        <v>34</v>
      </c>
      <c r="H507" s="34" t="str">
        <f>F507&amp;"-"&amp;G507</f>
        <v>Professional-12</v>
      </c>
      <c r="I507" s="35" t="str">
        <f>IF(ISERROR(_xlfn.XLOOKUP(H507,'[1]SIG Level Structure'!D:D,'[1]SIG Level Structure'!D:D)),"0","1")</f>
        <v>1</v>
      </c>
      <c r="J507" s="36" t="str">
        <f>_xlfn.XLOOKUP($H507,'[1]SIG Level Structure'!$D:$D,'[1]SIG Level Structure'!F:F)</f>
        <v>P3</v>
      </c>
      <c r="K507" s="37" t="str">
        <f>E507&amp;"-"&amp;J507&amp;"-"&amp;G507</f>
        <v>ARP000-P3-12</v>
      </c>
      <c r="L507" s="37" t="str">
        <f>IFERROR(D507&amp;"-"&amp;LEFT(J507,1),"--")</f>
        <v>ARP-P</v>
      </c>
      <c r="M507" s="37" t="str">
        <f>VLOOKUP(L507,'[1]Compatible JC'!$A:$A,1,FALSE)</f>
        <v>ARP-P</v>
      </c>
      <c r="N507" s="37" t="str">
        <f>IFERROR(_xlfn.XLOOKUP(H507,'[1]SIG Level Structure'!D:D,'[1]SIG Level Structure'!C:C),"--")</f>
        <v>Expert</v>
      </c>
      <c r="O507" s="38" t="str">
        <f>IFERROR(TRIM(N507&amp;" "&amp;C507),"--")</f>
        <v>Expert Product Development</v>
      </c>
      <c r="P507" s="22" t="str">
        <f>_xlfn.XLOOKUP(E507,'[1]SIG Job Families &amp; Descriptions'!A:A,'[1]SIG Job Families &amp; Descriptions'!G:G)</f>
        <v xml:space="preserve">Discovers, develops and evaluates new product ideas, enhancements to existing products or strategic product extensions, and translates research discoveries into usable and marketable products to determine their potential to address customer needs and to achieve goals in revenue growth and market share. Leads, plans and tracks all phases of the product life cycle, from inception to introduction into the marketplace. Develops design briefs for new product ideas, including specifications, sketches and/or models to present a clear, focused concept for strategic consideration. 
</v>
      </c>
      <c r="Q507" s="39" t="str">
        <f>_xlfn.XLOOKUP(E507,'[1]2022 GI Position Descriptions'!E:E,'[1]2022 GI Position Descriptions'!G:G)</f>
        <v>Discovers, develops and evaluates new product ideas, enhancements to existing products or strategic product extensions, and translates research discoveries into usable and marketable products | Leads, plans and tracks all phases of the product life cycle, from inception to introduction into the marketplace | Develops design briefs for new product ideas, including specifications, sketches and/or models to present a clear, focused concept for strategic consideration | Responsibilities are within the Product Development Function as a generalist or in a combination of Disciplines</v>
      </c>
      <c r="R507" s="22" t="str">
        <f>IF(LEFT(J507,1)="E","EX",LEFT(J507,1))</f>
        <v>P</v>
      </c>
      <c r="S507" s="22" t="str">
        <f>_xlfn.XLOOKUP($R507,'[1]Career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07" s="22" t="str">
        <f>J507</f>
        <v>P3</v>
      </c>
      <c r="U507" s="40" t="str">
        <f t="shared" si="15"/>
        <v>P3</v>
      </c>
      <c r="V507" s="22" t="str">
        <f>_xlfn.XLOOKUP(T507,'[1]Career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507" s="41" t="str">
        <f>J507&amp;"-"&amp;G507</f>
        <v>P3-12</v>
      </c>
      <c r="X507" s="42" t="str">
        <f>G507</f>
        <v>12</v>
      </c>
      <c r="Y507" s="22" t="str">
        <f>_xlfn.XLOOKUP(W507,'[1]Career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507" s="43" t="str">
        <f>IFERROR(O507&amp;" - "&amp;G507,"--")</f>
        <v>Expert Product Development - 12</v>
      </c>
      <c r="AA507" s="44" t="str">
        <f>_xlfn.XLOOKUP($H507,'[1]SIG Qualifications Input'!$D:$D,'[1]SIG Qualifications Input'!$H:$H)</f>
        <v>University degree or equivalent and 4-8 years of work experience or equivalent, 
Initial experience in functionally leading (sub-) projects</v>
      </c>
    </row>
    <row r="508" spans="1:27" ht="183" thickBot="1" x14ac:dyDescent="0.2">
      <c r="A508" s="34" t="str">
        <f>_xlfn.XLOOKUP(C508,'[1]SIG Job Families &amp; Descriptions'!F:F,'[1]SIG Job Families &amp; Descriptions'!B:B)</f>
        <v>Research &amp; Development</v>
      </c>
      <c r="B508" s="34" t="str">
        <f>_xlfn.XLOOKUP(C508,'[1]SIG Job Families &amp; Descriptions'!F:F,'[1]SIG Job Families &amp; Descriptions'!D:D)</f>
        <v>Product Development</v>
      </c>
      <c r="C508" s="34" t="s">
        <v>111</v>
      </c>
      <c r="D508" s="30" t="str">
        <f t="shared" si="14"/>
        <v>ARP</v>
      </c>
      <c r="E508" s="31" t="str">
        <f>_xlfn.XLOOKUP(C508,'[1]SIG Job Families &amp; Descriptions'!F:F,'[1]SIG Job Families &amp; Descriptions'!A:A)</f>
        <v>ARP000</v>
      </c>
      <c r="F508" s="32" t="s">
        <v>32</v>
      </c>
      <c r="G508" s="33" t="s">
        <v>35</v>
      </c>
      <c r="H508" s="34" t="str">
        <f>F508&amp;"-"&amp;G508</f>
        <v>Professional-11</v>
      </c>
      <c r="I508" s="35" t="str">
        <f>IF(ISERROR(_xlfn.XLOOKUP(H508,'[1]SIG Level Structure'!D:D,'[1]SIG Level Structure'!D:D)),"0","1")</f>
        <v>1</v>
      </c>
      <c r="J508" s="36" t="str">
        <f>_xlfn.XLOOKUP($H508,'[1]SIG Level Structure'!$D:$D,'[1]SIG Level Structure'!F:F)</f>
        <v>P3</v>
      </c>
      <c r="K508" s="37" t="str">
        <f>E508&amp;"-"&amp;J508&amp;"-"&amp;G508</f>
        <v>ARP000-P3-11</v>
      </c>
      <c r="L508" s="37" t="str">
        <f>IFERROR(D508&amp;"-"&amp;LEFT(J508,1),"--")</f>
        <v>ARP-P</v>
      </c>
      <c r="M508" s="37" t="str">
        <f>VLOOKUP(L508,'[1]Compatible JC'!$A:$A,1,FALSE)</f>
        <v>ARP-P</v>
      </c>
      <c r="N508" s="37" t="str">
        <f>IFERROR(_xlfn.XLOOKUP(H508,'[1]SIG Level Structure'!D:D,'[1]SIG Level Structure'!C:C),"--")</f>
        <v>Expert</v>
      </c>
      <c r="O508" s="38" t="str">
        <f>IFERROR(TRIM(N508&amp;" "&amp;C508),"--")</f>
        <v>Expert Product Development</v>
      </c>
      <c r="P508" s="22" t="str">
        <f>_xlfn.XLOOKUP(E508,'[1]SIG Job Families &amp; Descriptions'!A:A,'[1]SIG Job Families &amp; Descriptions'!G:G)</f>
        <v xml:space="preserve">Discovers, develops and evaluates new product ideas, enhancements to existing products or strategic product extensions, and translates research discoveries into usable and marketable products to determine their potential to address customer needs and to achieve goals in revenue growth and market share. Leads, plans and tracks all phases of the product life cycle, from inception to introduction into the marketplace. Develops design briefs for new product ideas, including specifications, sketches and/or models to present a clear, focused concept for strategic consideration. 
</v>
      </c>
      <c r="Q508" s="39" t="str">
        <f>_xlfn.XLOOKUP(E508,'[1]2022 GI Position Descriptions'!E:E,'[1]2022 GI Position Descriptions'!G:G)</f>
        <v>Discovers, develops and evaluates new product ideas, enhancements to existing products or strategic product extensions, and translates research discoveries into usable and marketable products | Leads, plans and tracks all phases of the product life cycle, from inception to introduction into the marketplace | Develops design briefs for new product ideas, including specifications, sketches and/or models to present a clear, focused concept for strategic consideration | Responsibilities are within the Product Development Function as a generalist or in a combination of Disciplines</v>
      </c>
      <c r="R508" s="22" t="str">
        <f>IF(LEFT(J508,1)="E","EX",LEFT(J508,1))</f>
        <v>P</v>
      </c>
      <c r="S508" s="22" t="str">
        <f>_xlfn.XLOOKUP($R508,'[1]Career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08" s="22" t="str">
        <f>J508</f>
        <v>P3</v>
      </c>
      <c r="U508" s="40" t="str">
        <f t="shared" si="15"/>
        <v>P3</v>
      </c>
      <c r="V508" s="22" t="str">
        <f>_xlfn.XLOOKUP(T508,'[1]Career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508" s="41" t="str">
        <f>J508&amp;"-"&amp;G508</f>
        <v>P3-11</v>
      </c>
      <c r="X508" s="42" t="str">
        <f>G508</f>
        <v>11</v>
      </c>
      <c r="Y508" s="22" t="str">
        <f>_xlfn.XLOOKUP(W508,'[1]Career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508" s="43" t="str">
        <f>IFERROR(O508&amp;" - "&amp;G508,"--")</f>
        <v>Expert Product Development - 11</v>
      </c>
      <c r="AA508" s="44" t="str">
        <f>_xlfn.XLOOKUP($H508,'[1]SIG Qualifications Input'!$D:$D,'[1]SIG Qualifications Input'!$H:$H)</f>
        <v>University degree or equivalent and 4-8 years of work experience or equivalent, 
Initial experience in functionally leading (sub-) projects</v>
      </c>
    </row>
    <row r="509" spans="1:27" ht="183" thickBot="1" x14ac:dyDescent="0.2">
      <c r="A509" s="34" t="str">
        <f>_xlfn.XLOOKUP(C509,'[1]SIG Job Families &amp; Descriptions'!F:F,'[1]SIG Job Families &amp; Descriptions'!B:B)</f>
        <v>Research &amp; Development</v>
      </c>
      <c r="B509" s="34" t="str">
        <f>_xlfn.XLOOKUP(C509,'[1]SIG Job Families &amp; Descriptions'!F:F,'[1]SIG Job Families &amp; Descriptions'!D:D)</f>
        <v>Product Development</v>
      </c>
      <c r="C509" s="34" t="s">
        <v>111</v>
      </c>
      <c r="D509" s="30" t="str">
        <f t="shared" si="14"/>
        <v>ARP</v>
      </c>
      <c r="E509" s="31" t="str">
        <f>_xlfn.XLOOKUP(C509,'[1]SIG Job Families &amp; Descriptions'!F:F,'[1]SIG Job Families &amp; Descriptions'!A:A)</f>
        <v>ARP000</v>
      </c>
      <c r="F509" s="32" t="s">
        <v>32</v>
      </c>
      <c r="G509" s="33" t="s">
        <v>36</v>
      </c>
      <c r="H509" s="34" t="str">
        <f>F509&amp;"-"&amp;G509</f>
        <v>Professional-10</v>
      </c>
      <c r="I509" s="35" t="str">
        <f>IF(ISERROR(_xlfn.XLOOKUP(H509,'[1]SIG Level Structure'!D:D,'[1]SIG Level Structure'!D:D)),"0","1")</f>
        <v>1</v>
      </c>
      <c r="J509" s="36" t="str">
        <f>_xlfn.XLOOKUP($H509,'[1]SIG Level Structure'!$D:$D,'[1]SIG Level Structure'!F:F)</f>
        <v>P2</v>
      </c>
      <c r="K509" s="37" t="str">
        <f>E509&amp;"-"&amp;J509&amp;"-"&amp;G509</f>
        <v>ARP000-P2-10</v>
      </c>
      <c r="L509" s="37" t="str">
        <f>IFERROR(D509&amp;"-"&amp;LEFT(J509,1),"--")</f>
        <v>ARP-P</v>
      </c>
      <c r="M509" s="37" t="str">
        <f>VLOOKUP(L509,'[1]Compatible JC'!$A:$A,1,FALSE)</f>
        <v>ARP-P</v>
      </c>
      <c r="N509" s="37" t="str">
        <f>IFERROR(_xlfn.XLOOKUP(H509,'[1]SIG Level Structure'!D:D,'[1]SIG Level Structure'!C:C),"--")</f>
        <v>Senior Specialist</v>
      </c>
      <c r="O509" s="38" t="str">
        <f>IFERROR(TRIM(N509&amp;" "&amp;C509),"--")</f>
        <v>Senior Specialist Product Development</v>
      </c>
      <c r="P509" s="22" t="str">
        <f>_xlfn.XLOOKUP(E509,'[1]SIG Job Families &amp; Descriptions'!A:A,'[1]SIG Job Families &amp; Descriptions'!G:G)</f>
        <v xml:space="preserve">Discovers, develops and evaluates new product ideas, enhancements to existing products or strategic product extensions, and translates research discoveries into usable and marketable products to determine their potential to address customer needs and to achieve goals in revenue growth and market share. Leads, plans and tracks all phases of the product life cycle, from inception to introduction into the marketplace. Develops design briefs for new product ideas, including specifications, sketches and/or models to present a clear, focused concept for strategic consideration. 
</v>
      </c>
      <c r="Q509" s="39" t="str">
        <f>_xlfn.XLOOKUP(E509,'[1]2022 GI Position Descriptions'!E:E,'[1]2022 GI Position Descriptions'!G:G)</f>
        <v>Discovers, develops and evaluates new product ideas, enhancements to existing products or strategic product extensions, and translates research discoveries into usable and marketable products | Leads, plans and tracks all phases of the product life cycle, from inception to introduction into the marketplace | Develops design briefs for new product ideas, including specifications, sketches and/or models to present a clear, focused concept for strategic consideration | Responsibilities are within the Product Development Function as a generalist or in a combination of Disciplines</v>
      </c>
      <c r="R509" s="22" t="str">
        <f>IF(LEFT(J509,1)="E","EX",LEFT(J509,1))</f>
        <v>P</v>
      </c>
      <c r="S509" s="22" t="str">
        <f>_xlfn.XLOOKUP($R509,'[1]Career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09" s="22" t="str">
        <f>J509</f>
        <v>P2</v>
      </c>
      <c r="U509" s="40" t="str">
        <f t="shared" si="15"/>
        <v>P2</v>
      </c>
      <c r="V509" s="22" t="str">
        <f>_xlfn.XLOOKUP(T509,'[1]Career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509" s="41" t="str">
        <f>J509&amp;"-"&amp;G509</f>
        <v>P2-10</v>
      </c>
      <c r="X509" s="42" t="str">
        <f>G509</f>
        <v>10</v>
      </c>
      <c r="Y509" s="22" t="str">
        <f>_xlfn.XLOOKUP(W509,'[1]Career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509" s="43" t="str">
        <f>IFERROR(O509&amp;" - "&amp;G509,"--")</f>
        <v>Senior Specialist Product Development - 10</v>
      </c>
      <c r="AA509" s="44" t="str">
        <f>_xlfn.XLOOKUP($H509,'[1]SIG Qualifications Input'!$D:$D,'[1]SIG Qualifications Input'!$H:$H)</f>
        <v>University degree or equivalent and 2-4 years of work experience or equivalent</v>
      </c>
    </row>
    <row r="510" spans="1:27" ht="183" thickBot="1" x14ac:dyDescent="0.2">
      <c r="A510" s="34" t="str">
        <f>_xlfn.XLOOKUP(C510,'[1]SIG Job Families &amp; Descriptions'!F:F,'[1]SIG Job Families &amp; Descriptions'!B:B)</f>
        <v>Research &amp; Development</v>
      </c>
      <c r="B510" s="34" t="str">
        <f>_xlfn.XLOOKUP(C510,'[1]SIG Job Families &amp; Descriptions'!F:F,'[1]SIG Job Families &amp; Descriptions'!D:D)</f>
        <v>Product Development</v>
      </c>
      <c r="C510" s="34" t="s">
        <v>111</v>
      </c>
      <c r="D510" s="30" t="str">
        <f t="shared" si="14"/>
        <v>ARP</v>
      </c>
      <c r="E510" s="31" t="str">
        <f>_xlfn.XLOOKUP(C510,'[1]SIG Job Families &amp; Descriptions'!F:F,'[1]SIG Job Families &amp; Descriptions'!A:A)</f>
        <v>ARP000</v>
      </c>
      <c r="F510" s="32" t="s">
        <v>32</v>
      </c>
      <c r="G510" s="33" t="s">
        <v>37</v>
      </c>
      <c r="H510" s="34" t="str">
        <f>F510&amp;"-"&amp;G510</f>
        <v>Professional-09</v>
      </c>
      <c r="I510" s="35" t="str">
        <f>IF(ISERROR(_xlfn.XLOOKUP(H510,'[1]SIG Level Structure'!D:D,'[1]SIG Level Structure'!D:D)),"0","1")</f>
        <v>1</v>
      </c>
      <c r="J510" s="36" t="str">
        <f>_xlfn.XLOOKUP($H510,'[1]SIG Level Structure'!$D:$D,'[1]SIG Level Structure'!F:F)</f>
        <v>P2</v>
      </c>
      <c r="K510" s="37" t="str">
        <f>E510&amp;"-"&amp;J510&amp;"-"&amp;G510</f>
        <v>ARP000-P2-09</v>
      </c>
      <c r="L510" s="37" t="str">
        <f>IFERROR(D510&amp;"-"&amp;LEFT(J510,1),"--")</f>
        <v>ARP-P</v>
      </c>
      <c r="M510" s="37" t="str">
        <f>VLOOKUP(L510,'[1]Compatible JC'!$A:$A,1,FALSE)</f>
        <v>ARP-P</v>
      </c>
      <c r="N510" s="37" t="str">
        <f>IFERROR(_xlfn.XLOOKUP(H510,'[1]SIG Level Structure'!D:D,'[1]SIG Level Structure'!C:C),"--")</f>
        <v>Senior Specialist</v>
      </c>
      <c r="O510" s="38" t="str">
        <f>IFERROR(TRIM(N510&amp;" "&amp;C510),"--")</f>
        <v>Senior Specialist Product Development</v>
      </c>
      <c r="P510" s="22" t="str">
        <f>_xlfn.XLOOKUP(E510,'[1]SIG Job Families &amp; Descriptions'!A:A,'[1]SIG Job Families &amp; Descriptions'!G:G)</f>
        <v xml:space="preserve">Discovers, develops and evaluates new product ideas, enhancements to existing products or strategic product extensions, and translates research discoveries into usable and marketable products to determine their potential to address customer needs and to achieve goals in revenue growth and market share. Leads, plans and tracks all phases of the product life cycle, from inception to introduction into the marketplace. Develops design briefs for new product ideas, including specifications, sketches and/or models to present a clear, focused concept for strategic consideration. 
</v>
      </c>
      <c r="Q510" s="39" t="str">
        <f>_xlfn.XLOOKUP(E510,'[1]2022 GI Position Descriptions'!E:E,'[1]2022 GI Position Descriptions'!G:G)</f>
        <v>Discovers, develops and evaluates new product ideas, enhancements to existing products or strategic product extensions, and translates research discoveries into usable and marketable products | Leads, plans and tracks all phases of the product life cycle, from inception to introduction into the marketplace | Develops design briefs for new product ideas, including specifications, sketches and/or models to present a clear, focused concept for strategic consideration | Responsibilities are within the Product Development Function as a generalist or in a combination of Disciplines</v>
      </c>
      <c r="R510" s="22" t="str">
        <f>IF(LEFT(J510,1)="E","EX",LEFT(J510,1))</f>
        <v>P</v>
      </c>
      <c r="S510" s="22" t="str">
        <f>_xlfn.XLOOKUP($R510,'[1]Career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10" s="22" t="str">
        <f>J510</f>
        <v>P2</v>
      </c>
      <c r="U510" s="40" t="str">
        <f t="shared" si="15"/>
        <v>P2</v>
      </c>
      <c r="V510" s="22" t="str">
        <f>_xlfn.XLOOKUP(T510,'[1]Career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510" s="41" t="str">
        <f>J510&amp;"-"&amp;G510</f>
        <v>P2-09</v>
      </c>
      <c r="X510" s="42" t="str">
        <f>G510</f>
        <v>09</v>
      </c>
      <c r="Y510" s="22" t="str">
        <f>_xlfn.XLOOKUP(W510,'[1]Career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510" s="43" t="str">
        <f>IFERROR(O510&amp;" - "&amp;G510,"--")</f>
        <v>Senior Specialist Product Development - 09</v>
      </c>
      <c r="AA510" s="44" t="str">
        <f>_xlfn.XLOOKUP($H510,'[1]SIG Qualifications Input'!$D:$D,'[1]SIG Qualifications Input'!$H:$H)</f>
        <v>University degree or equivalent and 2-4 years of work experience or equivalent</v>
      </c>
    </row>
    <row r="511" spans="1:27" ht="183" thickBot="1" x14ac:dyDescent="0.2">
      <c r="A511" s="34" t="str">
        <f>_xlfn.XLOOKUP(C511,'[1]SIG Job Families &amp; Descriptions'!F:F,'[1]SIG Job Families &amp; Descriptions'!B:B)</f>
        <v>Research &amp; Development</v>
      </c>
      <c r="B511" s="34" t="str">
        <f>_xlfn.XLOOKUP(C511,'[1]SIG Job Families &amp; Descriptions'!F:F,'[1]SIG Job Families &amp; Descriptions'!D:D)</f>
        <v>R&amp;D Projects</v>
      </c>
      <c r="C511" s="34" t="s">
        <v>112</v>
      </c>
      <c r="D511" s="30" t="str">
        <f t="shared" si="14"/>
        <v>APM</v>
      </c>
      <c r="E511" s="31" t="str">
        <f>_xlfn.XLOOKUP(C511,'[1]SIG Job Families &amp; Descriptions'!F:F,'[1]SIG Job Families &amp; Descriptions'!A:A)</f>
        <v>APM050</v>
      </c>
      <c r="F511" s="32" t="s">
        <v>60</v>
      </c>
      <c r="G511" s="33" t="s">
        <v>31</v>
      </c>
      <c r="H511" s="34" t="str">
        <f>F511&amp;"-"&amp;G511</f>
        <v>Projects-14</v>
      </c>
      <c r="I511" s="35" t="str">
        <f>IF(ISERROR(_xlfn.XLOOKUP(H511,'[1]SIG Level Structure'!D:D,'[1]SIG Level Structure'!D:D)),"0","1")</f>
        <v>1</v>
      </c>
      <c r="J511" s="36" t="str">
        <f>_xlfn.XLOOKUP($H511,'[1]SIG Level Structure'!$D:$D,'[1]SIG Level Structure'!F:F)</f>
        <v>M3</v>
      </c>
      <c r="K511" s="37" t="str">
        <f>E511&amp;"-"&amp;J511&amp;"-"&amp;G511</f>
        <v>APM050-M3-14</v>
      </c>
      <c r="L511" s="37" t="str">
        <f>IFERROR(D511&amp;"-"&amp;LEFT(J511,1),"--")</f>
        <v>APM-M</v>
      </c>
      <c r="M511" s="37" t="str">
        <f>VLOOKUP(L511,'[1]Compatible JC'!$A:$A,1,FALSE)</f>
        <v>APM-M</v>
      </c>
      <c r="N511" s="37" t="str">
        <f>IFERROR(_xlfn.XLOOKUP(H511,'[1]SIG Level Structure'!D:D,'[1]SIG Level Structure'!C:C),"--")</f>
        <v>Senior Project Manager</v>
      </c>
      <c r="O511" s="38" t="str">
        <f>IFERROR(TRIM(N511&amp;" "&amp;C511),"--")</f>
        <v>Senior Project Manager R&amp;D Projects</v>
      </c>
      <c r="P511" s="22" t="str">
        <f>_xlfn.XLOOKUP(E511,'[1]SIG Job Families &amp; Descriptions'!A:A,'[1]SIG Job Families &amp; Descriptions'!G:G)</f>
        <v>Leads or coordinates cross-functional project/program teams from design to delivery of fully-developed products that are ready for customer use. Monitors performance and recommends schedule changes, cost adjustments or resource additions. Investigates facts and develops solutions to problems during the design and planning phases. Provides timely and accurate information and status updates to functional leaders. May be responsible for feasibility studies, field trials management, identifying product gaps, defining product requirements and engaging with customers to understand market needs and trends.</v>
      </c>
      <c r="Q511" s="39" t="str">
        <f>_xlfn.XLOOKUP(E511,'[1]2022 GI Position Descriptions'!E:E,'[1]2022 GI Position Descriptions'!G:G)</f>
        <v>Leads or coordinates cross-functional project/program teams from design to delivery of fully-developed products that are ready for customer use | Monitors performance and recommends schedule changes, cost adjustments or resource additions | Investigates facts and develops solutions to problems during the design and planning phases | Provides timely and accurate information and status updates to functional leaders | May be responsible for feasibility studies, field trials management, identifying product gaps, defining product requirements and engaging with customers to understand market needs and trends</v>
      </c>
      <c r="R511" s="22" t="str">
        <f>IF(LEFT(J511,1)="E","EX",LEFT(J511,1))</f>
        <v>M</v>
      </c>
      <c r="S511" s="22" t="str">
        <f>_xlfn.XLOOKUP($R511,'[1]Career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511" s="22" t="str">
        <f>J511</f>
        <v>M3</v>
      </c>
      <c r="U511" s="40" t="str">
        <f t="shared" si="15"/>
        <v>M3</v>
      </c>
      <c r="V511" s="22" t="str">
        <f>_xlfn.XLOOKUP(T511,'[1]Career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511" s="41" t="str">
        <f>J511&amp;"-"&amp;G511</f>
        <v>M3-14</v>
      </c>
      <c r="X511" s="42" t="str">
        <f>G511</f>
        <v>14</v>
      </c>
      <c r="Y511" s="22" t="str">
        <f>_xlfn.XLOOKUP(W511,'[1]Career Bands &amp; Levels'!A:A,'[1]Career Bands &amp; Levels'!C:C,"No Grade Differentiator")</f>
        <v xml:space="preserve">●	Identifies applications of functional knowledge and existing methodologies to complex problems	
●	Manages large teams of professionals and/or junior managers		
		</v>
      </c>
      <c r="Z511" s="43" t="str">
        <f>IFERROR(O511&amp;" - "&amp;G511,"--")</f>
        <v>Senior Project Manager R&amp;D Projects - 14</v>
      </c>
      <c r="AA511" s="44" t="str">
        <f>_xlfn.XLOOKUP($H511,'[1]SIG Qualifications Input'!$D:$D,'[1]SIG Qualifications Input'!$H:$H)</f>
        <v>University degree or equivalent and 8-10 years of work experience or equivalent, 
Experience in functionally leading (sub-)projects / teams</v>
      </c>
    </row>
    <row r="512" spans="1:27" ht="183" thickBot="1" x14ac:dyDescent="0.2">
      <c r="A512" s="34" t="str">
        <f>_xlfn.XLOOKUP(C512,'[1]SIG Job Families &amp; Descriptions'!F:F,'[1]SIG Job Families &amp; Descriptions'!B:B)</f>
        <v>Research &amp; Development</v>
      </c>
      <c r="B512" s="34" t="str">
        <f>_xlfn.XLOOKUP(C512,'[1]SIG Job Families &amp; Descriptions'!F:F,'[1]SIG Job Families &amp; Descriptions'!D:D)</f>
        <v>R&amp;D Projects</v>
      </c>
      <c r="C512" s="34" t="s">
        <v>112</v>
      </c>
      <c r="D512" s="30" t="str">
        <f t="shared" si="14"/>
        <v>APM</v>
      </c>
      <c r="E512" s="31" t="str">
        <f>_xlfn.XLOOKUP(C512,'[1]SIG Job Families &amp; Descriptions'!F:F,'[1]SIG Job Families &amp; Descriptions'!A:A)</f>
        <v>APM050</v>
      </c>
      <c r="F512" s="32" t="s">
        <v>60</v>
      </c>
      <c r="G512" s="33" t="s">
        <v>33</v>
      </c>
      <c r="H512" s="34" t="str">
        <f>F512&amp;"-"&amp;G512</f>
        <v>Projects-13</v>
      </c>
      <c r="I512" s="35" t="str">
        <f>IF(ISERROR(_xlfn.XLOOKUP(H512,'[1]SIG Level Structure'!D:D,'[1]SIG Level Structure'!D:D)),"0","1")</f>
        <v>1</v>
      </c>
      <c r="J512" s="36" t="str">
        <f>_xlfn.XLOOKUP($H512,'[1]SIG Level Structure'!$D:$D,'[1]SIG Level Structure'!F:F)</f>
        <v>P4</v>
      </c>
      <c r="K512" s="37" t="str">
        <f>E512&amp;"-"&amp;J512&amp;"-"&amp;G512</f>
        <v>APM050-P4-13</v>
      </c>
      <c r="L512" s="37" t="str">
        <f>IFERROR(D512&amp;"-"&amp;LEFT(J512,1),"--")</f>
        <v>APM-P</v>
      </c>
      <c r="M512" s="37" t="str">
        <f>VLOOKUP(L512,'[1]Compatible JC'!$A:$A,1,FALSE)</f>
        <v>APM-P</v>
      </c>
      <c r="N512" s="37" t="str">
        <f>IFERROR(_xlfn.XLOOKUP(H512,'[1]SIG Level Structure'!D:D,'[1]SIG Level Structure'!C:C),"--")</f>
        <v>Senior Project Manager</v>
      </c>
      <c r="O512" s="38" t="str">
        <f>IFERROR(TRIM(N512&amp;" "&amp;C512),"--")</f>
        <v>Senior Project Manager R&amp;D Projects</v>
      </c>
      <c r="P512" s="22" t="str">
        <f>_xlfn.XLOOKUP(E512,'[1]SIG Job Families &amp; Descriptions'!A:A,'[1]SIG Job Families &amp; Descriptions'!G:G)</f>
        <v>Leads or coordinates cross-functional project/program teams from design to delivery of fully-developed products that are ready for customer use. Monitors performance and recommends schedule changes, cost adjustments or resource additions. Investigates facts and develops solutions to problems during the design and planning phases. Provides timely and accurate information and status updates to functional leaders. May be responsible for feasibility studies, field trials management, identifying product gaps, defining product requirements and engaging with customers to understand market needs and trends.</v>
      </c>
      <c r="Q512" s="39" t="str">
        <f>_xlfn.XLOOKUP(E512,'[1]2022 GI Position Descriptions'!E:E,'[1]2022 GI Position Descriptions'!G:G)</f>
        <v>Leads or coordinates cross-functional project/program teams from design to delivery of fully-developed products that are ready for customer use | Monitors performance and recommends schedule changes, cost adjustments or resource additions | Investigates facts and develops solutions to problems during the design and planning phases | Provides timely and accurate information and status updates to functional leaders | May be responsible for feasibility studies, field trials management, identifying product gaps, defining product requirements and engaging with customers to understand market needs and trends</v>
      </c>
      <c r="R512" s="22" t="str">
        <f>IF(LEFT(J512,1)="E","EX",LEFT(J512,1))</f>
        <v>P</v>
      </c>
      <c r="S512" s="22" t="str">
        <f>_xlfn.XLOOKUP($R512,'[1]Career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12" s="22" t="str">
        <f>J512</f>
        <v>P4</v>
      </c>
      <c r="U512" s="40" t="str">
        <f t="shared" si="15"/>
        <v>P4</v>
      </c>
      <c r="V512" s="22" t="str">
        <f>_xlfn.XLOOKUP(T512,'[1]Career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512" s="41" t="str">
        <f>J512&amp;"-"&amp;G512</f>
        <v>P4-13</v>
      </c>
      <c r="X512" s="42" t="str">
        <f>G512</f>
        <v>13</v>
      </c>
      <c r="Y512" s="22" t="str">
        <f>_xlfn.XLOOKUP(W512,'[1]Career Bands &amp; Levels'!A:A,'[1]Career Bands &amp; Levels'!C:C,"No Grade Differentiator")</f>
        <v xml:space="preserve">●	Guides others in resolving complex issues in specialized area based on existing solutions and procedures		
●	Serves as an expert within own discipline		
●	May lead function teams or projects and serves as a best practices/quality resource		
●	Trains/mentors junior staff		</v>
      </c>
      <c r="Z512" s="43" t="str">
        <f>IFERROR(O512&amp;" - "&amp;G512,"--")</f>
        <v>Senior Project Manager R&amp;D Projects - 13</v>
      </c>
      <c r="AA512" s="44" t="str">
        <f>_xlfn.XLOOKUP($H512,'[1]SIG Qualifications Input'!$D:$D,'[1]SIG Qualifications Input'!$H:$H)</f>
        <v>University degree or equivalent and 8-10 years of work experience or equivalent, 
Experience in functionally leading (sub-)projects / teams</v>
      </c>
    </row>
    <row r="513" spans="1:27" ht="183" thickBot="1" x14ac:dyDescent="0.2">
      <c r="A513" s="34" t="str">
        <f>_xlfn.XLOOKUP(C513,'[1]SIG Job Families &amp; Descriptions'!F:F,'[1]SIG Job Families &amp; Descriptions'!B:B)</f>
        <v>Research &amp; Development</v>
      </c>
      <c r="B513" s="34" t="str">
        <f>_xlfn.XLOOKUP(C513,'[1]SIG Job Families &amp; Descriptions'!F:F,'[1]SIG Job Families &amp; Descriptions'!D:D)</f>
        <v>R&amp;D Projects</v>
      </c>
      <c r="C513" s="34" t="s">
        <v>112</v>
      </c>
      <c r="D513" s="30" t="str">
        <f t="shared" si="14"/>
        <v>APM</v>
      </c>
      <c r="E513" s="31" t="str">
        <f>_xlfn.XLOOKUP(C513,'[1]SIG Job Families &amp; Descriptions'!F:F,'[1]SIG Job Families &amp; Descriptions'!A:A)</f>
        <v>APM050</v>
      </c>
      <c r="F513" s="32" t="s">
        <v>60</v>
      </c>
      <c r="G513" s="33" t="s">
        <v>34</v>
      </c>
      <c r="H513" s="34" t="str">
        <f>F513&amp;"-"&amp;G513</f>
        <v>Projects-12</v>
      </c>
      <c r="I513" s="35" t="str">
        <f>IF(ISERROR(_xlfn.XLOOKUP(H513,'[1]SIG Level Structure'!D:D,'[1]SIG Level Structure'!D:D)),"0","1")</f>
        <v>1</v>
      </c>
      <c r="J513" s="36" t="str">
        <f>_xlfn.XLOOKUP($H513,'[1]SIG Level Structure'!$D:$D,'[1]SIG Level Structure'!F:F)</f>
        <v>P3</v>
      </c>
      <c r="K513" s="37" t="str">
        <f>E513&amp;"-"&amp;J513&amp;"-"&amp;G513</f>
        <v>APM050-P3-12</v>
      </c>
      <c r="L513" s="37" t="str">
        <f>IFERROR(D513&amp;"-"&amp;LEFT(J513,1),"--")</f>
        <v>APM-P</v>
      </c>
      <c r="M513" s="37" t="str">
        <f>VLOOKUP(L513,'[1]Compatible JC'!$A:$A,1,FALSE)</f>
        <v>APM-P</v>
      </c>
      <c r="N513" s="37" t="str">
        <f>IFERROR(_xlfn.XLOOKUP(H513,'[1]SIG Level Structure'!D:D,'[1]SIG Level Structure'!C:C),"--")</f>
        <v>Project Manager</v>
      </c>
      <c r="O513" s="38" t="str">
        <f>IFERROR(TRIM(N513&amp;" "&amp;C513),"--")</f>
        <v>Project Manager R&amp;D Projects</v>
      </c>
      <c r="P513" s="22" t="str">
        <f>_xlfn.XLOOKUP(E513,'[1]SIG Job Families &amp; Descriptions'!A:A,'[1]SIG Job Families &amp; Descriptions'!G:G)</f>
        <v>Leads or coordinates cross-functional project/program teams from design to delivery of fully-developed products that are ready for customer use. Monitors performance and recommends schedule changes, cost adjustments or resource additions. Investigates facts and develops solutions to problems during the design and planning phases. Provides timely and accurate information and status updates to functional leaders. May be responsible for feasibility studies, field trials management, identifying product gaps, defining product requirements and engaging with customers to understand market needs and trends.</v>
      </c>
      <c r="Q513" s="39" t="str">
        <f>_xlfn.XLOOKUP(E513,'[1]2022 GI Position Descriptions'!E:E,'[1]2022 GI Position Descriptions'!G:G)</f>
        <v>Leads or coordinates cross-functional project/program teams from design to delivery of fully-developed products that are ready for customer use | Monitors performance and recommends schedule changes, cost adjustments or resource additions | Investigates facts and develops solutions to problems during the design and planning phases | Provides timely and accurate information and status updates to functional leaders | May be responsible for feasibility studies, field trials management, identifying product gaps, defining product requirements and engaging with customers to understand market needs and trends</v>
      </c>
      <c r="R513" s="22" t="str">
        <f>IF(LEFT(J513,1)="E","EX",LEFT(J513,1))</f>
        <v>P</v>
      </c>
      <c r="S513" s="22" t="str">
        <f>_xlfn.XLOOKUP($R513,'[1]Career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13" s="22" t="str">
        <f>J513</f>
        <v>P3</v>
      </c>
      <c r="U513" s="40" t="str">
        <f t="shared" si="15"/>
        <v>P3</v>
      </c>
      <c r="V513" s="22" t="str">
        <f>_xlfn.XLOOKUP(T513,'[1]Career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513" s="41" t="str">
        <f>J513&amp;"-"&amp;G513</f>
        <v>P3-12</v>
      </c>
      <c r="X513" s="42" t="str">
        <f>G513</f>
        <v>12</v>
      </c>
      <c r="Y513" s="22" t="str">
        <f>_xlfn.XLOOKUP(W513,'[1]Career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513" s="43" t="str">
        <f>IFERROR(O513&amp;" - "&amp;G513,"--")</f>
        <v>Project Manager R&amp;D Projects - 12</v>
      </c>
      <c r="AA513" s="44" t="str">
        <f>_xlfn.XLOOKUP($H513,'[1]SIG Qualifications Input'!$D:$D,'[1]SIG Qualifications Input'!$H:$H)</f>
        <v>University degree or equivalent and 4-8 years of work experience or equivalent, 
Initial experience in functionally leading (sub-) projects</v>
      </c>
    </row>
    <row r="514" spans="1:27" ht="183" thickBot="1" x14ac:dyDescent="0.2">
      <c r="A514" s="34" t="str">
        <f>_xlfn.XLOOKUP(C514,'[1]SIG Job Families &amp; Descriptions'!F:F,'[1]SIG Job Families &amp; Descriptions'!B:B)</f>
        <v>Research &amp; Development</v>
      </c>
      <c r="B514" s="34" t="str">
        <f>_xlfn.XLOOKUP(C514,'[1]SIG Job Families &amp; Descriptions'!F:F,'[1]SIG Job Families &amp; Descriptions'!D:D)</f>
        <v>R&amp;D Projects</v>
      </c>
      <c r="C514" s="34" t="s">
        <v>112</v>
      </c>
      <c r="D514" s="30" t="str">
        <f t="shared" si="14"/>
        <v>APM</v>
      </c>
      <c r="E514" s="31" t="str">
        <f>_xlfn.XLOOKUP(C514,'[1]SIG Job Families &amp; Descriptions'!F:F,'[1]SIG Job Families &amp; Descriptions'!A:A)</f>
        <v>APM050</v>
      </c>
      <c r="F514" s="32" t="s">
        <v>60</v>
      </c>
      <c r="G514" s="33" t="s">
        <v>35</v>
      </c>
      <c r="H514" s="34" t="str">
        <f>F514&amp;"-"&amp;G514</f>
        <v>Projects-11</v>
      </c>
      <c r="I514" s="35" t="str">
        <f>IF(ISERROR(_xlfn.XLOOKUP(H514,'[1]SIG Level Structure'!D:D,'[1]SIG Level Structure'!D:D)),"0","1")</f>
        <v>1</v>
      </c>
      <c r="J514" s="36" t="str">
        <f>_xlfn.XLOOKUP($H514,'[1]SIG Level Structure'!$D:$D,'[1]SIG Level Structure'!F:F)</f>
        <v>P3</v>
      </c>
      <c r="K514" s="37" t="str">
        <f>E514&amp;"-"&amp;J514&amp;"-"&amp;G514</f>
        <v>APM050-P3-11</v>
      </c>
      <c r="L514" s="37" t="str">
        <f>IFERROR(D514&amp;"-"&amp;LEFT(J514,1),"--")</f>
        <v>APM-P</v>
      </c>
      <c r="M514" s="37" t="str">
        <f>VLOOKUP(L514,'[1]Compatible JC'!$A:$A,1,FALSE)</f>
        <v>APM-P</v>
      </c>
      <c r="N514" s="37" t="str">
        <f>IFERROR(_xlfn.XLOOKUP(H514,'[1]SIG Level Structure'!D:D,'[1]SIG Level Structure'!C:C),"--")</f>
        <v>Project Manager</v>
      </c>
      <c r="O514" s="38" t="str">
        <f>IFERROR(TRIM(N514&amp;" "&amp;C514),"--")</f>
        <v>Project Manager R&amp;D Projects</v>
      </c>
      <c r="P514" s="22" t="str">
        <f>_xlfn.XLOOKUP(E514,'[1]SIG Job Families &amp; Descriptions'!A:A,'[1]SIG Job Families &amp; Descriptions'!G:G)</f>
        <v>Leads or coordinates cross-functional project/program teams from design to delivery of fully-developed products that are ready for customer use. Monitors performance and recommends schedule changes, cost adjustments or resource additions. Investigates facts and develops solutions to problems during the design and planning phases. Provides timely and accurate information and status updates to functional leaders. May be responsible for feasibility studies, field trials management, identifying product gaps, defining product requirements and engaging with customers to understand market needs and trends.</v>
      </c>
      <c r="Q514" s="39" t="str">
        <f>_xlfn.XLOOKUP(E514,'[1]2022 GI Position Descriptions'!E:E,'[1]2022 GI Position Descriptions'!G:G)</f>
        <v>Leads or coordinates cross-functional project/program teams from design to delivery of fully-developed products that are ready for customer use | Monitors performance and recommends schedule changes, cost adjustments or resource additions | Investigates facts and develops solutions to problems during the design and planning phases | Provides timely and accurate information and status updates to functional leaders | May be responsible for feasibility studies, field trials management, identifying product gaps, defining product requirements and engaging with customers to understand market needs and trends</v>
      </c>
      <c r="R514" s="22" t="str">
        <f>IF(LEFT(J514,1)="E","EX",LEFT(J514,1))</f>
        <v>P</v>
      </c>
      <c r="S514" s="22" t="str">
        <f>_xlfn.XLOOKUP($R514,'[1]Career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14" s="22" t="str">
        <f>J514</f>
        <v>P3</v>
      </c>
      <c r="U514" s="40" t="str">
        <f t="shared" si="15"/>
        <v>P3</v>
      </c>
      <c r="V514" s="22" t="str">
        <f>_xlfn.XLOOKUP(T514,'[1]Career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514" s="41" t="str">
        <f>J514&amp;"-"&amp;G514</f>
        <v>P3-11</v>
      </c>
      <c r="X514" s="42" t="str">
        <f>G514</f>
        <v>11</v>
      </c>
      <c r="Y514" s="22" t="str">
        <f>_xlfn.XLOOKUP(W514,'[1]Career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514" s="43" t="str">
        <f>IFERROR(O514&amp;" - "&amp;G514,"--")</f>
        <v>Project Manager R&amp;D Projects - 11</v>
      </c>
      <c r="AA514" s="44" t="str">
        <f>_xlfn.XLOOKUP($H514,'[1]SIG Qualifications Input'!$D:$D,'[1]SIG Qualifications Input'!$H:$H)</f>
        <v>University degree or equivalent and 4-8 years of work experience or equivalent, 
Initial experience in functionally leading (sub-) projects</v>
      </c>
    </row>
    <row r="515" spans="1:27" ht="183" thickBot="1" x14ac:dyDescent="0.2">
      <c r="A515" s="34" t="str">
        <f>_xlfn.XLOOKUP(C515,'[1]SIG Job Families &amp; Descriptions'!F:F,'[1]SIG Job Families &amp; Descriptions'!B:B)</f>
        <v>Research &amp; Development</v>
      </c>
      <c r="B515" s="34" t="str">
        <f>_xlfn.XLOOKUP(C515,'[1]SIG Job Families &amp; Descriptions'!F:F,'[1]SIG Job Families &amp; Descriptions'!D:D)</f>
        <v>R&amp;D Projects</v>
      </c>
      <c r="C515" s="34" t="s">
        <v>112</v>
      </c>
      <c r="D515" s="30" t="str">
        <f t="shared" ref="D515:D578" si="16">LEFT(E515,3)</f>
        <v>APM</v>
      </c>
      <c r="E515" s="31" t="str">
        <f>_xlfn.XLOOKUP(C515,'[1]SIG Job Families &amp; Descriptions'!F:F,'[1]SIG Job Families &amp; Descriptions'!A:A)</f>
        <v>APM050</v>
      </c>
      <c r="F515" s="32" t="s">
        <v>60</v>
      </c>
      <c r="G515" s="33" t="s">
        <v>36</v>
      </c>
      <c r="H515" s="34" t="str">
        <f>F515&amp;"-"&amp;G515</f>
        <v>Projects-10</v>
      </c>
      <c r="I515" s="35" t="str">
        <f>IF(ISERROR(_xlfn.XLOOKUP(H515,'[1]SIG Level Structure'!D:D,'[1]SIG Level Structure'!D:D)),"0","1")</f>
        <v>1</v>
      </c>
      <c r="J515" s="36" t="str">
        <f>_xlfn.XLOOKUP($H515,'[1]SIG Level Structure'!$D:$D,'[1]SIG Level Structure'!F:F)</f>
        <v>P2</v>
      </c>
      <c r="K515" s="37" t="str">
        <f>E515&amp;"-"&amp;J515&amp;"-"&amp;G515</f>
        <v>APM050-P2-10</v>
      </c>
      <c r="L515" s="37" t="str">
        <f>IFERROR(D515&amp;"-"&amp;LEFT(J515,1),"--")</f>
        <v>APM-P</v>
      </c>
      <c r="M515" s="37" t="str">
        <f>VLOOKUP(L515,'[1]Compatible JC'!$A:$A,1,FALSE)</f>
        <v>APM-P</v>
      </c>
      <c r="N515" s="37" t="str">
        <f>IFERROR(_xlfn.XLOOKUP(H515,'[1]SIG Level Structure'!D:D,'[1]SIG Level Structure'!C:C),"--")</f>
        <v>Senior Project Coordinator</v>
      </c>
      <c r="O515" s="38" t="str">
        <f>IFERROR(TRIM(N515&amp;" "&amp;C515),"--")</f>
        <v>Senior Project Coordinator R&amp;D Projects</v>
      </c>
      <c r="P515" s="22" t="str">
        <f>_xlfn.XLOOKUP(E515,'[1]SIG Job Families &amp; Descriptions'!A:A,'[1]SIG Job Families &amp; Descriptions'!G:G)</f>
        <v>Leads or coordinates cross-functional project/program teams from design to delivery of fully-developed products that are ready for customer use. Monitors performance and recommends schedule changes, cost adjustments or resource additions. Investigates facts and develops solutions to problems during the design and planning phases. Provides timely and accurate information and status updates to functional leaders. May be responsible for feasibility studies, field trials management, identifying product gaps, defining product requirements and engaging with customers to understand market needs and trends.</v>
      </c>
      <c r="Q515" s="39" t="str">
        <f>_xlfn.XLOOKUP(E515,'[1]2022 GI Position Descriptions'!E:E,'[1]2022 GI Position Descriptions'!G:G)</f>
        <v>Leads or coordinates cross-functional project/program teams from design to delivery of fully-developed products that are ready for customer use | Monitors performance and recommends schedule changes, cost adjustments or resource additions | Investigates facts and develops solutions to problems during the design and planning phases | Provides timely and accurate information and status updates to functional leaders | May be responsible for feasibility studies, field trials management, identifying product gaps, defining product requirements and engaging with customers to understand market needs and trends</v>
      </c>
      <c r="R515" s="22" t="str">
        <f>IF(LEFT(J515,1)="E","EX",LEFT(J515,1))</f>
        <v>P</v>
      </c>
      <c r="S515" s="22" t="str">
        <f>_xlfn.XLOOKUP($R515,'[1]Career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15" s="22" t="str">
        <f>J515</f>
        <v>P2</v>
      </c>
      <c r="U515" s="40" t="str">
        <f t="shared" ref="U515:U578" si="17">T515</f>
        <v>P2</v>
      </c>
      <c r="V515" s="22" t="str">
        <f>_xlfn.XLOOKUP(T515,'[1]Career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515" s="41" t="str">
        <f>J515&amp;"-"&amp;G515</f>
        <v>P2-10</v>
      </c>
      <c r="X515" s="42" t="str">
        <f>G515</f>
        <v>10</v>
      </c>
      <c r="Y515" s="22" t="str">
        <f>_xlfn.XLOOKUP(W515,'[1]Career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515" s="43" t="str">
        <f>IFERROR(O515&amp;" - "&amp;G515,"--")</f>
        <v>Senior Project Coordinator R&amp;D Projects - 10</v>
      </c>
      <c r="AA515" s="44" t="str">
        <f>_xlfn.XLOOKUP($H515,'[1]SIG Qualifications Input'!$D:$D,'[1]SIG Qualifications Input'!$H:$H)</f>
        <v>University degree or equivalent and 2-4 years of work experience or equivalent</v>
      </c>
    </row>
    <row r="516" spans="1:27" ht="183" thickBot="1" x14ac:dyDescent="0.2">
      <c r="A516" s="34" t="str">
        <f>_xlfn.XLOOKUP(C516,'[1]SIG Job Families &amp; Descriptions'!F:F,'[1]SIG Job Families &amp; Descriptions'!B:B)</f>
        <v>Research &amp; Development</v>
      </c>
      <c r="B516" s="34" t="str">
        <f>_xlfn.XLOOKUP(C516,'[1]SIG Job Families &amp; Descriptions'!F:F,'[1]SIG Job Families &amp; Descriptions'!D:D)</f>
        <v>R&amp;D Projects</v>
      </c>
      <c r="C516" s="34" t="s">
        <v>112</v>
      </c>
      <c r="D516" s="30" t="str">
        <f t="shared" si="16"/>
        <v>APM</v>
      </c>
      <c r="E516" s="31" t="str">
        <f>_xlfn.XLOOKUP(C516,'[1]SIG Job Families &amp; Descriptions'!F:F,'[1]SIG Job Families &amp; Descriptions'!A:A)</f>
        <v>APM050</v>
      </c>
      <c r="F516" s="32" t="s">
        <v>60</v>
      </c>
      <c r="G516" s="33" t="s">
        <v>37</v>
      </c>
      <c r="H516" s="34" t="str">
        <f>F516&amp;"-"&amp;G516</f>
        <v>Projects-09</v>
      </c>
      <c r="I516" s="35" t="str">
        <f>IF(ISERROR(_xlfn.XLOOKUP(H516,'[1]SIG Level Structure'!D:D,'[1]SIG Level Structure'!D:D)),"0","1")</f>
        <v>1</v>
      </c>
      <c r="J516" s="36" t="str">
        <f>_xlfn.XLOOKUP($H516,'[1]SIG Level Structure'!$D:$D,'[1]SIG Level Structure'!F:F)</f>
        <v>P2</v>
      </c>
      <c r="K516" s="37" t="str">
        <f>E516&amp;"-"&amp;J516&amp;"-"&amp;G516</f>
        <v>APM050-P2-09</v>
      </c>
      <c r="L516" s="37" t="str">
        <f>IFERROR(D516&amp;"-"&amp;LEFT(J516,1),"--")</f>
        <v>APM-P</v>
      </c>
      <c r="M516" s="37" t="str">
        <f>VLOOKUP(L516,'[1]Compatible JC'!$A:$A,1,FALSE)</f>
        <v>APM-P</v>
      </c>
      <c r="N516" s="37" t="str">
        <f>IFERROR(_xlfn.XLOOKUP(H516,'[1]SIG Level Structure'!D:D,'[1]SIG Level Structure'!C:C),"--")</f>
        <v>Senior Project Coordinator</v>
      </c>
      <c r="O516" s="38" t="str">
        <f>IFERROR(TRIM(N516&amp;" "&amp;C516),"--")</f>
        <v>Senior Project Coordinator R&amp;D Projects</v>
      </c>
      <c r="P516" s="22" t="str">
        <f>_xlfn.XLOOKUP(E516,'[1]SIG Job Families &amp; Descriptions'!A:A,'[1]SIG Job Families &amp; Descriptions'!G:G)</f>
        <v>Leads or coordinates cross-functional project/program teams from design to delivery of fully-developed products that are ready for customer use. Monitors performance and recommends schedule changes, cost adjustments or resource additions. Investigates facts and develops solutions to problems during the design and planning phases. Provides timely and accurate information and status updates to functional leaders. May be responsible for feasibility studies, field trials management, identifying product gaps, defining product requirements and engaging with customers to understand market needs and trends.</v>
      </c>
      <c r="Q516" s="39" t="str">
        <f>_xlfn.XLOOKUP(E516,'[1]2022 GI Position Descriptions'!E:E,'[1]2022 GI Position Descriptions'!G:G)</f>
        <v>Leads or coordinates cross-functional project/program teams from design to delivery of fully-developed products that are ready for customer use | Monitors performance and recommends schedule changes, cost adjustments or resource additions | Investigates facts and develops solutions to problems during the design and planning phases | Provides timely and accurate information and status updates to functional leaders | May be responsible for feasibility studies, field trials management, identifying product gaps, defining product requirements and engaging with customers to understand market needs and trends</v>
      </c>
      <c r="R516" s="22" t="str">
        <f>IF(LEFT(J516,1)="E","EX",LEFT(J516,1))</f>
        <v>P</v>
      </c>
      <c r="S516" s="22" t="str">
        <f>_xlfn.XLOOKUP($R516,'[1]Career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16" s="22" t="str">
        <f>J516</f>
        <v>P2</v>
      </c>
      <c r="U516" s="40" t="str">
        <f t="shared" si="17"/>
        <v>P2</v>
      </c>
      <c r="V516" s="22" t="str">
        <f>_xlfn.XLOOKUP(T516,'[1]Career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516" s="41" t="str">
        <f>J516&amp;"-"&amp;G516</f>
        <v>P2-09</v>
      </c>
      <c r="X516" s="42" t="str">
        <f>G516</f>
        <v>09</v>
      </c>
      <c r="Y516" s="22" t="str">
        <f>_xlfn.XLOOKUP(W516,'[1]Career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516" s="43" t="str">
        <f>IFERROR(O516&amp;" - "&amp;G516,"--")</f>
        <v>Senior Project Coordinator R&amp;D Projects - 09</v>
      </c>
      <c r="AA516" s="44" t="str">
        <f>_xlfn.XLOOKUP($H516,'[1]SIG Qualifications Input'!$D:$D,'[1]SIG Qualifications Input'!$H:$H)</f>
        <v>University degree or equivalent and 2-4 years of work experience or equivalent</v>
      </c>
    </row>
    <row r="517" spans="1:27" ht="183" thickBot="1" x14ac:dyDescent="0.2">
      <c r="A517" s="34" t="str">
        <f>_xlfn.XLOOKUP(C517,'[1]SIG Job Families &amp; Descriptions'!F:F,'[1]SIG Job Families &amp; Descriptions'!B:B)</f>
        <v>Research &amp; Development</v>
      </c>
      <c r="B517" s="34" t="str">
        <f>_xlfn.XLOOKUP(C517,'[1]SIG Job Families &amp; Descriptions'!F:F,'[1]SIG Job Families &amp; Descriptions'!D:D)</f>
        <v>R&amp;D Projects</v>
      </c>
      <c r="C517" s="34" t="s">
        <v>112</v>
      </c>
      <c r="D517" s="30" t="str">
        <f t="shared" si="16"/>
        <v>APM</v>
      </c>
      <c r="E517" s="31" t="str">
        <f>_xlfn.XLOOKUP(C517,'[1]SIG Job Families &amp; Descriptions'!F:F,'[1]SIG Job Families &amp; Descriptions'!A:A)</f>
        <v>APM050</v>
      </c>
      <c r="F517" s="32" t="s">
        <v>60</v>
      </c>
      <c r="G517" s="33" t="s">
        <v>43</v>
      </c>
      <c r="H517" s="34" t="str">
        <f>F517&amp;"-"&amp;G517</f>
        <v>Projects-08</v>
      </c>
      <c r="I517" s="35" t="str">
        <f>IF(ISERROR(_xlfn.XLOOKUP(H517,'[1]SIG Level Structure'!D:D,'[1]SIG Level Structure'!D:D)),"0","1")</f>
        <v>1</v>
      </c>
      <c r="J517" s="36" t="str">
        <f>_xlfn.XLOOKUP($H517,'[1]SIG Level Structure'!$D:$D,'[1]SIG Level Structure'!F:F)</f>
        <v>P1</v>
      </c>
      <c r="K517" s="37" t="str">
        <f>E517&amp;"-"&amp;J517&amp;"-"&amp;G517</f>
        <v>APM050-P1-08</v>
      </c>
      <c r="L517" s="37" t="str">
        <f>IFERROR(D517&amp;"-"&amp;LEFT(J517,1),"--")</f>
        <v>APM-P</v>
      </c>
      <c r="M517" s="37" t="str">
        <f>VLOOKUP(L517,'[1]Compatible JC'!$A:$A,1,FALSE)</f>
        <v>APM-P</v>
      </c>
      <c r="N517" s="37" t="str">
        <f>IFERROR(_xlfn.XLOOKUP(H517,'[1]SIG Level Structure'!D:D,'[1]SIG Level Structure'!C:C),"--")</f>
        <v>Project Coordinator</v>
      </c>
      <c r="O517" s="38" t="str">
        <f>IFERROR(TRIM(N517&amp;" "&amp;C517),"--")</f>
        <v>Project Coordinator R&amp;D Projects</v>
      </c>
      <c r="P517" s="22" t="str">
        <f>_xlfn.XLOOKUP(E517,'[1]SIG Job Families &amp; Descriptions'!A:A,'[1]SIG Job Families &amp; Descriptions'!G:G)</f>
        <v>Leads or coordinates cross-functional project/program teams from design to delivery of fully-developed products that are ready for customer use. Monitors performance and recommends schedule changes, cost adjustments or resource additions. Investigates facts and develops solutions to problems during the design and planning phases. Provides timely and accurate information and status updates to functional leaders. May be responsible for feasibility studies, field trials management, identifying product gaps, defining product requirements and engaging with customers to understand market needs and trends.</v>
      </c>
      <c r="Q517" s="39" t="str">
        <f>_xlfn.XLOOKUP(E517,'[1]2022 GI Position Descriptions'!E:E,'[1]2022 GI Position Descriptions'!G:G)</f>
        <v>Leads or coordinates cross-functional project/program teams from design to delivery of fully-developed products that are ready for customer use | Monitors performance and recommends schedule changes, cost adjustments or resource additions | Investigates facts and develops solutions to problems during the design and planning phases | Provides timely and accurate information and status updates to functional leaders | May be responsible for feasibility studies, field trials management, identifying product gaps, defining product requirements and engaging with customers to understand market needs and trends</v>
      </c>
      <c r="R517" s="22" t="str">
        <f>IF(LEFT(J517,1)="E","EX",LEFT(J517,1))</f>
        <v>P</v>
      </c>
      <c r="S517" s="22" t="str">
        <f>_xlfn.XLOOKUP($R517,'[1]Career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17" s="22" t="str">
        <f>J517</f>
        <v>P1</v>
      </c>
      <c r="U517" s="40" t="str">
        <f t="shared" si="17"/>
        <v>P1</v>
      </c>
      <c r="V517" s="22" t="str">
        <f>_xlfn.XLOOKUP(T517,'[1]Career Bands &amp; Levels'!A:A,'[1]Career Bands &amp; Levels'!C:C)</f>
        <v xml:space="preserve">●	Performs routine assignments in the entry level of the Professional Career Band		
●	Typically requires a college or university degree or the equivalent work experience and has conceptual knowledge of fundamental theories, principles and practices 		
●	Has no discretion to vary from established procedures by performing structured work assignments		
●	Uses existing procedures to solve routine or standard problems		
●	Receives instruction, guidance and direction from more senior level roles		</v>
      </c>
      <c r="W517" s="41" t="str">
        <f>J517&amp;"-"&amp;G517</f>
        <v>P1-08</v>
      </c>
      <c r="X517" s="42" t="str">
        <f>G517</f>
        <v>08</v>
      </c>
      <c r="Y517" s="22" t="str">
        <f>_xlfn.XLOOKUP(W517,'[1]Career Bands &amp; Levels'!A:A,'[1]Career Bands &amp; Levels'!C:C,"No Grade Differentiator")</f>
        <v>No Grade Differentiator</v>
      </c>
      <c r="Z517" s="43" t="str">
        <f>IFERROR(O517&amp;" - "&amp;G517,"--")</f>
        <v>Project Coordinator R&amp;D Projects - 08</v>
      </c>
      <c r="AA517" s="44" t="str">
        <f>_xlfn.XLOOKUP($H517,'[1]SIG Qualifications Input'!$D:$D,'[1]SIG Qualifications Input'!$H:$H)</f>
        <v>University degree or equivalent and 0-1 year of work experience or equivalent</v>
      </c>
    </row>
    <row r="518" spans="1:27" ht="183" thickBot="1" x14ac:dyDescent="0.2">
      <c r="A518" s="34" t="str">
        <f>_xlfn.XLOOKUP(C518,'[1]SIG Job Families &amp; Descriptions'!F:F,'[1]SIG Job Families &amp; Descriptions'!B:B)</f>
        <v>Sales</v>
      </c>
      <c r="B518" s="34" t="str">
        <f>_xlfn.XLOOKUP(C518,'[1]SIG Job Families &amp; Descriptions'!F:F,'[1]SIG Job Families &amp; Descriptions'!D:D)</f>
        <v>General Sales/ Sales Management</v>
      </c>
      <c r="C518" s="34" t="s">
        <v>113</v>
      </c>
      <c r="D518" s="30" t="str">
        <f t="shared" si="16"/>
        <v>CSA</v>
      </c>
      <c r="E518" s="31" t="str">
        <f>_xlfn.XLOOKUP(C518,'[1]SIG Job Families &amp; Descriptions'!F:F,'[1]SIG Job Families &amp; Descriptions'!A:A)</f>
        <v>CSA000</v>
      </c>
      <c r="F518" s="32" t="s">
        <v>29</v>
      </c>
      <c r="G518" s="45" t="s">
        <v>40</v>
      </c>
      <c r="H518" s="34" t="str">
        <f>F518&amp;"-"&amp;G518</f>
        <v>Management-16</v>
      </c>
      <c r="I518" s="35" t="str">
        <f>IF(ISERROR(_xlfn.XLOOKUP(H518,'[1]SIG Level Structure'!D:D,'[1]SIG Level Structure'!D:D)),"0","1")</f>
        <v>1</v>
      </c>
      <c r="J518" s="36" t="str">
        <f>_xlfn.XLOOKUP($H518,'[1]SIG Level Structure'!$D:$D,'[1]SIG Level Structure'!F:F)</f>
        <v>M4</v>
      </c>
      <c r="K518" s="37" t="str">
        <f>IFERROR(E518&amp;"-"&amp;J518&amp;"-"&amp;G518,"--")</f>
        <v>CSA000-M4-16</v>
      </c>
      <c r="L518" s="37" t="str">
        <f>IFERROR(D518&amp;"-"&amp;LEFT(J518,1),"--")</f>
        <v>CSA-M</v>
      </c>
      <c r="M518" s="37" t="str">
        <f>VLOOKUP(L518,'[1]Compatible JC'!$A:$A,1,FALSE)</f>
        <v>CSA-M</v>
      </c>
      <c r="N518" s="37" t="str">
        <f>IFERROR(_xlfn.XLOOKUP(H518,'[1]SIG Level Structure'!D:D,'[1]SIG Level Structure'!C:C),"--")</f>
        <v>Group Manager</v>
      </c>
      <c r="O518" s="38" t="str">
        <f>IFERROR(TRIM(N518&amp;" "&amp;C518),"--")</f>
        <v>Group Manager General Sales/ Sales Management</v>
      </c>
      <c r="P518" s="22" t="str">
        <f>_xlfn.XLOOKUP(E518,'[1]SIG Job Families &amp; Descriptions'!A:A,'[1]SIG Job Families &amp; Descriptions'!G:G)</f>
        <v>Designs, develops and implements sales strategies to support the organization's products, services or market sector. Designs, develops and implements sales programs to meet the organization's business objectives. Plans, directs and coordinates the efforts of sales, buying and merchandising toward the accomplishment of objectives</v>
      </c>
      <c r="Q518" s="39" t="str">
        <f>_xlfn.XLOOKUP(E518,'[1]2022 GI Position Descriptions'!E:E,'[1]2022 GI Position Descriptions'!G:G)</f>
        <v>Designs, develops and implements sales programs to meet the organization's business objectives | Plans, directs and coordinates the efforts of sales toward the accomplishment of objectives</v>
      </c>
      <c r="R518" s="22" t="str">
        <f>IF(LEFT(J518,1)="E","EX",LEFT(J518,1))</f>
        <v>M</v>
      </c>
      <c r="S518" s="22" t="str">
        <f>_xlfn.XLOOKUP($R518,'[1]Career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518" s="22" t="str">
        <f>J518</f>
        <v>M4</v>
      </c>
      <c r="U518" s="40" t="str">
        <f t="shared" si="17"/>
        <v>M4</v>
      </c>
      <c r="V518" s="22" t="str">
        <f>_xlfn.XLOOKUP(T518,'[1]Career Bands &amp; Levels'!A:A,'[1]Career Bands &amp; Levels'!C:C)</f>
        <v xml:space="preserve">●	Provides leadership and direction through Senior Managers and Managers		
●	Has accountability for the performance and results of:		
	●	A large, strategically important discipline in an extremely large market; and/or	
	●	Related disciplines or a medium-sized function in a large market or medium-sized division; and/or	
	●	A medium-sized discipline or department in a major region	
●	Adapts and executes functional or departmental business plans and contributes to the development of functional or departmental strategies		
●	Decisions are guided by functional or major operational segment strategies and priorities		</v>
      </c>
      <c r="W518" s="41" t="str">
        <f>J518&amp;"-"&amp;G518</f>
        <v>M4-16</v>
      </c>
      <c r="X518" s="42" t="str">
        <f>G518</f>
        <v>16</v>
      </c>
      <c r="Y518" s="22" t="str">
        <f>_xlfn.XLOOKUP(W518,'[1]Career Bands &amp; Levels'!A:A,'[1]Career Bands &amp; Levels'!C:C,"No Grade Differentiator")</f>
        <v>No Grade Differentiator</v>
      </c>
      <c r="Z518" s="43" t="str">
        <f>IFERROR(O518&amp;" - "&amp;G518,"--")</f>
        <v>Group Manager General Sales/ Sales Management - 16</v>
      </c>
      <c r="AA518" s="44" t="str">
        <f>_xlfn.XLOOKUP($H518,'[1]SIG Qualifications Input'!$D:$D,'[1]SIG Qualifications Input'!$H:$H)</f>
        <v>University degree or equivalent and 10-15 years of work experience or equivalent
Profound experience in management of a global function or major region including setting the respective strategy</v>
      </c>
    </row>
    <row r="519" spans="1:27" ht="99" thickBot="1" x14ac:dyDescent="0.2">
      <c r="A519" s="34" t="str">
        <f>_xlfn.XLOOKUP(C519,'[1]SIG Job Families &amp; Descriptions'!F:F,'[1]SIG Job Families &amp; Descriptions'!B:B)</f>
        <v>Sales</v>
      </c>
      <c r="B519" s="34" t="str">
        <f>_xlfn.XLOOKUP(C519,'[1]SIG Job Families &amp; Descriptions'!F:F,'[1]SIG Job Families &amp; Descriptions'!D:D)</f>
        <v>General Sales/ Sales Management</v>
      </c>
      <c r="C519" s="34" t="s">
        <v>113</v>
      </c>
      <c r="D519" s="30" t="str">
        <f t="shared" si="16"/>
        <v>CSA</v>
      </c>
      <c r="E519" s="31" t="str">
        <f>_xlfn.XLOOKUP(C519,'[1]SIG Job Families &amp; Descriptions'!F:F,'[1]SIG Job Families &amp; Descriptions'!A:A)</f>
        <v>CSA000</v>
      </c>
      <c r="F519" s="32" t="s">
        <v>29</v>
      </c>
      <c r="G519" s="45" t="s">
        <v>45</v>
      </c>
      <c r="H519" s="34" t="str">
        <f>F519&amp;"-"&amp;G519</f>
        <v>Management-17</v>
      </c>
      <c r="I519" s="35" t="str">
        <f>IF(ISERROR(_xlfn.XLOOKUP(H519,'[1]SIG Level Structure'!D:D,'[1]SIG Level Structure'!D:D)),"0","1")</f>
        <v>1</v>
      </c>
      <c r="J519" s="36" t="str">
        <f>_xlfn.XLOOKUP($H519,'[1]SIG Level Structure'!$D:$D,'[1]SIG Level Structure'!F:F)</f>
        <v>EX</v>
      </c>
      <c r="K519" s="37" t="str">
        <f>E519&amp;"-"&amp;J519&amp;"-"&amp;G519</f>
        <v>CSA000-EX-17</v>
      </c>
      <c r="L519" s="37" t="str">
        <f>IFERROR(D519&amp;"-"&amp;LEFT(J519,1),"--")</f>
        <v>CSA-E</v>
      </c>
      <c r="M519" s="37" t="str">
        <f>VLOOKUP(L519,'[1]Compatible JC'!$A:$A,1,FALSE)</f>
        <v>CSA-E</v>
      </c>
      <c r="N519" s="37" t="str">
        <f>IFERROR(_xlfn.XLOOKUP(H519,'[1]SIG Level Structure'!D:D,'[1]SIG Level Structure'!C:C),"--")</f>
        <v>Group Manager</v>
      </c>
      <c r="O519" s="38" t="str">
        <f>IFERROR(TRIM(N519&amp;" "&amp;C519),"--")</f>
        <v>Group Manager General Sales/ Sales Management</v>
      </c>
      <c r="P519" s="22" t="str">
        <f>_xlfn.XLOOKUP(E519,'[1]SIG Job Families &amp; Descriptions'!A:A,'[1]SIG Job Families &amp; Descriptions'!G:G)</f>
        <v>Designs, develops and implements sales strategies to support the organization's products, services or market sector. Designs, develops and implements sales programs to meet the organization's business objectives. Plans, directs and coordinates the efforts of sales, buying and merchandising toward the accomplishment of objectives</v>
      </c>
      <c r="Q519" s="39" t="str">
        <f>_xlfn.XLOOKUP(E519,'[1]2022 GI Position Descriptions'!E:E,'[1]2022 GI Position Descriptions'!G:G)</f>
        <v>Designs, develops and implements sales programs to meet the organization's business objectives | Plans, directs and coordinates the efforts of sales toward the accomplishment of objectives</v>
      </c>
      <c r="R519" s="22" t="str">
        <f>IF(LEFT(J519,1)="E","EX",LEFT(J519,1))</f>
        <v>EX</v>
      </c>
      <c r="S519" s="22" t="str">
        <f>_xlfn.XLOOKUP($R519,'[1]Career Bands &amp; Levels'!A:A,'[1]Career Bands &amp; Levels'!C:C)</f>
        <v>● Holds management accountability for a business, division, major geography, corporate function or major corporate sub-function
● Develops, establishes and approves long-term vision and strategy for the area managed
● May be a board or executive committee member or have a comparable level of influence</v>
      </c>
      <c r="T519" s="22" t="str">
        <f>J519</f>
        <v>EX</v>
      </c>
      <c r="U519" s="40" t="str">
        <f t="shared" si="17"/>
        <v>EX</v>
      </c>
      <c r="V519" s="22" t="str">
        <f>_xlfn.XLOOKUP(T519,'[1]Career Bands &amp; Levels'!A:A,'[1]Career Bands &amp; Levels'!C:C)</f>
        <v>● Holds management accountability for a business, division, major geography, corporate function or major corporate sub-function
● Develops, establishes and approves long-term vision and strategy for the area managed
● May be a board or executive committee member or have a comparable level of influence</v>
      </c>
      <c r="W519" s="41" t="str">
        <f>J519&amp;"-"&amp;G519</f>
        <v>EX-17</v>
      </c>
      <c r="X519" s="42" t="str">
        <f>G519</f>
        <v>17</v>
      </c>
      <c r="Y519" s="22" t="str">
        <f>_xlfn.XLOOKUP(W519,'[1]Career Bands &amp; Levels'!A:A,'[1]Career Bands &amp; Levels'!C:C,"No Grade Differentiator")</f>
        <v>● Typically reports to the head of a subregion, country, division or function
● In large organizations (Global Grade 20 to 22), heads an infrastructure function with indirect impact on business performance</v>
      </c>
      <c r="Z519" s="43" t="str">
        <f>IFERROR(O519&amp;" - "&amp;G519,"--")</f>
        <v>Group Manager General Sales/ Sales Management - 17</v>
      </c>
      <c r="AA519" s="44" t="str">
        <f>_xlfn.XLOOKUP($H519,'[1]SIG Qualifications Input'!$D:$D,'[1]SIG Qualifications Input'!$H:$H)</f>
        <v>University degree or equivalent and 10-15 years of work experience or equivalent
Profound experience in management of a global function or major region including setting the respective strategy</v>
      </c>
    </row>
    <row r="520" spans="1:27" ht="183" thickBot="1" x14ac:dyDescent="0.2">
      <c r="A520" s="34" t="str">
        <f>_xlfn.XLOOKUP(C520,'[1]SIG Job Families &amp; Descriptions'!F:F,'[1]SIG Job Families &amp; Descriptions'!B:B)</f>
        <v>Sales</v>
      </c>
      <c r="B520" s="34" t="str">
        <f>_xlfn.XLOOKUP(C520,'[1]SIG Job Families &amp; Descriptions'!F:F,'[1]SIG Job Families &amp; Descriptions'!D:D)</f>
        <v>General Sales/ Sales Management</v>
      </c>
      <c r="C520" s="34" t="s">
        <v>113</v>
      </c>
      <c r="D520" s="30" t="str">
        <f t="shared" si="16"/>
        <v>CSA</v>
      </c>
      <c r="E520" s="31" t="str">
        <f>_xlfn.XLOOKUP(C520,'[1]SIG Job Families &amp; Descriptions'!F:F,'[1]SIG Job Families &amp; Descriptions'!A:A)</f>
        <v>CSA000</v>
      </c>
      <c r="F520" s="32" t="s">
        <v>29</v>
      </c>
      <c r="G520" s="45" t="s">
        <v>30</v>
      </c>
      <c r="H520" s="34" t="str">
        <f>F520&amp;"-"&amp;G520</f>
        <v>Management-15</v>
      </c>
      <c r="I520" s="35" t="str">
        <f>IF(ISERROR(_xlfn.XLOOKUP(H520,'[1]SIG Level Structure'!D:D,'[1]SIG Level Structure'!D:D)),"0","1")</f>
        <v>1</v>
      </c>
      <c r="J520" s="36" t="str">
        <f>_xlfn.XLOOKUP($H520,'[1]SIG Level Structure'!$D:$D,'[1]SIG Level Structure'!F:F)</f>
        <v>M3</v>
      </c>
      <c r="K520" s="37" t="str">
        <f>E520&amp;"-"&amp;J520&amp;"-"&amp;G520</f>
        <v>CSA000-M3-15</v>
      </c>
      <c r="L520" s="37" t="str">
        <f>IFERROR(D520&amp;"-"&amp;LEFT(J520,1),"--")</f>
        <v>CSA-M</v>
      </c>
      <c r="M520" s="37" t="str">
        <f>VLOOKUP(L520,'[1]Compatible JC'!$A:$A,1,FALSE)</f>
        <v>CSA-M</v>
      </c>
      <c r="N520" s="37" t="str">
        <f>IFERROR(_xlfn.XLOOKUP(H520,'[1]SIG Level Structure'!D:D,'[1]SIG Level Structure'!C:C),"--")</f>
        <v>Senior Manager</v>
      </c>
      <c r="O520" s="38" t="str">
        <f>IFERROR(TRIM(N520&amp;" "&amp;C520),"--")</f>
        <v>Senior Manager General Sales/ Sales Management</v>
      </c>
      <c r="P520" s="22" t="str">
        <f>_xlfn.XLOOKUP(E520,'[1]SIG Job Families &amp; Descriptions'!A:A,'[1]SIG Job Families &amp; Descriptions'!G:G)</f>
        <v>Designs, develops and implements sales strategies to support the organization's products, services or market sector. Designs, develops and implements sales programs to meet the organization's business objectives. Plans, directs and coordinates the efforts of sales, buying and merchandising toward the accomplishment of objectives</v>
      </c>
      <c r="Q520" s="39" t="str">
        <f>_xlfn.XLOOKUP(E520,'[1]2022 GI Position Descriptions'!E:E,'[1]2022 GI Position Descriptions'!G:G)</f>
        <v>Designs, develops and implements sales programs to meet the organization's business objectives | Plans, directs and coordinates the efforts of sales toward the accomplishment of objectives</v>
      </c>
      <c r="R520" s="22" t="str">
        <f>IF(LEFT(J520,1)="E","EX",LEFT(J520,1))</f>
        <v>M</v>
      </c>
      <c r="S520" s="22" t="str">
        <f>_xlfn.XLOOKUP($R520,'[1]Career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520" s="22" t="str">
        <f>J520</f>
        <v>M3</v>
      </c>
      <c r="U520" s="40" t="str">
        <f t="shared" si="17"/>
        <v>M3</v>
      </c>
      <c r="V520" s="22" t="str">
        <f>_xlfn.XLOOKUP(T520,'[1]Career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520" s="41" t="str">
        <f>J520&amp;"-"&amp;G520</f>
        <v>M3-15</v>
      </c>
      <c r="X520" s="42" t="str">
        <f>G520</f>
        <v>15</v>
      </c>
      <c r="Y520" s="22" t="str">
        <f>_xlfn.XLOOKUP(W520,'[1]Career Bands &amp; Levels'!A:A,'[1]Career Bands &amp; Levels'!C:C,"No Grade Differentiator")</f>
        <v xml:space="preserve">●	Looks beyond existing methodologies and own discipline to define and resolve complex problems
●	Develops plans and delivers results in fast-changing businesses and/or regulatory environments
●	Provides input to functional or departmental strategy		
●	Manages large, potentially diverse teams of managers and/or senior professionals		
		</v>
      </c>
      <c r="Z520" s="43" t="str">
        <f>IFERROR(O520&amp;" - "&amp;G520,"--")</f>
        <v>Senior Manager General Sales/ Sales Management - 15</v>
      </c>
      <c r="AA520" s="44" t="str">
        <f>_xlfn.XLOOKUP($H520,'[1]SIG Qualifications Input'!$D:$D,'[1]SIG Qualifications Input'!$H:$H)</f>
        <v xml:space="preserve">University degree or equivalent and 10+ years of work experience or equivalent
Profound experience in managing performance and results of diverse activities / multiple teams </v>
      </c>
    </row>
    <row r="521" spans="1:27" ht="183" thickBot="1" x14ac:dyDescent="0.2">
      <c r="A521" s="34" t="str">
        <f>_xlfn.XLOOKUP(C521,'[1]SIG Job Families &amp; Descriptions'!F:F,'[1]SIG Job Families &amp; Descriptions'!B:B)</f>
        <v>Sales</v>
      </c>
      <c r="B521" s="34" t="str">
        <f>_xlfn.XLOOKUP(C521,'[1]SIG Job Families &amp; Descriptions'!F:F,'[1]SIG Job Families &amp; Descriptions'!D:D)</f>
        <v>General Sales/ Sales Management</v>
      </c>
      <c r="C521" s="34" t="s">
        <v>113</v>
      </c>
      <c r="D521" s="30" t="str">
        <f t="shared" si="16"/>
        <v>CSA</v>
      </c>
      <c r="E521" s="31" t="str">
        <f>_xlfn.XLOOKUP(C521,'[1]SIG Job Families &amp; Descriptions'!F:F,'[1]SIG Job Families &amp; Descriptions'!A:A)</f>
        <v>CSA000</v>
      </c>
      <c r="F521" s="32" t="s">
        <v>29</v>
      </c>
      <c r="G521" s="45" t="s">
        <v>31</v>
      </c>
      <c r="H521" s="34" t="str">
        <f>F521&amp;"-"&amp;G521</f>
        <v>Management-14</v>
      </c>
      <c r="I521" s="35" t="str">
        <f>IF(ISERROR(_xlfn.XLOOKUP(H521,'[1]SIG Level Structure'!D:D,'[1]SIG Level Structure'!D:D)),"0","1")</f>
        <v>1</v>
      </c>
      <c r="J521" s="36" t="str">
        <f>_xlfn.XLOOKUP($H521,'[1]SIG Level Structure'!$D:$D,'[1]SIG Level Structure'!F:F)</f>
        <v>M3</v>
      </c>
      <c r="K521" s="37" t="str">
        <f>E521&amp;"-"&amp;J521&amp;"-"&amp;G521</f>
        <v>CSA000-M3-14</v>
      </c>
      <c r="L521" s="37" t="str">
        <f>IFERROR(D521&amp;"-"&amp;LEFT(J521,1),"--")</f>
        <v>CSA-M</v>
      </c>
      <c r="M521" s="37" t="str">
        <f>VLOOKUP(L521,'[1]Compatible JC'!$A:$A,1,FALSE)</f>
        <v>CSA-M</v>
      </c>
      <c r="N521" s="37" t="str">
        <f>IFERROR(_xlfn.XLOOKUP(H521,'[1]SIG Level Structure'!D:D,'[1]SIG Level Structure'!C:C),"--")</f>
        <v>Senior Manager</v>
      </c>
      <c r="O521" s="38" t="str">
        <f>IFERROR(TRIM(N521&amp;" "&amp;C521),"--")</f>
        <v>Senior Manager General Sales/ Sales Management</v>
      </c>
      <c r="P521" s="22" t="str">
        <f>_xlfn.XLOOKUP(E521,'[1]SIG Job Families &amp; Descriptions'!A:A,'[1]SIG Job Families &amp; Descriptions'!G:G)</f>
        <v>Designs, develops and implements sales strategies to support the organization's products, services or market sector. Designs, develops and implements sales programs to meet the organization's business objectives. Plans, directs and coordinates the efforts of sales, buying and merchandising toward the accomplishment of objectives</v>
      </c>
      <c r="Q521" s="39" t="str">
        <f>_xlfn.XLOOKUP(E521,'[1]2022 GI Position Descriptions'!E:E,'[1]2022 GI Position Descriptions'!G:G)</f>
        <v>Designs, develops and implements sales programs to meet the organization's business objectives | Plans, directs and coordinates the efforts of sales toward the accomplishment of objectives</v>
      </c>
      <c r="R521" s="22" t="str">
        <f>IF(LEFT(J521,1)="E","EX",LEFT(J521,1))</f>
        <v>M</v>
      </c>
      <c r="S521" s="22" t="str">
        <f>_xlfn.XLOOKUP($R521,'[1]Career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521" s="22" t="str">
        <f>J521</f>
        <v>M3</v>
      </c>
      <c r="U521" s="40" t="str">
        <f t="shared" si="17"/>
        <v>M3</v>
      </c>
      <c r="V521" s="22" t="str">
        <f>_xlfn.XLOOKUP(T521,'[1]Career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521" s="41" t="str">
        <f>J521&amp;"-"&amp;G521</f>
        <v>M3-14</v>
      </c>
      <c r="X521" s="42" t="str">
        <f>G521</f>
        <v>14</v>
      </c>
      <c r="Y521" s="22" t="str">
        <f>_xlfn.XLOOKUP(W521,'[1]Career Bands &amp; Levels'!A:A,'[1]Career Bands &amp; Levels'!C:C,"No Grade Differentiator")</f>
        <v xml:space="preserve">●	Identifies applications of functional knowledge and existing methodologies to complex problems	
●	Manages large teams of professionals and/or junior managers		
		</v>
      </c>
      <c r="Z521" s="43" t="str">
        <f>IFERROR(O521&amp;" - "&amp;G521,"--")</f>
        <v>Senior Manager General Sales/ Sales Management - 14</v>
      </c>
      <c r="AA521" s="44" t="str">
        <f>_xlfn.XLOOKUP($H521,'[1]SIG Qualifications Input'!$D:$D,'[1]SIG Qualifications Input'!$H:$H)</f>
        <v xml:space="preserve">University degree or equivalent and 10+ years of work experience or equivalent
Profound experience in managing performance and results of diverse activities / multiple teams </v>
      </c>
    </row>
    <row r="522" spans="1:27" ht="183" thickBot="1" x14ac:dyDescent="0.2">
      <c r="A522" s="34" t="str">
        <f>_xlfn.XLOOKUP(C522,'[1]SIG Job Families &amp; Descriptions'!F:F,'[1]SIG Job Families &amp; Descriptions'!B:B)</f>
        <v>Sales</v>
      </c>
      <c r="B522" s="34" t="str">
        <f>_xlfn.XLOOKUP(C522,'[1]SIG Job Families &amp; Descriptions'!F:F,'[1]SIG Job Families &amp; Descriptions'!D:D)</f>
        <v>General Sales/ Sales Management</v>
      </c>
      <c r="C522" s="34" t="s">
        <v>113</v>
      </c>
      <c r="D522" s="30" t="str">
        <f t="shared" si="16"/>
        <v>CSA</v>
      </c>
      <c r="E522" s="31" t="str">
        <f>_xlfn.XLOOKUP(C522,'[1]SIG Job Families &amp; Descriptions'!F:F,'[1]SIG Job Families &amp; Descriptions'!A:A)</f>
        <v>CSA000</v>
      </c>
      <c r="F522" s="32" t="s">
        <v>29</v>
      </c>
      <c r="G522" s="45" t="s">
        <v>33</v>
      </c>
      <c r="H522" s="34" t="str">
        <f>F522&amp;"-"&amp;G522</f>
        <v>Management-13</v>
      </c>
      <c r="I522" s="35" t="str">
        <f>IF(ISERROR(_xlfn.XLOOKUP(H522,'[1]SIG Level Structure'!D:D,'[1]SIG Level Structure'!D:D)),"0","1")</f>
        <v>1</v>
      </c>
      <c r="J522" s="36" t="str">
        <f>_xlfn.XLOOKUP($H522,'[1]SIG Level Structure'!$D:$D,'[1]SIG Level Structure'!F:F)</f>
        <v>M2</v>
      </c>
      <c r="K522" s="37" t="str">
        <f>E522&amp;"-"&amp;J522&amp;"-"&amp;G522</f>
        <v>CSA000-M2-13</v>
      </c>
      <c r="L522" s="37" t="str">
        <f>IFERROR(D522&amp;"-"&amp;LEFT(J522,1),"--")</f>
        <v>CSA-M</v>
      </c>
      <c r="M522" s="37" t="str">
        <f>VLOOKUP(L522,'[1]Compatible JC'!$A:$A,1,FALSE)</f>
        <v>CSA-M</v>
      </c>
      <c r="N522" s="37" t="str">
        <f>IFERROR(_xlfn.XLOOKUP(H522,'[1]SIG Level Structure'!D:D,'[1]SIG Level Structure'!C:C),"--")</f>
        <v>Manager</v>
      </c>
      <c r="O522" s="38" t="str">
        <f>IFERROR(TRIM(N522&amp;" "&amp;C522),"--")</f>
        <v>Manager General Sales/ Sales Management</v>
      </c>
      <c r="P522" s="22" t="str">
        <f>_xlfn.XLOOKUP(E522,'[1]SIG Job Families &amp; Descriptions'!A:A,'[1]SIG Job Families &amp; Descriptions'!G:G)</f>
        <v>Designs, develops and implements sales strategies to support the organization's products, services or market sector. Designs, develops and implements sales programs to meet the organization's business objectives. Plans, directs and coordinates the efforts of sales, buying and merchandising toward the accomplishment of objectives</v>
      </c>
      <c r="Q522" s="39" t="str">
        <f>_xlfn.XLOOKUP(E522,'[1]2022 GI Position Descriptions'!E:E,'[1]2022 GI Position Descriptions'!G:G)</f>
        <v>Designs, develops and implements sales programs to meet the organization's business objectives | Plans, directs and coordinates the efforts of sales toward the accomplishment of objectives</v>
      </c>
      <c r="R522" s="22" t="str">
        <f>IF(LEFT(J522,1)="E","EX",LEFT(J522,1))</f>
        <v>M</v>
      </c>
      <c r="S522" s="22" t="str">
        <f>_xlfn.XLOOKUP($R522,'[1]Career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522" s="22" t="str">
        <f>J522</f>
        <v>M2</v>
      </c>
      <c r="U522" s="40" t="str">
        <f t="shared" si="17"/>
        <v>M2</v>
      </c>
      <c r="V522" s="22" t="str">
        <f>_xlfn.XLOOKUP(T522,'[1]Career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522" s="41" t="str">
        <f>J522&amp;"-"&amp;G522</f>
        <v>M2-13</v>
      </c>
      <c r="X522" s="42" t="str">
        <f>G522</f>
        <v>13</v>
      </c>
      <c r="Y522" s="22" t="str">
        <f>_xlfn.XLOOKUP(W522,'[1]Career Bands &amp; Levels'!A:A,'[1]Career Bands &amp; Levels'!C:C,"No Grade Differentiator")</f>
        <v>●	Accountable for the budget, performance and results of a medium-sized team or multiple small teams of employees		
●	Exercises full management authority, including performance reviews, pay decisions, recruitment, discipline, termination and other personnel actions		
●	Addresses issues with impact beyond own team based on knowledge of related disciplines</v>
      </c>
      <c r="Z522" s="43" t="str">
        <f>IFERROR(O522&amp;" - "&amp;G522,"--")</f>
        <v>Manager General Sales/ Sales Management - 13</v>
      </c>
      <c r="AA522" s="44" t="str">
        <f>_xlfn.XLOOKUP($H522,'[1]SIG Qualifications Input'!$D:$D,'[1]SIG Qualifications Input'!$H:$H)</f>
        <v>University degree or equivalent and 7-10 years of work experience or equivalent
Experience in managing mixed-level team(s) of professionals and subordinate managers</v>
      </c>
    </row>
    <row r="523" spans="1:27" ht="183" thickBot="1" x14ac:dyDescent="0.2">
      <c r="A523" s="34" t="str">
        <f>_xlfn.XLOOKUP(C523,'[1]SIG Job Families &amp; Descriptions'!F:F,'[1]SIG Job Families &amp; Descriptions'!B:B)</f>
        <v>Sales</v>
      </c>
      <c r="B523" s="34" t="str">
        <f>_xlfn.XLOOKUP(C523,'[1]SIG Job Families &amp; Descriptions'!F:F,'[1]SIG Job Families &amp; Descriptions'!D:D)</f>
        <v>General Sales/ Sales Management</v>
      </c>
      <c r="C523" s="34" t="s">
        <v>113</v>
      </c>
      <c r="D523" s="30" t="str">
        <f t="shared" si="16"/>
        <v>CSA</v>
      </c>
      <c r="E523" s="31" t="str">
        <f>_xlfn.XLOOKUP(C523,'[1]SIG Job Families &amp; Descriptions'!F:F,'[1]SIG Job Families &amp; Descriptions'!A:A)</f>
        <v>CSA000</v>
      </c>
      <c r="F523" s="32" t="s">
        <v>29</v>
      </c>
      <c r="G523" s="45" t="s">
        <v>34</v>
      </c>
      <c r="H523" s="34" t="str">
        <f>F523&amp;"-"&amp;G523</f>
        <v>Management-12</v>
      </c>
      <c r="I523" s="35" t="str">
        <f>IF(ISERROR(_xlfn.XLOOKUP(H523,'[1]SIG Level Structure'!D:D,'[1]SIG Level Structure'!D:D)),"0","1")</f>
        <v>1</v>
      </c>
      <c r="J523" s="36" t="str">
        <f>_xlfn.XLOOKUP($H523,'[1]SIG Level Structure'!$D:$D,'[1]SIG Level Structure'!F:F)</f>
        <v>M2</v>
      </c>
      <c r="K523" s="37" t="str">
        <f>E523&amp;"-"&amp;J523&amp;"-"&amp;G523</f>
        <v>CSA000-M2-12</v>
      </c>
      <c r="L523" s="37" t="str">
        <f>IFERROR(D523&amp;"-"&amp;LEFT(J523,1),"--")</f>
        <v>CSA-M</v>
      </c>
      <c r="M523" s="37" t="str">
        <f>VLOOKUP(L523,'[1]Compatible JC'!$A:$A,1,FALSE)</f>
        <v>CSA-M</v>
      </c>
      <c r="N523" s="37" t="str">
        <f>IFERROR(_xlfn.XLOOKUP(H523,'[1]SIG Level Structure'!D:D,'[1]SIG Level Structure'!C:C),"--")</f>
        <v>Manager</v>
      </c>
      <c r="O523" s="38" t="str">
        <f>IFERROR(TRIM(N523&amp;" "&amp;C523),"--")</f>
        <v>Manager General Sales/ Sales Management</v>
      </c>
      <c r="P523" s="22" t="str">
        <f>_xlfn.XLOOKUP(E523,'[1]SIG Job Families &amp; Descriptions'!A:A,'[1]SIG Job Families &amp; Descriptions'!G:G)</f>
        <v>Designs, develops and implements sales strategies to support the organization's products, services or market sector. Designs, develops and implements sales programs to meet the organization's business objectives. Plans, directs and coordinates the efforts of sales, buying and merchandising toward the accomplishment of objectives</v>
      </c>
      <c r="Q523" s="39" t="str">
        <f>_xlfn.XLOOKUP(E523,'[1]2022 GI Position Descriptions'!E:E,'[1]2022 GI Position Descriptions'!G:G)</f>
        <v>Designs, develops and implements sales programs to meet the organization's business objectives | Plans, directs and coordinates the efforts of sales toward the accomplishment of objectives</v>
      </c>
      <c r="R523" s="22" t="str">
        <f>IF(LEFT(J523,1)="E","EX",LEFT(J523,1))</f>
        <v>M</v>
      </c>
      <c r="S523" s="22" t="str">
        <f>_xlfn.XLOOKUP($R523,'[1]Career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523" s="22" t="str">
        <f>J523</f>
        <v>M2</v>
      </c>
      <c r="U523" s="40" t="str">
        <f t="shared" si="17"/>
        <v>M2</v>
      </c>
      <c r="V523" s="22" t="str">
        <f>_xlfn.XLOOKUP(T523,'[1]Career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523" s="41" t="str">
        <f>J523&amp;"-"&amp;G523</f>
        <v>M2-12</v>
      </c>
      <c r="X523" s="42" t="str">
        <f>G523</f>
        <v>12</v>
      </c>
      <c r="Y523" s="22" t="str">
        <f>_xlfn.XLOOKUP(W523,'[1]Career Bands &amp; Levels'!A:A,'[1]Career Bands &amp; Levels'!C:C,"No Grade Differentiator")</f>
        <v xml:space="preserve">●	Accountable for results of a small team of employees		
●	Exercises limited management authority; sets employee performance objectives, conducts performance reviews and recommends pay actions		
●	Defines team operating standards and ensures essential procedures are followed based on knowledge of own discipline		</v>
      </c>
      <c r="Z523" s="43" t="str">
        <f>IFERROR(O523&amp;" - "&amp;G523,"--")</f>
        <v>Manager General Sales/ Sales Management - 12</v>
      </c>
      <c r="AA523" s="44" t="str">
        <f>_xlfn.XLOOKUP($H523,'[1]SIG Qualifications Input'!$D:$D,'[1]SIG Qualifications Input'!$H:$H)</f>
        <v>University degree or equivalent and 7-10 years of work experience or equivalent
Experience in managing mixed-level team(s) of professionals and subordinate managers</v>
      </c>
    </row>
    <row r="524" spans="1:27" ht="239" thickBot="1" x14ac:dyDescent="0.2">
      <c r="A524" s="34" t="str">
        <f>_xlfn.XLOOKUP(C524,'[1]SIG Job Families &amp; Descriptions'!F:F,'[1]SIG Job Families &amp; Descriptions'!B:B)</f>
        <v>Sales</v>
      </c>
      <c r="B524" s="34" t="str">
        <f>_xlfn.XLOOKUP(C524,'[1]SIG Job Families &amp; Descriptions'!F:F,'[1]SIG Job Families &amp; Descriptions'!D:D)</f>
        <v>Account Management</v>
      </c>
      <c r="C524" s="34" t="s">
        <v>114</v>
      </c>
      <c r="D524" s="30" t="str">
        <f t="shared" si="16"/>
        <v>CAM</v>
      </c>
      <c r="E524" s="31" t="str">
        <f>_xlfn.XLOOKUP(C524,'[1]SIG Job Families &amp; Descriptions'!F:F,'[1]SIG Job Families &amp; Descriptions'!A:A)</f>
        <v>CAM000</v>
      </c>
      <c r="F524" s="32" t="s">
        <v>115</v>
      </c>
      <c r="G524" s="45" t="s">
        <v>31</v>
      </c>
      <c r="H524" s="34" t="str">
        <f>F524&amp;"-"&amp;G524</f>
        <v>Sales-14</v>
      </c>
      <c r="I524" s="35" t="str">
        <f>IF(ISERROR(_xlfn.XLOOKUP(H524,'[1]SIG Level Structure'!D:D,'[1]SIG Level Structure'!D:D)),"0","1")</f>
        <v>1</v>
      </c>
      <c r="J524" s="36" t="str">
        <f>_xlfn.XLOOKUP($H524,'[1]SIG Level Structure'!$D:$D,'[1]SIG Level Structure'!F:F)</f>
        <v>S4</v>
      </c>
      <c r="K524" s="37" t="str">
        <f>E524&amp;"-"&amp;J524&amp;"-"&amp;G524</f>
        <v>CAM000-S4-14</v>
      </c>
      <c r="L524" s="37" t="str">
        <f>IFERROR(D524&amp;"-"&amp;LEFT(J524,1),"--")</f>
        <v>CAM-S</v>
      </c>
      <c r="M524" s="37" t="str">
        <f>VLOOKUP(L524,'[1]Compatible JC'!$A:$A,1,FALSE)</f>
        <v>CAM-S</v>
      </c>
      <c r="N524" s="37" t="str">
        <f>IFERROR(_xlfn.XLOOKUP(H524,'[1]SIG Level Structure'!D:D,'[1]SIG Level Structure'!C:C),"--")</f>
        <v>Senior Sales Manager</v>
      </c>
      <c r="O524" s="38" t="str">
        <f>IFERROR(TRIM(N524&amp;" "&amp;C524),"--")</f>
        <v>Senior Sales Manager Account Management</v>
      </c>
      <c r="P524" s="22" t="str">
        <f>_xlfn.XLOOKUP(E524,'[1]SIG Job Families &amp; Descriptions'!A:A,'[1]SIG Job Families &amp; Descriptions'!G:G)</f>
        <v>Builds and maintains effective long-term relationships and a high level of satisfaction with decision makers and influencers at an assigned group of customer accounts that may include major strategic customers within a geographic or portfolio focus. Identifies, develops and typically closes new sales opportunities. Creates demand for the organization's products and services by raising their profile with customers. Achieves revenue targets by increasing revenue spend per account.</v>
      </c>
      <c r="Q524" s="39" t="str">
        <f>_xlfn.XLOOKUP(E524,'[1]2022 GI Position Descriptions'!E:E,'[1]2022 GI Position Descriptions'!G:G)</f>
        <v>Builds and maintains effective long-term relationships and a high level of satisfaction with key senior-level decision makers and influencers at an assigned group of customer accounts that may include major strategic customers within a geographic or industry focus | Identifies, develops and typically closes new sales opportunities | Creates demand for the organization's products and services by raising their profile with customers | Achieves revenue targets by increasing revenue spend per account | May conduct regular status and strategy meetings with the customer's senior management to understand their needs and link them to the organization's product/service strategies | Responsibilities are within the Account/Relationship Management Function as a generalist or in a combination of Disciplines</v>
      </c>
      <c r="R524" s="22" t="str">
        <f>IF(LEFT(J524,1)="E","EX",LEFT(J524,1))</f>
        <v>S</v>
      </c>
      <c r="S524" s="22" t="str">
        <f>_xlfn.XLOOKUP($R524,'[1]Career Bands &amp; Levels'!A:A,'[1]Career Bands &amp; Levels'!C:C)</f>
        <v>● Primarily involved in direct contact with customers/clients to acquire new business or develop existing business or accounts
● Participates in sales presentations, developing bids, and responding to proposals 
● At senior levels, likely to set/negotiate product/service terms or contracts
● A significant portion of compensation is likely to be based on sales results</v>
      </c>
      <c r="T524" s="22" t="str">
        <f>J524</f>
        <v>S4</v>
      </c>
      <c r="U524" s="40" t="str">
        <f t="shared" si="17"/>
        <v>S4</v>
      </c>
      <c r="V524" s="22" t="str">
        <f>_xlfn.XLOOKUP(T524,'[1]Career Bands &amp; Levels'!A:A,'[1]Career Bands &amp; Levels'!C:C)</f>
        <v xml:space="preserve">●	Has a deep understanding of business, financials, products/services, the market or the needs/challenges of assigned accounts		
●	Develops colleagues' and customers' understanding		
●	Recognized as an expert in one or more areas		
●	Works with complex or high profile territory/account, products/services, sales or account management process; serves as team lead		
●	Has broad authority/opportunity to set and negotiate product/service terms		
●	Plans own territory or account approach and has input into colleagues' approaches; manages own and often others' resources		
●	Progression to this level is typically restricted on the basis of business requirements		</v>
      </c>
      <c r="W524" s="41" t="str">
        <f>J524&amp;"-"&amp;G524</f>
        <v>S4-14</v>
      </c>
      <c r="X524" s="42" t="str">
        <f>G524</f>
        <v>14</v>
      </c>
      <c r="Y524" s="22" t="str">
        <f>_xlfn.XLOOKUP(W524,'[1]Career Bands &amp; Levels'!A:A,'[1]Career Bands &amp; Levels'!C:C,"No Grade Differentiator")</f>
        <v xml:space="preserve">●	Most clients are substantial, high profile accounts spanning broad geographic areas, representing significant revenue and having diverse and complex needs		
●	Negotiates sales terms with considerable discretion at high levels of client organizations		
●	Leads medium to large sales teams, but without supervisory authority		
●	Is recognized as a best practice expert in several business/sales/product/service areas		</v>
      </c>
      <c r="Z524" s="43" t="str">
        <f>IFERROR(O524&amp;" - "&amp;G524,"--")</f>
        <v>Senior Sales Manager Account Management - 14</v>
      </c>
      <c r="AA524" s="44" t="str">
        <f>_xlfn.XLOOKUP($H524,'[1]SIG Qualifications Input'!$D:$D,'[1]SIG Qualifications Input'!$H:$H)</f>
        <v>University degree or equivalent and 8-10 years of work experience or equivalent, 
Experience in functionally leading (sub-)projects / teams</v>
      </c>
    </row>
    <row r="525" spans="1:27" ht="239" thickBot="1" x14ac:dyDescent="0.2">
      <c r="A525" s="34" t="str">
        <f>_xlfn.XLOOKUP(C525,'[1]SIG Job Families &amp; Descriptions'!F:F,'[1]SIG Job Families &amp; Descriptions'!B:B)</f>
        <v>Sales</v>
      </c>
      <c r="B525" s="34" t="str">
        <f>_xlfn.XLOOKUP(C525,'[1]SIG Job Families &amp; Descriptions'!F:F,'[1]SIG Job Families &amp; Descriptions'!D:D)</f>
        <v>Account Management</v>
      </c>
      <c r="C525" s="34" t="s">
        <v>114</v>
      </c>
      <c r="D525" s="30" t="str">
        <f t="shared" si="16"/>
        <v>CAM</v>
      </c>
      <c r="E525" s="31" t="str">
        <f>_xlfn.XLOOKUP(C525,'[1]SIG Job Families &amp; Descriptions'!F:F,'[1]SIG Job Families &amp; Descriptions'!A:A)</f>
        <v>CAM000</v>
      </c>
      <c r="F525" s="32" t="s">
        <v>115</v>
      </c>
      <c r="G525" s="45" t="s">
        <v>33</v>
      </c>
      <c r="H525" s="34" t="str">
        <f>F525&amp;"-"&amp;G525</f>
        <v>Sales-13</v>
      </c>
      <c r="I525" s="35" t="str">
        <f>IF(ISERROR(_xlfn.XLOOKUP(H525,'[1]SIG Level Structure'!D:D,'[1]SIG Level Structure'!D:D)),"0","1")</f>
        <v>1</v>
      </c>
      <c r="J525" s="36" t="str">
        <f>_xlfn.XLOOKUP($H525,'[1]SIG Level Structure'!$D:$D,'[1]SIG Level Structure'!F:F)</f>
        <v>S4</v>
      </c>
      <c r="K525" s="37" t="str">
        <f>E525&amp;"-"&amp;J525&amp;"-"&amp;G525</f>
        <v>CAM000-S4-13</v>
      </c>
      <c r="L525" s="37" t="str">
        <f>IFERROR(D525&amp;"-"&amp;LEFT(J525,1),"--")</f>
        <v>CAM-S</v>
      </c>
      <c r="M525" s="37" t="str">
        <f>VLOOKUP(L525,'[1]Compatible JC'!$A:$A,1,FALSE)</f>
        <v>CAM-S</v>
      </c>
      <c r="N525" s="37" t="str">
        <f>IFERROR(_xlfn.XLOOKUP(H525,'[1]SIG Level Structure'!D:D,'[1]SIG Level Structure'!C:C),"--")</f>
        <v>Senior Sales Manager</v>
      </c>
      <c r="O525" s="38" t="str">
        <f>IFERROR(TRIM(N525&amp;" "&amp;C525),"--")</f>
        <v>Senior Sales Manager Account Management</v>
      </c>
      <c r="P525" s="22" t="str">
        <f>_xlfn.XLOOKUP(E525,'[1]SIG Job Families &amp; Descriptions'!A:A,'[1]SIG Job Families &amp; Descriptions'!G:G)</f>
        <v>Builds and maintains effective long-term relationships and a high level of satisfaction with decision makers and influencers at an assigned group of customer accounts that may include major strategic customers within a geographic or portfolio focus. Identifies, develops and typically closes new sales opportunities. Creates demand for the organization's products and services by raising their profile with customers. Achieves revenue targets by increasing revenue spend per account.</v>
      </c>
      <c r="Q525" s="39" t="str">
        <f>_xlfn.XLOOKUP(E525,'[1]2022 GI Position Descriptions'!E:E,'[1]2022 GI Position Descriptions'!G:G)</f>
        <v>Builds and maintains effective long-term relationships and a high level of satisfaction with key senior-level decision makers and influencers at an assigned group of customer accounts that may include major strategic customers within a geographic or industry focus | Identifies, develops and typically closes new sales opportunities | Creates demand for the organization's products and services by raising their profile with customers | Achieves revenue targets by increasing revenue spend per account | May conduct regular status and strategy meetings with the customer's senior management to understand their needs and link them to the organization's product/service strategies | Responsibilities are within the Account/Relationship Management Function as a generalist or in a combination of Disciplines</v>
      </c>
      <c r="R525" s="22" t="str">
        <f>IF(LEFT(J525,1)="E","EX",LEFT(J525,1))</f>
        <v>S</v>
      </c>
      <c r="S525" s="22" t="str">
        <f>_xlfn.XLOOKUP($R525,'[1]Career Bands &amp; Levels'!A:A,'[1]Career Bands &amp; Levels'!C:C)</f>
        <v>● Primarily involved in direct contact with customers/clients to acquire new business or develop existing business or accounts
● Participates in sales presentations, developing bids, and responding to proposals 
● At senior levels, likely to set/negotiate product/service terms or contracts
● A significant portion of compensation is likely to be based on sales results</v>
      </c>
      <c r="T525" s="22" t="str">
        <f>J525</f>
        <v>S4</v>
      </c>
      <c r="U525" s="40" t="str">
        <f t="shared" si="17"/>
        <v>S4</v>
      </c>
      <c r="V525" s="22" t="str">
        <f>_xlfn.XLOOKUP(T525,'[1]Career Bands &amp; Levels'!A:A,'[1]Career Bands &amp; Levels'!C:C)</f>
        <v xml:space="preserve">●	Has a deep understanding of business, financials, products/services, the market or the needs/challenges of assigned accounts		
●	Develops colleagues' and customers' understanding		
●	Recognized as an expert in one or more areas		
●	Works with complex or high profile territory/account, products/services, sales or account management process; serves as team lead		
●	Has broad authority/opportunity to set and negotiate product/service terms		
●	Plans own territory or account approach and has input into colleagues' approaches; manages own and often others' resources		
●	Progression to this level is typically restricted on the basis of business requirements		</v>
      </c>
      <c r="W525" s="41" t="str">
        <f>J525&amp;"-"&amp;G525</f>
        <v>S4-13</v>
      </c>
      <c r="X525" s="42" t="str">
        <f>G525</f>
        <v>13</v>
      </c>
      <c r="Y525" s="22" t="str">
        <f>_xlfn.XLOOKUP(W525,'[1]Career Bands &amp; Levels'!A:A,'[1]Career Bands &amp; Levels'!C:C,"No Grade Differentiator")</f>
        <v xml:space="preserve">●	Some clients are high profile accounts spanning broad geographic areas, representing significant revenue and having diverse and complex needs		
●	Negotiates sales terms with moderate discretion within policy guidelines		
●	Leads small to medium sales teams, but without supervisory authority		</v>
      </c>
      <c r="Z525" s="43" t="str">
        <f>IFERROR(O525&amp;" - "&amp;G525,"--")</f>
        <v>Senior Sales Manager Account Management - 13</v>
      </c>
      <c r="AA525" s="44" t="str">
        <f>_xlfn.XLOOKUP($H525,'[1]SIG Qualifications Input'!$D:$D,'[1]SIG Qualifications Input'!$H:$H)</f>
        <v>University degree or equivalent and 8-10 years of work experience or equivalent, 
Experience in functionally leading (sub-)projects / teams</v>
      </c>
    </row>
    <row r="526" spans="1:27" ht="239" thickBot="1" x14ac:dyDescent="0.2">
      <c r="A526" s="34" t="str">
        <f>_xlfn.XLOOKUP(C526,'[1]SIG Job Families &amp; Descriptions'!F:F,'[1]SIG Job Families &amp; Descriptions'!B:B)</f>
        <v>Sales</v>
      </c>
      <c r="B526" s="34" t="str">
        <f>_xlfn.XLOOKUP(C526,'[1]SIG Job Families &amp; Descriptions'!F:F,'[1]SIG Job Families &amp; Descriptions'!D:D)</f>
        <v>Account Management</v>
      </c>
      <c r="C526" s="34" t="s">
        <v>114</v>
      </c>
      <c r="D526" s="30" t="str">
        <f t="shared" si="16"/>
        <v>CAM</v>
      </c>
      <c r="E526" s="31" t="str">
        <f>_xlfn.XLOOKUP(C526,'[1]SIG Job Families &amp; Descriptions'!F:F,'[1]SIG Job Families &amp; Descriptions'!A:A)</f>
        <v>CAM000</v>
      </c>
      <c r="F526" s="32" t="s">
        <v>115</v>
      </c>
      <c r="G526" s="45" t="s">
        <v>34</v>
      </c>
      <c r="H526" s="34" t="str">
        <f>F526&amp;"-"&amp;G526</f>
        <v>Sales-12</v>
      </c>
      <c r="I526" s="35" t="str">
        <f>IF(ISERROR(_xlfn.XLOOKUP(H526,'[1]SIG Level Structure'!D:D,'[1]SIG Level Structure'!D:D)),"0","1")</f>
        <v>1</v>
      </c>
      <c r="J526" s="36" t="str">
        <f>_xlfn.XLOOKUP($H526,'[1]SIG Level Structure'!$D:$D,'[1]SIG Level Structure'!F:F)</f>
        <v>S3</v>
      </c>
      <c r="K526" s="37" t="str">
        <f>E526&amp;"-"&amp;J526&amp;"-"&amp;G526</f>
        <v>CAM000-S3-12</v>
      </c>
      <c r="L526" s="37" t="str">
        <f>IFERROR(D526&amp;"-"&amp;LEFT(J526,1),"--")</f>
        <v>CAM-S</v>
      </c>
      <c r="M526" s="37" t="str">
        <f>VLOOKUP(L526,'[1]Compatible JC'!$A:$A,1,FALSE)</f>
        <v>CAM-S</v>
      </c>
      <c r="N526" s="37" t="str">
        <f>IFERROR(_xlfn.XLOOKUP(H526,'[1]SIG Level Structure'!D:D,'[1]SIG Level Structure'!C:C),"--")</f>
        <v>Sales Manager</v>
      </c>
      <c r="O526" s="38" t="str">
        <f>IFERROR(TRIM(N526&amp;" "&amp;C526),"--")</f>
        <v>Sales Manager Account Management</v>
      </c>
      <c r="P526" s="22" t="str">
        <f>_xlfn.XLOOKUP(E526,'[1]SIG Job Families &amp; Descriptions'!A:A,'[1]SIG Job Families &amp; Descriptions'!G:G)</f>
        <v>Builds and maintains effective long-term relationships and a high level of satisfaction with decision makers and influencers at an assigned group of customer accounts that may include major strategic customers within a geographic or portfolio focus. Identifies, develops and typically closes new sales opportunities. Creates demand for the organization's products and services by raising their profile with customers. Achieves revenue targets by increasing revenue spend per account.</v>
      </c>
      <c r="Q526" s="39" t="str">
        <f>_xlfn.XLOOKUP(E526,'[1]2022 GI Position Descriptions'!E:E,'[1]2022 GI Position Descriptions'!G:G)</f>
        <v>Builds and maintains effective long-term relationships and a high level of satisfaction with key senior-level decision makers and influencers at an assigned group of customer accounts that may include major strategic customers within a geographic or industry focus | Identifies, develops and typically closes new sales opportunities | Creates demand for the organization's products and services by raising their profile with customers | Achieves revenue targets by increasing revenue spend per account | May conduct regular status and strategy meetings with the customer's senior management to understand their needs and link them to the organization's product/service strategies | Responsibilities are within the Account/Relationship Management Function as a generalist or in a combination of Disciplines</v>
      </c>
      <c r="R526" s="22" t="str">
        <f>IF(LEFT(J526,1)="E","EX",LEFT(J526,1))</f>
        <v>S</v>
      </c>
      <c r="S526" s="22" t="str">
        <f>_xlfn.XLOOKUP($R526,'[1]Career Bands &amp; Levels'!A:A,'[1]Career Bands &amp; Levels'!C:C)</f>
        <v>● Primarily involved in direct contact with customers/clients to acquire new business or develop existing business or accounts
● Participates in sales presentations, developing bids, and responding to proposals 
● At senior levels, likely to set/negotiate product/service terms or contracts
● A significant portion of compensation is likely to be based on sales results</v>
      </c>
      <c r="T526" s="22" t="str">
        <f>J526</f>
        <v>S3</v>
      </c>
      <c r="U526" s="40" t="str">
        <f t="shared" si="17"/>
        <v>S3</v>
      </c>
      <c r="V526" s="22" t="str">
        <f>_xlfn.XLOOKUP(T526,'[1]Career Bands &amp; Levels'!A:A,'[1]Career Bands &amp; Levels'!C:C)</f>
        <v xml:space="preserve">●	Has a solid understanding of business, financials, products/services, the market and the needs of assigned accounts; may help develop colleagues' understanding; may be recognized as an expert in one area		
●	Works with complex or large territory/account, products/services, sales or account management processes; may serve as team lead		
●	Has authority/opportunity to set and negotiate product/service terms		
●	Plans own territory or account approach and manages own resources		
●	May represent the level at which career may stabilize for many years or even until retirement		</v>
      </c>
      <c r="W526" s="41" t="str">
        <f>J526&amp;"-"&amp;G526</f>
        <v>S3-12</v>
      </c>
      <c r="X526" s="42" t="str">
        <f>G526</f>
        <v>12</v>
      </c>
      <c r="Y526" s="22" t="str">
        <f>_xlfn.XLOOKUP(W526,'[1]Career Bands &amp; Levels'!A:A,'[1]Career Bands &amp; Levels'!C:C,"No Grade Differentiator")</f>
        <v xml:space="preserve">●	Manages accounts in a large domestic or small multi-country territory		
●	Recognized internally as an expert in an aspect of business, financials, products/services, the market and the needs of assigned accounts		
●	Typically leads a small sales team but without supervisory authority		
●	Trains and mentors junior staff		</v>
      </c>
      <c r="Z526" s="43" t="str">
        <f>IFERROR(O526&amp;" - "&amp;G526,"--")</f>
        <v>Sales Manager Account Management - 12</v>
      </c>
      <c r="AA526" s="44" t="str">
        <f>_xlfn.XLOOKUP($H526,'[1]SIG Qualifications Input'!$D:$D,'[1]SIG Qualifications Input'!$H:$H)</f>
        <v>University degree or equivalent and 4-8 years of work experience or equivalent, 
Initial experience in functionally leading (sub-) projects</v>
      </c>
    </row>
    <row r="527" spans="1:27" ht="239" thickBot="1" x14ac:dyDescent="0.2">
      <c r="A527" s="34" t="str">
        <f>_xlfn.XLOOKUP(C527,'[1]SIG Job Families &amp; Descriptions'!F:F,'[1]SIG Job Families &amp; Descriptions'!B:B)</f>
        <v>Sales</v>
      </c>
      <c r="B527" s="34" t="str">
        <f>_xlfn.XLOOKUP(C527,'[1]SIG Job Families &amp; Descriptions'!F:F,'[1]SIG Job Families &amp; Descriptions'!D:D)</f>
        <v>Account Management</v>
      </c>
      <c r="C527" s="34" t="s">
        <v>114</v>
      </c>
      <c r="D527" s="30" t="str">
        <f t="shared" si="16"/>
        <v>CAM</v>
      </c>
      <c r="E527" s="31" t="str">
        <f>_xlfn.XLOOKUP(C527,'[1]SIG Job Families &amp; Descriptions'!F:F,'[1]SIG Job Families &amp; Descriptions'!A:A)</f>
        <v>CAM000</v>
      </c>
      <c r="F527" s="32" t="s">
        <v>115</v>
      </c>
      <c r="G527" s="45" t="s">
        <v>35</v>
      </c>
      <c r="H527" s="34" t="str">
        <f>F527&amp;"-"&amp;G527</f>
        <v>Sales-11</v>
      </c>
      <c r="I527" s="35" t="str">
        <f>IF(ISERROR(_xlfn.XLOOKUP(H527,'[1]SIG Level Structure'!D:D,'[1]SIG Level Structure'!D:D)),"0","1")</f>
        <v>1</v>
      </c>
      <c r="J527" s="36" t="str">
        <f>_xlfn.XLOOKUP($H527,'[1]SIG Level Structure'!$D:$D,'[1]SIG Level Structure'!F:F)</f>
        <v>S3</v>
      </c>
      <c r="K527" s="37" t="str">
        <f>E527&amp;"-"&amp;J527&amp;"-"&amp;G527</f>
        <v>CAM000-S3-11</v>
      </c>
      <c r="L527" s="37" t="str">
        <f>IFERROR(D527&amp;"-"&amp;LEFT(J527,1),"--")</f>
        <v>CAM-S</v>
      </c>
      <c r="M527" s="37" t="str">
        <f>VLOOKUP(L527,'[1]Compatible JC'!$A:$A,1,FALSE)</f>
        <v>CAM-S</v>
      </c>
      <c r="N527" s="37" t="str">
        <f>IFERROR(_xlfn.XLOOKUP(H527,'[1]SIG Level Structure'!D:D,'[1]SIG Level Structure'!C:C),"--")</f>
        <v>Sales Manager</v>
      </c>
      <c r="O527" s="38" t="str">
        <f>IFERROR(TRIM(N527&amp;" "&amp;C527),"--")</f>
        <v>Sales Manager Account Management</v>
      </c>
      <c r="P527" s="22" t="str">
        <f>_xlfn.XLOOKUP(E527,'[1]SIG Job Families &amp; Descriptions'!A:A,'[1]SIG Job Families &amp; Descriptions'!G:G)</f>
        <v>Builds and maintains effective long-term relationships and a high level of satisfaction with decision makers and influencers at an assigned group of customer accounts that may include major strategic customers within a geographic or portfolio focus. Identifies, develops and typically closes new sales opportunities. Creates demand for the organization's products and services by raising their profile with customers. Achieves revenue targets by increasing revenue spend per account.</v>
      </c>
      <c r="Q527" s="39" t="str">
        <f>_xlfn.XLOOKUP(E527,'[1]2022 GI Position Descriptions'!E:E,'[1]2022 GI Position Descriptions'!G:G)</f>
        <v>Builds and maintains effective long-term relationships and a high level of satisfaction with key senior-level decision makers and influencers at an assigned group of customer accounts that may include major strategic customers within a geographic or industry focus | Identifies, develops and typically closes new sales opportunities | Creates demand for the organization's products and services by raising their profile with customers | Achieves revenue targets by increasing revenue spend per account | May conduct regular status and strategy meetings with the customer's senior management to understand their needs and link them to the organization's product/service strategies | Responsibilities are within the Account/Relationship Management Function as a generalist or in a combination of Disciplines</v>
      </c>
      <c r="R527" s="22" t="str">
        <f>IF(LEFT(J527,1)="E","EX",LEFT(J527,1))</f>
        <v>S</v>
      </c>
      <c r="S527" s="22" t="str">
        <f>_xlfn.XLOOKUP($R527,'[1]Career Bands &amp; Levels'!A:A,'[1]Career Bands &amp; Levels'!C:C)</f>
        <v>● Primarily involved in direct contact with customers/clients to acquire new business or develop existing business or accounts
● Participates in sales presentations, developing bids, and responding to proposals 
● At senior levels, likely to set/negotiate product/service terms or contracts
● A significant portion of compensation is likely to be based on sales results</v>
      </c>
      <c r="T527" s="22" t="str">
        <f>J527</f>
        <v>S3</v>
      </c>
      <c r="U527" s="40" t="str">
        <f t="shared" si="17"/>
        <v>S3</v>
      </c>
      <c r="V527" s="22" t="str">
        <f>_xlfn.XLOOKUP(T527,'[1]Career Bands &amp; Levels'!A:A,'[1]Career Bands &amp; Levels'!C:C)</f>
        <v xml:space="preserve">●	Has a solid understanding of business, financials, products/services, the market and the needs of assigned accounts; may help develop colleagues' understanding; may be recognized as an expert in one area		
●	Works with complex or large territory/account, products/services, sales or account management processes; may serve as team lead		
●	Has authority/opportunity to set and negotiate product/service terms		
●	Plans own territory or account approach and manages own resources		
●	May represent the level at which career may stabilize for many years or even until retirement		</v>
      </c>
      <c r="W527" s="41" t="str">
        <f>J527&amp;"-"&amp;G527</f>
        <v>S3-11</v>
      </c>
      <c r="X527" s="42" t="str">
        <f>G527</f>
        <v>11</v>
      </c>
      <c r="Y527" s="22" t="str">
        <f>_xlfn.XLOOKUP(W527,'[1]Career Bands &amp; Levels'!A:A,'[1]Career Bands &amp; Levels'!C:C,"No Grade Differentiator")</f>
        <v xml:space="preserve">●	Manages a medium domestic territory		
●	Develops expertise in an aspect of business, financials, products/services, the market and the needs of assigned accounts		
●	Leads a small sales team on an ad hoc basis to meet specific client needs		
●	Occasionally leads the work of small team; provides informal guidance to junior staff		</v>
      </c>
      <c r="Z527" s="43" t="str">
        <f>IFERROR(O527&amp;" - "&amp;G527,"--")</f>
        <v>Sales Manager Account Management - 11</v>
      </c>
      <c r="AA527" s="44" t="str">
        <f>_xlfn.XLOOKUP($H527,'[1]SIG Qualifications Input'!$D:$D,'[1]SIG Qualifications Input'!$H:$H)</f>
        <v>University degree or equivalent and 4-8 years of work experience or equivalent, 
Initial experience in functionally leading (sub-) projects</v>
      </c>
    </row>
    <row r="528" spans="1:27" ht="239" thickBot="1" x14ac:dyDescent="0.2">
      <c r="A528" s="34" t="str">
        <f>_xlfn.XLOOKUP(C528,'[1]SIG Job Families &amp; Descriptions'!F:F,'[1]SIG Job Families &amp; Descriptions'!B:B)</f>
        <v>Sales</v>
      </c>
      <c r="B528" s="34" t="str">
        <f>_xlfn.XLOOKUP(C528,'[1]SIG Job Families &amp; Descriptions'!F:F,'[1]SIG Job Families &amp; Descriptions'!D:D)</f>
        <v>Account Management</v>
      </c>
      <c r="C528" s="34" t="s">
        <v>114</v>
      </c>
      <c r="D528" s="30" t="str">
        <f t="shared" si="16"/>
        <v>CAM</v>
      </c>
      <c r="E528" s="31" t="str">
        <f>_xlfn.XLOOKUP(C528,'[1]SIG Job Families &amp; Descriptions'!F:F,'[1]SIG Job Families &amp; Descriptions'!A:A)</f>
        <v>CAM000</v>
      </c>
      <c r="F528" s="32" t="s">
        <v>115</v>
      </c>
      <c r="G528" s="45" t="s">
        <v>36</v>
      </c>
      <c r="H528" s="34" t="str">
        <f>F528&amp;"-"&amp;G528</f>
        <v>Sales-10</v>
      </c>
      <c r="I528" s="35" t="str">
        <f>IF(ISERROR(_xlfn.XLOOKUP(H528,'[1]SIG Level Structure'!D:D,'[1]SIG Level Structure'!D:D)),"0","1")</f>
        <v>1</v>
      </c>
      <c r="J528" s="36" t="str">
        <f>_xlfn.XLOOKUP($H528,'[1]SIG Level Structure'!$D:$D,'[1]SIG Level Structure'!F:F)</f>
        <v>S2</v>
      </c>
      <c r="K528" s="37" t="str">
        <f>E528&amp;"-"&amp;J528&amp;"-"&amp;G528</f>
        <v>CAM000-S2-10</v>
      </c>
      <c r="L528" s="37" t="str">
        <f>IFERROR(D528&amp;"-"&amp;LEFT(J528,1),"--")</f>
        <v>CAM-S</v>
      </c>
      <c r="M528" s="37" t="str">
        <f>VLOOKUP(L528,'[1]Compatible JC'!$A:$A,1,FALSE)</f>
        <v>CAM-S</v>
      </c>
      <c r="N528" s="37" t="str">
        <f>IFERROR(_xlfn.XLOOKUP(H528,'[1]SIG Level Structure'!D:D,'[1]SIG Level Structure'!C:C),"--")</f>
        <v>Senior Sales Coordinator</v>
      </c>
      <c r="O528" s="38" t="str">
        <f>IFERROR(TRIM(N528&amp;" "&amp;C528),"--")</f>
        <v>Senior Sales Coordinator Account Management</v>
      </c>
      <c r="P528" s="22" t="str">
        <f>_xlfn.XLOOKUP(E528,'[1]SIG Job Families &amp; Descriptions'!A:A,'[1]SIG Job Families &amp; Descriptions'!G:G)</f>
        <v>Builds and maintains effective long-term relationships and a high level of satisfaction with decision makers and influencers at an assigned group of customer accounts that may include major strategic customers within a geographic or portfolio focus. Identifies, develops and typically closes new sales opportunities. Creates demand for the organization's products and services by raising their profile with customers. Achieves revenue targets by increasing revenue spend per account.</v>
      </c>
      <c r="Q528" s="39" t="str">
        <f>_xlfn.XLOOKUP(E528,'[1]2022 GI Position Descriptions'!E:E,'[1]2022 GI Position Descriptions'!G:G)</f>
        <v>Builds and maintains effective long-term relationships and a high level of satisfaction with key senior-level decision makers and influencers at an assigned group of customer accounts that may include major strategic customers within a geographic or industry focus | Identifies, develops and typically closes new sales opportunities | Creates demand for the organization's products and services by raising their profile with customers | Achieves revenue targets by increasing revenue spend per account | May conduct regular status and strategy meetings with the customer's senior management to understand their needs and link them to the organization's product/service strategies | Responsibilities are within the Account/Relationship Management Function as a generalist or in a combination of Disciplines</v>
      </c>
      <c r="R528" s="22" t="str">
        <f>IF(LEFT(J528,1)="E","EX",LEFT(J528,1))</f>
        <v>S</v>
      </c>
      <c r="S528" s="22" t="str">
        <f>_xlfn.XLOOKUP($R528,'[1]Career Bands &amp; Levels'!A:A,'[1]Career Bands &amp; Levels'!C:C)</f>
        <v>● Primarily involved in direct contact with customers/clients to acquire new business or develop existing business or accounts
● Participates in sales presentations, developing bids, and responding to proposals 
● At senior levels, likely to set/negotiate product/service terms or contracts
● A significant portion of compensation is likely to be based on sales results</v>
      </c>
      <c r="T528" s="22" t="str">
        <f>J528</f>
        <v>S2</v>
      </c>
      <c r="U528" s="40" t="str">
        <f t="shared" si="17"/>
        <v>S2</v>
      </c>
      <c r="V528" s="22" t="str">
        <f>_xlfn.XLOOKUP(T528,'[1]Career Bands &amp; Levels'!A:A,'[1]Career Bands &amp; Levels'!C:C)</f>
        <v xml:space="preserve">●	Continues to build knowledge of business, financials, products/services, the market or account needs		
●	Works with moderately complex territory/assigned accounts, products/services, sales or account management processes		
●	Has direct contact with clients and moderate authority/opportunity to set and negotiate product/service terms		
●	Is beginning to plan own territory or account approach and monitor resources		</v>
      </c>
      <c r="W528" s="41" t="str">
        <f>J528&amp;"-"&amp;G528</f>
        <v>S2-10</v>
      </c>
      <c r="X528" s="42" t="str">
        <f>G528</f>
        <v>10</v>
      </c>
      <c r="Y528" s="22" t="str">
        <f>_xlfn.XLOOKUP(W528,'[1]Career Bands &amp; Levels'!A:A,'[1]Career Bands &amp; Levels'!C:C,"No Grade Differentiator")</f>
        <v xml:space="preserve">●	Typically responsible for products/services or territories/accounts that have moderate complexity		
●	Works within plan dictated by manager		
●	Has direct contact with clients with moderate opportunity to negotiate		
●	May train new team members and provide input to employee performance evaluations		</v>
      </c>
      <c r="Z528" s="43" t="str">
        <f>IFERROR(O528&amp;" - "&amp;G528,"--")</f>
        <v>Senior Sales Coordinator Account Management - 10</v>
      </c>
      <c r="AA528" s="44" t="str">
        <f>_xlfn.XLOOKUP($H528,'[1]SIG Qualifications Input'!$D:$D,'[1]SIG Qualifications Input'!$H:$H)</f>
        <v>University degree or equivalent and 2-4 years of work experience or equivalent</v>
      </c>
    </row>
    <row r="529" spans="1:27" ht="239" thickBot="1" x14ac:dyDescent="0.2">
      <c r="A529" s="34" t="str">
        <f>_xlfn.XLOOKUP(C529,'[1]SIG Job Families &amp; Descriptions'!F:F,'[1]SIG Job Families &amp; Descriptions'!B:B)</f>
        <v>Sales</v>
      </c>
      <c r="B529" s="34" t="str">
        <f>_xlfn.XLOOKUP(C529,'[1]SIG Job Families &amp; Descriptions'!F:F,'[1]SIG Job Families &amp; Descriptions'!D:D)</f>
        <v>Account Management</v>
      </c>
      <c r="C529" s="34" t="s">
        <v>114</v>
      </c>
      <c r="D529" s="30" t="str">
        <f t="shared" si="16"/>
        <v>CAM</v>
      </c>
      <c r="E529" s="31" t="str">
        <f>_xlfn.XLOOKUP(C529,'[1]SIG Job Families &amp; Descriptions'!F:F,'[1]SIG Job Families &amp; Descriptions'!A:A)</f>
        <v>CAM000</v>
      </c>
      <c r="F529" s="32" t="s">
        <v>115</v>
      </c>
      <c r="G529" s="45" t="s">
        <v>37</v>
      </c>
      <c r="H529" s="34" t="str">
        <f>F529&amp;"-"&amp;G529</f>
        <v>Sales-09</v>
      </c>
      <c r="I529" s="35" t="str">
        <f>IF(ISERROR(_xlfn.XLOOKUP(H529,'[1]SIG Level Structure'!D:D,'[1]SIG Level Structure'!D:D)),"0","1")</f>
        <v>1</v>
      </c>
      <c r="J529" s="36" t="str">
        <f>_xlfn.XLOOKUP($H529,'[1]SIG Level Structure'!$D:$D,'[1]SIG Level Structure'!F:F)</f>
        <v>S2</v>
      </c>
      <c r="K529" s="37" t="str">
        <f>E529&amp;"-"&amp;J529&amp;"-"&amp;G529</f>
        <v>CAM000-S2-09</v>
      </c>
      <c r="L529" s="37" t="str">
        <f>IFERROR(D529&amp;"-"&amp;LEFT(J529,1),"--")</f>
        <v>CAM-S</v>
      </c>
      <c r="M529" s="37" t="str">
        <f>VLOOKUP(L529,'[1]Compatible JC'!$A:$A,1,FALSE)</f>
        <v>CAM-S</v>
      </c>
      <c r="N529" s="37" t="str">
        <f>IFERROR(_xlfn.XLOOKUP(H529,'[1]SIG Level Structure'!D:D,'[1]SIG Level Structure'!C:C),"--")</f>
        <v>Senior Sales Coordinator</v>
      </c>
      <c r="O529" s="38" t="str">
        <f>IFERROR(TRIM(N529&amp;" "&amp;C529),"--")</f>
        <v>Senior Sales Coordinator Account Management</v>
      </c>
      <c r="P529" s="22" t="str">
        <f>_xlfn.XLOOKUP(E529,'[1]SIG Job Families &amp; Descriptions'!A:A,'[1]SIG Job Families &amp; Descriptions'!G:G)</f>
        <v>Builds and maintains effective long-term relationships and a high level of satisfaction with decision makers and influencers at an assigned group of customer accounts that may include major strategic customers within a geographic or portfolio focus. Identifies, develops and typically closes new sales opportunities. Creates demand for the organization's products and services by raising their profile with customers. Achieves revenue targets by increasing revenue spend per account.</v>
      </c>
      <c r="Q529" s="39" t="str">
        <f>_xlfn.XLOOKUP(E529,'[1]2022 GI Position Descriptions'!E:E,'[1]2022 GI Position Descriptions'!G:G)</f>
        <v>Builds and maintains effective long-term relationships and a high level of satisfaction with key senior-level decision makers and influencers at an assigned group of customer accounts that may include major strategic customers within a geographic or industry focus | Identifies, develops and typically closes new sales opportunities | Creates demand for the organization's products and services by raising their profile with customers | Achieves revenue targets by increasing revenue spend per account | May conduct regular status and strategy meetings with the customer's senior management to understand their needs and link them to the organization's product/service strategies | Responsibilities are within the Account/Relationship Management Function as a generalist or in a combination of Disciplines</v>
      </c>
      <c r="R529" s="22" t="str">
        <f>IF(LEFT(J529,1)="E","EX",LEFT(J529,1))</f>
        <v>S</v>
      </c>
      <c r="S529" s="22" t="str">
        <f>_xlfn.XLOOKUP($R529,'[1]Career Bands &amp; Levels'!A:A,'[1]Career Bands &amp; Levels'!C:C)</f>
        <v>● Primarily involved in direct contact with customers/clients to acquire new business or develop existing business or accounts
● Participates in sales presentations, developing bids, and responding to proposals 
● At senior levels, likely to set/negotiate product/service terms or contracts
● A significant portion of compensation is likely to be based on sales results</v>
      </c>
      <c r="T529" s="22" t="str">
        <f>J529</f>
        <v>S2</v>
      </c>
      <c r="U529" s="40" t="str">
        <f t="shared" si="17"/>
        <v>S2</v>
      </c>
      <c r="V529" s="22" t="str">
        <f>_xlfn.XLOOKUP(T529,'[1]Career Bands &amp; Levels'!A:A,'[1]Career Bands &amp; Levels'!C:C)</f>
        <v xml:space="preserve">●	Continues to build knowledge of business, financials, products/services, the market or account needs		
●	Works with moderately complex territory/assigned accounts, products/services, sales or account management processes		
●	Has direct contact with clients and moderate authority/opportunity to set and negotiate product/service terms		
●	Is beginning to plan own territory or account approach and monitor resources		</v>
      </c>
      <c r="W529" s="41" t="str">
        <f>J529&amp;"-"&amp;G529</f>
        <v>S2-09</v>
      </c>
      <c r="X529" s="42" t="str">
        <f>G529</f>
        <v>09</v>
      </c>
      <c r="Y529" s="22" t="str">
        <f>_xlfn.XLOOKUP(W529,'[1]Career Bands &amp; Levels'!A:A,'[1]Career Bands &amp; Levels'!C:C,"No Grade Differentiator")</f>
        <v xml:space="preserve">●	Has structured direct contact with clients and limited authority for negotiation		
●	Has general knowledge of assigned products and services		
●	Develops competence by performing structured work assignments		</v>
      </c>
      <c r="Z529" s="43" t="str">
        <f>IFERROR(O529&amp;" - "&amp;G529,"--")</f>
        <v>Senior Sales Coordinator Account Management - 09</v>
      </c>
      <c r="AA529" s="44" t="str">
        <f>_xlfn.XLOOKUP($H529,'[1]SIG Qualifications Input'!$D:$D,'[1]SIG Qualifications Input'!$H:$H)</f>
        <v>University degree or equivalent and 2-4 years of work experience or equivalent</v>
      </c>
    </row>
    <row r="530" spans="1:27" ht="169" thickBot="1" x14ac:dyDescent="0.2">
      <c r="A530" s="34" t="str">
        <f>_xlfn.XLOOKUP(C530,'[1]SIG Job Families &amp; Descriptions'!F:F,'[1]SIG Job Families &amp; Descriptions'!B:B)</f>
        <v>Sales</v>
      </c>
      <c r="B530" s="34" t="str">
        <f>_xlfn.XLOOKUP(C530,'[1]SIG Job Families &amp; Descriptions'!F:F,'[1]SIG Job Families &amp; Descriptions'!D:D)</f>
        <v>Sales Administration &amp; Coordination</v>
      </c>
      <c r="C530" s="34" t="s">
        <v>116</v>
      </c>
      <c r="D530" s="30" t="str">
        <f t="shared" si="16"/>
        <v>CUS</v>
      </c>
      <c r="E530" s="31" t="str">
        <f>_xlfn.XLOOKUP(C530,'[1]SIG Job Families &amp; Descriptions'!F:F,'[1]SIG Job Families &amp; Descriptions'!A:A)</f>
        <v>CUS000</v>
      </c>
      <c r="F530" s="32" t="s">
        <v>32</v>
      </c>
      <c r="G530" s="45" t="s">
        <v>36</v>
      </c>
      <c r="H530" s="34" t="str">
        <f>F530&amp;"-"&amp;G530</f>
        <v>Professional-10</v>
      </c>
      <c r="I530" s="35" t="str">
        <f>IF(ISERROR(_xlfn.XLOOKUP(H530,'[1]SIG Level Structure'!D:D,'[1]SIG Level Structure'!D:D)),"0","1")</f>
        <v>1</v>
      </c>
      <c r="J530" s="36" t="str">
        <f>_xlfn.XLOOKUP($H530,'[1]SIG Level Structure'!$D:$D,'[1]SIG Level Structure'!F:F)</f>
        <v>P2</v>
      </c>
      <c r="K530" s="37" t="str">
        <f>E530&amp;"-"&amp;J530&amp;"-"&amp;G530</f>
        <v>CUS000-P2-10</v>
      </c>
      <c r="L530" s="37" t="str">
        <f>IFERROR(D530&amp;"-"&amp;LEFT(J530,1),"--")</f>
        <v>CUS-P</v>
      </c>
      <c r="M530" s="37" t="str">
        <f>VLOOKUP(L530,'[1]Compatible JC'!$A:$A,1,FALSE)</f>
        <v>CUS-P</v>
      </c>
      <c r="N530" s="37" t="str">
        <f>IFERROR(_xlfn.XLOOKUP(H530,'[1]SIG Level Structure'!D:D,'[1]SIG Level Structure'!C:C),"--")</f>
        <v>Senior Specialist</v>
      </c>
      <c r="O530" s="38" t="str">
        <f>IFERROR(TRIM(N530&amp;" "&amp;C530),"--")</f>
        <v>Senior Specialist Sales Administration &amp; Coordination</v>
      </c>
      <c r="P530" s="22" t="str">
        <f>_xlfn.XLOOKUP(E530,'[1]SIG Job Families &amp; Descriptions'!A:A,'[1]SIG Job Families &amp; Descriptions'!G:G)</f>
        <v>Supports sales representatives and channel partners in administrative areas such as order processing, customer quotes, sales information management, product training and financing. Also includes internal/remote sales functions.</v>
      </c>
      <c r="Q530" s="39" t="str">
        <f>_xlfn.XLOOKUP(E530,'[1]2022 GI Position Descriptions'!E:E,'[1]2022 GI Position Descriptions'!G:G)</f>
        <v>Supports sales representatives and channel partners in administrative areas such as order processing, customer quotes, sales information management, product training and financing | Responsibilities are within the Sales Support and Administration Function as a generalist or in a combination of Disciplines</v>
      </c>
      <c r="R530" s="22" t="str">
        <f>IF(LEFT(J530,1)="E","EX",LEFT(J530,1))</f>
        <v>P</v>
      </c>
      <c r="S530" s="22" t="str">
        <f>_xlfn.XLOOKUP($R530,'[1]Career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30" s="22" t="str">
        <f>J530</f>
        <v>P2</v>
      </c>
      <c r="U530" s="40" t="str">
        <f t="shared" si="17"/>
        <v>P2</v>
      </c>
      <c r="V530" s="22" t="str">
        <f>_xlfn.XLOOKUP(T530,'[1]Career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530" s="41" t="str">
        <f>J530&amp;"-"&amp;G530</f>
        <v>P2-10</v>
      </c>
      <c r="X530" s="42" t="str">
        <f>G530</f>
        <v>10</v>
      </c>
      <c r="Y530" s="22" t="str">
        <f>_xlfn.XLOOKUP(W530,'[1]Career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530" s="43" t="str">
        <f>IFERROR(O530&amp;" - "&amp;G530,"--")</f>
        <v>Senior Specialist Sales Administration &amp; Coordination - 10</v>
      </c>
      <c r="AA530" s="44" t="str">
        <f>_xlfn.XLOOKUP($H530,'[1]SIG Qualifications Input'!$D:$D,'[1]SIG Qualifications Input'!$H:$H)</f>
        <v>University degree or equivalent and 2-4 years of work experience or equivalent</v>
      </c>
    </row>
    <row r="531" spans="1:27" ht="169" thickBot="1" x14ac:dyDescent="0.2">
      <c r="A531" s="34" t="str">
        <f>_xlfn.XLOOKUP(C531,'[1]SIG Job Families &amp; Descriptions'!F:F,'[1]SIG Job Families &amp; Descriptions'!B:B)</f>
        <v>Sales</v>
      </c>
      <c r="B531" s="34" t="str">
        <f>_xlfn.XLOOKUP(C531,'[1]SIG Job Families &amp; Descriptions'!F:F,'[1]SIG Job Families &amp; Descriptions'!D:D)</f>
        <v>Sales Administration &amp; Coordination</v>
      </c>
      <c r="C531" s="34" t="s">
        <v>116</v>
      </c>
      <c r="D531" s="30" t="str">
        <f t="shared" si="16"/>
        <v>CUS</v>
      </c>
      <c r="E531" s="31" t="str">
        <f>_xlfn.XLOOKUP(C531,'[1]SIG Job Families &amp; Descriptions'!F:F,'[1]SIG Job Families &amp; Descriptions'!A:A)</f>
        <v>CUS000</v>
      </c>
      <c r="F531" s="32" t="s">
        <v>32</v>
      </c>
      <c r="G531" s="45" t="s">
        <v>37</v>
      </c>
      <c r="H531" s="34" t="str">
        <f>F531&amp;"-"&amp;G531</f>
        <v>Professional-09</v>
      </c>
      <c r="I531" s="35" t="str">
        <f>IF(ISERROR(_xlfn.XLOOKUP(H531,'[1]SIG Level Structure'!D:D,'[1]SIG Level Structure'!D:D)),"0","1")</f>
        <v>1</v>
      </c>
      <c r="J531" s="36" t="str">
        <f>_xlfn.XLOOKUP($H531,'[1]SIG Level Structure'!$D:$D,'[1]SIG Level Structure'!F:F)</f>
        <v>P2</v>
      </c>
      <c r="K531" s="37" t="str">
        <f>E531&amp;"-"&amp;J531&amp;"-"&amp;G531</f>
        <v>CUS000-P2-09</v>
      </c>
      <c r="L531" s="37" t="str">
        <f>IFERROR(D531&amp;"-"&amp;LEFT(J531,1),"--")</f>
        <v>CUS-P</v>
      </c>
      <c r="M531" s="37" t="str">
        <f>VLOOKUP(L531,'[1]Compatible JC'!$A:$A,1,FALSE)</f>
        <v>CUS-P</v>
      </c>
      <c r="N531" s="37" t="str">
        <f>IFERROR(_xlfn.XLOOKUP(H531,'[1]SIG Level Structure'!D:D,'[1]SIG Level Structure'!C:C),"--")</f>
        <v>Senior Specialist</v>
      </c>
      <c r="O531" s="38" t="str">
        <f>IFERROR(TRIM(N531&amp;" "&amp;C531),"--")</f>
        <v>Senior Specialist Sales Administration &amp; Coordination</v>
      </c>
      <c r="P531" s="22" t="str">
        <f>_xlfn.XLOOKUP(E531,'[1]SIG Job Families &amp; Descriptions'!A:A,'[1]SIG Job Families &amp; Descriptions'!G:G)</f>
        <v>Supports sales representatives and channel partners in administrative areas such as order processing, customer quotes, sales information management, product training and financing. Also includes internal/remote sales functions.</v>
      </c>
      <c r="Q531" s="39" t="str">
        <f>_xlfn.XLOOKUP(E531,'[1]2022 GI Position Descriptions'!E:E,'[1]2022 GI Position Descriptions'!G:G)</f>
        <v>Supports sales representatives and channel partners in administrative areas such as order processing, customer quotes, sales information management, product training and financing | Responsibilities are within the Sales Support and Administration Function as a generalist or in a combination of Disciplines</v>
      </c>
      <c r="R531" s="22" t="str">
        <f>IF(LEFT(J531,1)="E","EX",LEFT(J531,1))</f>
        <v>P</v>
      </c>
      <c r="S531" s="22" t="str">
        <f>_xlfn.XLOOKUP($R531,'[1]Career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31" s="22" t="str">
        <f>J531</f>
        <v>P2</v>
      </c>
      <c r="U531" s="40" t="str">
        <f t="shared" si="17"/>
        <v>P2</v>
      </c>
      <c r="V531" s="22" t="str">
        <f>_xlfn.XLOOKUP(T531,'[1]Career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531" s="41" t="str">
        <f>J531&amp;"-"&amp;G531</f>
        <v>P2-09</v>
      </c>
      <c r="X531" s="42" t="str">
        <f>G531</f>
        <v>09</v>
      </c>
      <c r="Y531" s="22" t="str">
        <f>_xlfn.XLOOKUP(W531,'[1]Career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531" s="43" t="str">
        <f>IFERROR(O531&amp;" - "&amp;G531,"--")</f>
        <v>Senior Specialist Sales Administration &amp; Coordination - 09</v>
      </c>
      <c r="AA531" s="44" t="str">
        <f>_xlfn.XLOOKUP($H531,'[1]SIG Qualifications Input'!$D:$D,'[1]SIG Qualifications Input'!$H:$H)</f>
        <v>University degree or equivalent and 2-4 years of work experience or equivalent</v>
      </c>
    </row>
    <row r="532" spans="1:27" ht="169" thickBot="1" x14ac:dyDescent="0.2">
      <c r="A532" s="34" t="str">
        <f>_xlfn.XLOOKUP(C532,'[1]SIG Job Families &amp; Descriptions'!F:F,'[1]SIG Job Families &amp; Descriptions'!B:B)</f>
        <v>Sales</v>
      </c>
      <c r="B532" s="34" t="str">
        <f>_xlfn.XLOOKUP(C532,'[1]SIG Job Families &amp; Descriptions'!F:F,'[1]SIG Job Families &amp; Descriptions'!D:D)</f>
        <v>Sales Administration &amp; Coordination</v>
      </c>
      <c r="C532" s="34" t="s">
        <v>116</v>
      </c>
      <c r="D532" s="30" t="str">
        <f t="shared" si="16"/>
        <v>CUS</v>
      </c>
      <c r="E532" s="31" t="str">
        <f>_xlfn.XLOOKUP(C532,'[1]SIG Job Families &amp; Descriptions'!F:F,'[1]SIG Job Families &amp; Descriptions'!A:A)</f>
        <v>CUS000</v>
      </c>
      <c r="F532" s="32" t="s">
        <v>32</v>
      </c>
      <c r="G532" s="45" t="s">
        <v>43</v>
      </c>
      <c r="H532" s="34" t="str">
        <f>F532&amp;"-"&amp;G532</f>
        <v>Professional-08</v>
      </c>
      <c r="I532" s="35" t="str">
        <f>IF(ISERROR(_xlfn.XLOOKUP(H532,'[1]SIG Level Structure'!D:D,'[1]SIG Level Structure'!D:D)),"0","1")</f>
        <v>1</v>
      </c>
      <c r="J532" s="36" t="str">
        <f>_xlfn.XLOOKUP($H532,'[1]SIG Level Structure'!$D:$D,'[1]SIG Level Structure'!F:F)</f>
        <v>P1</v>
      </c>
      <c r="K532" s="37" t="str">
        <f>E532&amp;"-"&amp;J532&amp;"-"&amp;G532</f>
        <v>CUS000-P1-08</v>
      </c>
      <c r="L532" s="37" t="str">
        <f>IFERROR(D532&amp;"-"&amp;LEFT(J532,1),"--")</f>
        <v>CUS-P</v>
      </c>
      <c r="M532" s="37" t="str">
        <f>VLOOKUP(L532,'[1]Compatible JC'!$A:$A,1,FALSE)</f>
        <v>CUS-P</v>
      </c>
      <c r="N532" s="37" t="str">
        <f>IFERROR(_xlfn.XLOOKUP(H532,'[1]SIG Level Structure'!D:D,'[1]SIG Level Structure'!C:C),"--")</f>
        <v>Specialist</v>
      </c>
      <c r="O532" s="38" t="str">
        <f>IFERROR(TRIM(N532&amp;" "&amp;C532),"--")</f>
        <v>Specialist Sales Administration &amp; Coordination</v>
      </c>
      <c r="P532" s="22" t="str">
        <f>_xlfn.XLOOKUP(E532,'[1]SIG Job Families &amp; Descriptions'!A:A,'[1]SIG Job Families &amp; Descriptions'!G:G)</f>
        <v>Supports sales representatives and channel partners in administrative areas such as order processing, customer quotes, sales information management, product training and financing. Also includes internal/remote sales functions.</v>
      </c>
      <c r="Q532" s="39" t="str">
        <f>_xlfn.XLOOKUP(E532,'[1]2022 GI Position Descriptions'!E:E,'[1]2022 GI Position Descriptions'!G:G)</f>
        <v>Supports sales representatives and channel partners in administrative areas such as order processing, customer quotes, sales information management, product training and financing | Responsibilities are within the Sales Support and Administration Function as a generalist or in a combination of Disciplines</v>
      </c>
      <c r="R532" s="22" t="str">
        <f>IF(LEFT(J532,1)="E","EX",LEFT(J532,1))</f>
        <v>P</v>
      </c>
      <c r="S532" s="22" t="str">
        <f>_xlfn.XLOOKUP($R532,'[1]Career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32" s="22" t="str">
        <f>J532</f>
        <v>P1</v>
      </c>
      <c r="U532" s="40" t="str">
        <f t="shared" si="17"/>
        <v>P1</v>
      </c>
      <c r="V532" s="22" t="str">
        <f>_xlfn.XLOOKUP(T532,'[1]Career Bands &amp; Levels'!A:A,'[1]Career Bands &amp; Levels'!C:C)</f>
        <v xml:space="preserve">●	Performs routine assignments in the entry level of the Professional Career Band		
●	Typically requires a college or university degree or the equivalent work experience and has conceptual knowledge of fundamental theories, principles and practices 		
●	Has no discretion to vary from established procedures by performing structured work assignments		
●	Uses existing procedures to solve routine or standard problems		
●	Receives instruction, guidance and direction from more senior level roles		</v>
      </c>
      <c r="W532" s="41" t="str">
        <f>J532&amp;"-"&amp;G532</f>
        <v>P1-08</v>
      </c>
      <c r="X532" s="42" t="str">
        <f>G532</f>
        <v>08</v>
      </c>
      <c r="Y532" s="22" t="str">
        <f>_xlfn.XLOOKUP(W532,'[1]Career Bands &amp; Levels'!A:A,'[1]Career Bands &amp; Levels'!C:C,"No Grade Differentiator")</f>
        <v>No Grade Differentiator</v>
      </c>
      <c r="Z532" s="43" t="str">
        <f>IFERROR(O532&amp;" - "&amp;G532,"--")</f>
        <v>Specialist Sales Administration &amp; Coordination - 08</v>
      </c>
      <c r="AA532" s="44" t="str">
        <f>_xlfn.XLOOKUP($H532,'[1]SIG Qualifications Input'!$D:$D,'[1]SIG Qualifications Input'!$H:$H)</f>
        <v>University degree or equivalent and 0-1 year of work experience or equivalent</v>
      </c>
    </row>
    <row r="533" spans="1:27" ht="239" thickBot="1" x14ac:dyDescent="0.2">
      <c r="A533" s="34" t="str">
        <f>_xlfn.XLOOKUP(C533,'[1]SIG Job Families &amp; Descriptions'!F:F,'[1]SIG Job Families &amp; Descriptions'!B:B)</f>
        <v>Sales</v>
      </c>
      <c r="B533" s="34" t="str">
        <f>_xlfn.XLOOKUP(C533,'[1]SIG Job Families &amp; Descriptions'!F:F,'[1]SIG Job Families &amp; Descriptions'!D:D)</f>
        <v>Account Management</v>
      </c>
      <c r="C533" s="34" t="s">
        <v>114</v>
      </c>
      <c r="D533" s="30" t="str">
        <f t="shared" si="16"/>
        <v>CAM</v>
      </c>
      <c r="E533" s="31" t="str">
        <f>_xlfn.XLOOKUP(C533,'[1]SIG Job Families &amp; Descriptions'!F:F,'[1]SIG Job Families &amp; Descriptions'!A:A)</f>
        <v>CAM000</v>
      </c>
      <c r="F533" s="32" t="s">
        <v>115</v>
      </c>
      <c r="G533" s="33" t="s">
        <v>40</v>
      </c>
      <c r="H533" s="34" t="str">
        <f>F533&amp;"-"&amp;G533</f>
        <v>Sales-16</v>
      </c>
      <c r="I533" s="35" t="str">
        <f>IF(ISERROR(_xlfn.XLOOKUP(H533,'[1]SIG Level Structure'!D:D,'[1]SIG Level Structure'!D:D)),"0","1")</f>
        <v>1</v>
      </c>
      <c r="J533" s="36" t="str">
        <f>_xlfn.XLOOKUP($H533,'[1]SIG Level Structure'!$D:$D,'[1]SIG Level Structure'!F:F)</f>
        <v>S6</v>
      </c>
      <c r="K533" s="37" t="str">
        <f>E533&amp;"-"&amp;J533&amp;"-"&amp;G533</f>
        <v>CAM000-S6-16</v>
      </c>
      <c r="L533" s="37" t="str">
        <f>IFERROR(D533&amp;"-"&amp;LEFT(J533,1),"--")</f>
        <v>CAM-S</v>
      </c>
      <c r="M533" s="37" t="str">
        <f>VLOOKUP(L533,'[1]Compatible JC'!$A:$A,1,FALSE)</f>
        <v>CAM-S</v>
      </c>
      <c r="N533" s="37" t="str">
        <f>IFERROR(_xlfn.XLOOKUP(H533,'[1]SIG Level Structure'!D:D,'[1]SIG Level Structure'!C:C),"--")</f>
        <v>Lead Sales Manager</v>
      </c>
      <c r="O533" s="38" t="str">
        <f>IFERROR(TRIM(N533&amp;" "&amp;C533),"--")</f>
        <v>Lead Sales Manager Account Management</v>
      </c>
      <c r="P533" s="22" t="str">
        <f>_xlfn.XLOOKUP(E533,'[1]SIG Job Families &amp; Descriptions'!A:A,'[1]SIG Job Families &amp; Descriptions'!G:G)</f>
        <v>Builds and maintains effective long-term relationships and a high level of satisfaction with decision makers and influencers at an assigned group of customer accounts that may include major strategic customers within a geographic or portfolio focus. Identifies, develops and typically closes new sales opportunities. Creates demand for the organization's products and services by raising their profile with customers. Achieves revenue targets by increasing revenue spend per account.</v>
      </c>
      <c r="Q533" s="39" t="str">
        <f>_xlfn.XLOOKUP(E533,'[1]2022 GI Position Descriptions'!E:E,'[1]2022 GI Position Descriptions'!G:G)</f>
        <v>Builds and maintains effective long-term relationships and a high level of satisfaction with key senior-level decision makers and influencers at an assigned group of customer accounts that may include major strategic customers within a geographic or industry focus | Identifies, develops and typically closes new sales opportunities | Creates demand for the organization's products and services by raising their profile with customers | Achieves revenue targets by increasing revenue spend per account | May conduct regular status and strategy meetings with the customer's senior management to understand their needs and link them to the organization's product/service strategies | Responsibilities are within the Account/Relationship Management Function as a generalist or in a combination of Disciplines</v>
      </c>
      <c r="R533" s="22" t="str">
        <f>IF(LEFT(J533,1)="E","EX",LEFT(J533,1))</f>
        <v>S</v>
      </c>
      <c r="S533" s="22" t="str">
        <f>_xlfn.XLOOKUP($R533,'[1]Career Bands &amp; Levels'!A:A,'[1]Career Bands &amp; Levels'!C:C)</f>
        <v>● Primarily involved in direct contact with customers/clients to acquire new business or develop existing business or accounts
● Participates in sales presentations, developing bids, and responding to proposals 
● At senior levels, likely to set/negotiate product/service terms or contracts
● A significant portion of compensation is likely to be based on sales results</v>
      </c>
      <c r="T533" s="22" t="str">
        <f>J533</f>
        <v>S6</v>
      </c>
      <c r="U533" s="40" t="str">
        <f t="shared" si="17"/>
        <v>S6</v>
      </c>
      <c r="V533" s="22" t="str">
        <f>_xlfn.XLOOKUP(T533,'[1]Career Bands &amp; Levels'!A:A,'[1]Career Bands &amp; Levels'!C:C)</f>
        <v xml:space="preserve">●	Is recognized externally as a leading sales strategist and business expert, with a highly sophisticated understanding of customer needs and competitors' offerings		
●	Is recognized internally as a role model and leader in planning and executing successful sales strategies for the organization's largest and most complex clients or markets		
●	Develops and implements new and innovative approaches to the sales process, including negotiation of sales and service terms, and approaches to account management and resources utilization		
●	Leads projects or initiatives that extend beyond the sales organization		
●	Progression to this level is typically restricted on the basis of individual capabilities and business requirements		</v>
      </c>
      <c r="W533" s="41" t="str">
        <f>J533&amp;"-"&amp;G533</f>
        <v>S6-16</v>
      </c>
      <c r="X533" s="42" t="str">
        <f>G533</f>
        <v>16</v>
      </c>
      <c r="Y533" s="22" t="str">
        <f>_xlfn.XLOOKUP(W533,'[1]Career Bands &amp; Levels'!A:A,'[1]Career Bands &amp; Levels'!C:C,"No Grade Differentiator")</f>
        <v xml:space="preserve">●	Typically found in Global Grade 18 or higher organization		
●	Manages large, complex or international accounts in a medium to large organization		
●	Is recognized as a major sales producer in an international business		</v>
      </c>
      <c r="Z533" s="43" t="str">
        <f>IFERROR(O533&amp;" - "&amp;G533,"--")</f>
        <v>Lead Sales Manager Account Management - 16</v>
      </c>
      <c r="AA533" s="44" t="str">
        <f>_xlfn.XLOOKUP($H533,'[1]SIG Qualifications Input'!$D:$D,'[1]SIG Qualifications Input'!$H:$H)</f>
        <v>University degree or equivalent and 10+ years of work experience or equivalent, 
Very experienced in functionally leading cross-functional projects</v>
      </c>
    </row>
    <row r="534" spans="1:27" ht="99" thickBot="1" x14ac:dyDescent="0.2">
      <c r="A534" s="34" t="str">
        <f>_xlfn.XLOOKUP(C534,'[1]SIG Job Families &amp; Descriptions'!F:F,'[1]SIG Job Families &amp; Descriptions'!B:B)</f>
        <v>Sales</v>
      </c>
      <c r="B534" s="34" t="str">
        <f>_xlfn.XLOOKUP(C534,'[1]SIG Job Families &amp; Descriptions'!F:F,'[1]SIG Job Families &amp; Descriptions'!D:D)</f>
        <v>Sales Administration &amp; Coordination</v>
      </c>
      <c r="C534" s="34" t="s">
        <v>116</v>
      </c>
      <c r="D534" s="30" t="str">
        <f t="shared" si="16"/>
        <v>CUS</v>
      </c>
      <c r="E534" s="31" t="str">
        <f>_xlfn.XLOOKUP(C534,'[1]SIG Job Families &amp; Descriptions'!F:F,'[1]SIG Job Families &amp; Descriptions'!A:A)</f>
        <v>CUS000</v>
      </c>
      <c r="F534" s="32" t="s">
        <v>32</v>
      </c>
      <c r="G534" s="33" t="s">
        <v>54</v>
      </c>
      <c r="H534" s="34" t="str">
        <f>F534&amp;"-"&amp;G534</f>
        <v>Professional-05</v>
      </c>
      <c r="I534" s="35" t="str">
        <f>IF(ISERROR(_xlfn.XLOOKUP(H534,'[1]SIG Level Structure'!D:D,'[1]SIG Level Structure'!D:D)),"0","1")</f>
        <v>1</v>
      </c>
      <c r="J534" s="36" t="str">
        <f>_xlfn.XLOOKUP($H534,'[1]SIG Level Structure'!$D:$D,'[1]SIG Level Structure'!F:F)</f>
        <v>U2</v>
      </c>
      <c r="K534" s="37" t="str">
        <f>E534&amp;"-"&amp;J534&amp;"-"&amp;G534</f>
        <v>CUS000-U2-05</v>
      </c>
      <c r="L534" s="37" t="str">
        <f>IFERROR(D534&amp;"-"&amp;LEFT(J534,1),"--")</f>
        <v>CUS-U</v>
      </c>
      <c r="M534" s="37" t="str">
        <f>VLOOKUP(L534,'[1]Compatible JC'!$A:$A,1,FALSE)</f>
        <v>CUS-U</v>
      </c>
      <c r="N534" s="37" t="str">
        <f>IFERROR(_xlfn.XLOOKUP(H534,'[1]SIG Level Structure'!D:D,'[1]SIG Level Structure'!C:C),"--")</f>
        <v>Assistant / Analyst</v>
      </c>
      <c r="O534" s="38" t="str">
        <f>IFERROR(TRIM(N534&amp;" "&amp;C534),"--")</f>
        <v>Assistant / Analyst Sales Administration &amp; Coordination</v>
      </c>
      <c r="P534" s="22" t="str">
        <f>_xlfn.XLOOKUP(E534,'[1]SIG Job Families &amp; Descriptions'!A:A,'[1]SIG Job Families &amp; Descriptions'!G:G)</f>
        <v>Supports sales representatives and channel partners in administrative areas such as order processing, customer quotes, sales information management, product training and financing. Also includes internal/remote sales functions.</v>
      </c>
      <c r="Q534" s="39" t="str">
        <f>_xlfn.XLOOKUP(E534,'[1]2022 GI Position Descriptions'!E:E,'[1]2022 GI Position Descriptions'!G:G)</f>
        <v>Supports sales representatives and channel partners in administrative areas such as order processing, customer quotes, sales information management, product training and financing | Responsibilities are within the Sales Support and Administration Function as a generalist or in a combination of Disciplines</v>
      </c>
      <c r="R534" s="22" t="str">
        <f>IF(LEFT(J534,1)="E","EX",LEFT(J534,1))</f>
        <v>U</v>
      </c>
      <c r="S534" s="22" t="str">
        <f>_xlfn.XLOOKUP($R534,'[1]Career Bands &amp; Levels'!A:A,'[1]Career Bands &amp; Levels'!C:C)</f>
        <v>● Performs clerical/administrative or specialized support tasks in an office, field or retail store/site setting
● May require vocational training or the equivalent experience, but does not require a university degree</v>
      </c>
      <c r="T534" s="22" t="str">
        <f>J534</f>
        <v>U2</v>
      </c>
      <c r="U534" s="40" t="str">
        <f t="shared" si="17"/>
        <v>U2</v>
      </c>
      <c r="V534" s="22" t="str">
        <f>_xlfn.XLOOKUP(T534,'[1]Career Bands &amp; Levels'!A:A,'[1]Career Bands &amp; Levels'!C:C)</f>
        <v xml:space="preserve">●	Has working knowledge and skills developed through formal training or work experience		
●	Works within established procedures with a moderate degree of supervision		
●	Identifies the problem and all relevant issues in straightforward situations, assesses each using standard procedures and makes sound decisions		</v>
      </c>
      <c r="W534" s="41" t="str">
        <f>J534&amp;"-"&amp;G534</f>
        <v>U2-05</v>
      </c>
      <c r="X534" s="42" t="str">
        <f>G534</f>
        <v>05</v>
      </c>
      <c r="Y534" s="22" t="str">
        <f>_xlfn.XLOOKUP(W534,'[1]Career Bands &amp; Levels'!A:A,'[1]Career Bands &amp; Levels'!C:C,"No Grade Differentiator")</f>
        <v xml:space="preserve">●	Has limited prior relevant training or work experience		
●	Has limited discretion to vary from established procedures		</v>
      </c>
      <c r="Z534" s="43" t="str">
        <f>IFERROR(O534&amp;" - "&amp;G534,"--")</f>
        <v>Assistant / Analyst Sales Administration &amp; Coordination - 05</v>
      </c>
      <c r="AA534" s="44" t="str">
        <f>_xlfn.XLOOKUP($H534,'[1]SIG Qualifications Input'!$D:$D,'[1]SIG Qualifications Input'!$H:$H)</f>
        <v>Vocational training in e.g. commercial field or equivalent work experience. Up to 5 years of experience, possibly further internal trainings.</v>
      </c>
    </row>
    <row r="535" spans="1:27" ht="99" thickBot="1" x14ac:dyDescent="0.2">
      <c r="A535" s="34" t="str">
        <f>_xlfn.XLOOKUP(C535,'[1]SIG Job Families &amp; Descriptions'!F:F,'[1]SIG Job Families &amp; Descriptions'!B:B)</f>
        <v>Sales</v>
      </c>
      <c r="B535" s="34" t="str">
        <f>_xlfn.XLOOKUP(C535,'[1]SIG Job Families &amp; Descriptions'!F:F,'[1]SIG Job Families &amp; Descriptions'!D:D)</f>
        <v>Sales Administration &amp; Coordination</v>
      </c>
      <c r="C535" s="34" t="s">
        <v>116</v>
      </c>
      <c r="D535" s="30" t="str">
        <f t="shared" si="16"/>
        <v>CUS</v>
      </c>
      <c r="E535" s="31" t="str">
        <f>_xlfn.XLOOKUP(C535,'[1]SIG Job Families &amp; Descriptions'!F:F,'[1]SIG Job Families &amp; Descriptions'!A:A)</f>
        <v>CUS000</v>
      </c>
      <c r="F535" s="32" t="s">
        <v>32</v>
      </c>
      <c r="G535" s="33" t="s">
        <v>53</v>
      </c>
      <c r="H535" s="34" t="str">
        <f>F535&amp;"-"&amp;G535</f>
        <v>Professional-06</v>
      </c>
      <c r="I535" s="35" t="str">
        <f>IF(ISERROR(_xlfn.XLOOKUP(H535,'[1]SIG Level Structure'!D:D,'[1]SIG Level Structure'!D:D)),"0","1")</f>
        <v>1</v>
      </c>
      <c r="J535" s="36" t="str">
        <f>_xlfn.XLOOKUP($H535,'[1]SIG Level Structure'!$D:$D,'[1]SIG Level Structure'!F:F)</f>
        <v>U2</v>
      </c>
      <c r="K535" s="37" t="str">
        <f>E535&amp;"-"&amp;J535&amp;"-"&amp;G535</f>
        <v>CUS000-U2-06</v>
      </c>
      <c r="L535" s="37" t="str">
        <f>IFERROR(D535&amp;"-"&amp;LEFT(J535,1),"--")</f>
        <v>CUS-U</v>
      </c>
      <c r="M535" s="37" t="str">
        <f>VLOOKUP(L535,'[1]Compatible JC'!$A:$A,1,FALSE)</f>
        <v>CUS-U</v>
      </c>
      <c r="N535" s="37" t="str">
        <f>IFERROR(_xlfn.XLOOKUP(H535,'[1]SIG Level Structure'!D:D,'[1]SIG Level Structure'!C:C),"--")</f>
        <v>Assistant / Analyst</v>
      </c>
      <c r="O535" s="38" t="str">
        <f>IFERROR(TRIM(N535&amp;" "&amp;C535),"--")</f>
        <v>Assistant / Analyst Sales Administration &amp; Coordination</v>
      </c>
      <c r="P535" s="22" t="str">
        <f>_xlfn.XLOOKUP(E535,'[1]SIG Job Families &amp; Descriptions'!A:A,'[1]SIG Job Families &amp; Descriptions'!G:G)</f>
        <v>Supports sales representatives and channel partners in administrative areas such as order processing, customer quotes, sales information management, product training and financing. Also includes internal/remote sales functions.</v>
      </c>
      <c r="Q535" s="39" t="str">
        <f>_xlfn.XLOOKUP(E535,'[1]2022 GI Position Descriptions'!E:E,'[1]2022 GI Position Descriptions'!G:G)</f>
        <v>Supports sales representatives and channel partners in administrative areas such as order processing, customer quotes, sales information management, product training and financing | Responsibilities are within the Sales Support and Administration Function as a generalist or in a combination of Disciplines</v>
      </c>
      <c r="R535" s="22" t="str">
        <f>IF(LEFT(J535,1)="E","EX",LEFT(J535,1))</f>
        <v>U</v>
      </c>
      <c r="S535" s="22" t="str">
        <f>_xlfn.XLOOKUP($R535,'[1]Career Bands &amp; Levels'!A:A,'[1]Career Bands &amp; Levels'!C:C)</f>
        <v>● Performs clerical/administrative or specialized support tasks in an office, field or retail store/site setting
● May require vocational training or the equivalent experience, but does not require a university degree</v>
      </c>
      <c r="T535" s="22" t="str">
        <f>J535</f>
        <v>U2</v>
      </c>
      <c r="U535" s="40" t="str">
        <f t="shared" si="17"/>
        <v>U2</v>
      </c>
      <c r="V535" s="22" t="str">
        <f>_xlfn.XLOOKUP(T535,'[1]Career Bands &amp; Levels'!A:A,'[1]Career Bands &amp; Levels'!C:C)</f>
        <v xml:space="preserve">●	Has working knowledge and skills developed through formal training or work experience		
●	Works within established procedures with a moderate degree of supervision		
●	Identifies the problem and all relevant issues in straightforward situations, assesses each using standard procedures and makes sound decisions		</v>
      </c>
      <c r="W535" s="41" t="str">
        <f>J535&amp;"-"&amp;G535</f>
        <v>U2-06</v>
      </c>
      <c r="X535" s="42" t="str">
        <f>G535</f>
        <v>06</v>
      </c>
      <c r="Y535" s="22" t="str">
        <f>_xlfn.XLOOKUP(W535,'[1]Career Bands &amp; Levels'!A:A,'[1]Career Bands &amp; Levels'!C:C,"No Grade Differentiator")</f>
        <v xml:space="preserve">●	Has prior relevant training or related work experience		
●	Performs routine tasks following specific instructions or under close supervision		
●	Work is clearly defined and completed according to instruction		</v>
      </c>
      <c r="Z535" s="43" t="str">
        <f>IFERROR(O535&amp;" - "&amp;G535,"--")</f>
        <v>Assistant / Analyst Sales Administration &amp; Coordination - 06</v>
      </c>
      <c r="AA535" s="44" t="str">
        <f>_xlfn.XLOOKUP($H535,'[1]SIG Qualifications Input'!$D:$D,'[1]SIG Qualifications Input'!$H:$H)</f>
        <v>Vocational training in e.g. commercial field or equivalent work experience. Up to 5 years of experience, possibly further internal trainings.</v>
      </c>
    </row>
    <row r="536" spans="1:27" ht="113" thickBot="1" x14ac:dyDescent="0.2">
      <c r="A536" s="34" t="str">
        <f>_xlfn.XLOOKUP(C536,'[1]SIG Job Families &amp; Descriptions'!F:F,'[1]SIG Job Families &amp; Descriptions'!B:B)</f>
        <v>Sales</v>
      </c>
      <c r="B536" s="34" t="str">
        <f>_xlfn.XLOOKUP(C536,'[1]SIG Job Families &amp; Descriptions'!F:F,'[1]SIG Job Families &amp; Descriptions'!D:D)</f>
        <v>Sales Administration &amp; Coordination</v>
      </c>
      <c r="C536" s="34" t="s">
        <v>116</v>
      </c>
      <c r="D536" s="30" t="str">
        <f t="shared" si="16"/>
        <v>CUS</v>
      </c>
      <c r="E536" s="31" t="str">
        <f>_xlfn.XLOOKUP(C536,'[1]SIG Job Families &amp; Descriptions'!F:F,'[1]SIG Job Families &amp; Descriptions'!A:A)</f>
        <v>CUS000</v>
      </c>
      <c r="F536" s="32" t="s">
        <v>32</v>
      </c>
      <c r="G536" s="33" t="s">
        <v>52</v>
      </c>
      <c r="H536" s="34" t="str">
        <f>F536&amp;"-"&amp;G536</f>
        <v>Professional-07</v>
      </c>
      <c r="I536" s="35" t="str">
        <f>IF(ISERROR(_xlfn.XLOOKUP(H536,'[1]SIG Level Structure'!D:D,'[1]SIG Level Structure'!D:D)),"0","1")</f>
        <v>1</v>
      </c>
      <c r="J536" s="36" t="str">
        <f>_xlfn.XLOOKUP($H536,'[1]SIG Level Structure'!$D:$D,'[1]SIG Level Structure'!F:F)</f>
        <v>U3</v>
      </c>
      <c r="K536" s="37" t="str">
        <f>E536&amp;"-"&amp;J536&amp;"-"&amp;G536</f>
        <v>CUS000-U3-07</v>
      </c>
      <c r="L536" s="37" t="str">
        <f>IFERROR(D536&amp;"-"&amp;LEFT(J536,1),"--")</f>
        <v>CUS-U</v>
      </c>
      <c r="M536" s="37" t="str">
        <f>VLOOKUP(L536,'[1]Compatible JC'!$A:$A,1,FALSE)</f>
        <v>CUS-U</v>
      </c>
      <c r="N536" s="37" t="str">
        <f>IFERROR(_xlfn.XLOOKUP(H536,'[1]SIG Level Structure'!D:D,'[1]SIG Level Structure'!C:C),"--")</f>
        <v>Assistant / Analyst</v>
      </c>
      <c r="O536" s="38" t="str">
        <f>IFERROR(TRIM(N536&amp;" "&amp;C536),"--")</f>
        <v>Assistant / Analyst Sales Administration &amp; Coordination</v>
      </c>
      <c r="P536" s="22" t="str">
        <f>_xlfn.XLOOKUP(E536,'[1]SIG Job Families &amp; Descriptions'!A:A,'[1]SIG Job Families &amp; Descriptions'!G:G)</f>
        <v>Supports sales representatives and channel partners in administrative areas such as order processing, customer quotes, sales information management, product training and financing. Also includes internal/remote sales functions.</v>
      </c>
      <c r="Q536" s="39" t="str">
        <f>_xlfn.XLOOKUP(E536,'[1]2022 GI Position Descriptions'!E:E,'[1]2022 GI Position Descriptions'!G:G)</f>
        <v>Supports sales representatives and channel partners in administrative areas such as order processing, customer quotes, sales information management, product training and financing | Responsibilities are within the Sales Support and Administration Function as a generalist or in a combination of Disciplines</v>
      </c>
      <c r="R536" s="22" t="str">
        <f>IF(LEFT(J536,1)="E","EX",LEFT(J536,1))</f>
        <v>U</v>
      </c>
      <c r="S536" s="22" t="str">
        <f>_xlfn.XLOOKUP($R536,'[1]Career Bands &amp; Levels'!A:A,'[1]Career Bands &amp; Levels'!C:C)</f>
        <v>● Performs clerical/administrative or specialized support tasks in an office, field or retail store/site setting
● May require vocational training or the equivalent experience, but does not require a university degree</v>
      </c>
      <c r="T536" s="22" t="str">
        <f>J536</f>
        <v>U3</v>
      </c>
      <c r="U536" s="40" t="str">
        <f t="shared" si="17"/>
        <v>U3</v>
      </c>
      <c r="V536" s="22" t="str">
        <f>_xlfn.XLOOKUP(T536,'[1]Career Bands &amp; Levels'!A:A,'[1]Career Bands &amp; Levels'!C:C)</f>
        <v xml:space="preserve">●	Has full proficiency gained through job-related training and considerable work experience		
●	Completes work with a limited degree of supervision		
●	Likely to act as an informal resource for colleagues with less experience		
●	Identifies key issues and patterns from partial/conflicting data		
●	Takes a broad perspective to problems and spots new, less obvious solutions		</v>
      </c>
      <c r="W536" s="41" t="str">
        <f>J536&amp;"-"&amp;G536</f>
        <v>U3-07</v>
      </c>
      <c r="X536" s="42" t="str">
        <f>G536</f>
        <v>07</v>
      </c>
      <c r="Y536" s="22" t="str">
        <f>_xlfn.XLOOKUP(W536,'[1]Career Bands &amp; Levels'!A:A,'[1]Career Bands &amp; Levels'!C:C,"No Grade Differentiator")</f>
        <v>No Grade Differentiator</v>
      </c>
      <c r="Z536" s="43" t="str">
        <f>IFERROR(O536&amp;" - "&amp;G536,"--")</f>
        <v>Assistant / Analyst Sales Administration &amp; Coordination - 07</v>
      </c>
      <c r="AA536" s="44" t="str">
        <f>_xlfn.XLOOKUP($H536,'[1]SIG Qualifications Input'!$D:$D,'[1]SIG Qualifications Input'!$H:$H)</f>
        <v>Vocational training in e.g. commercial field or equivalent work experience. Up to 5 years of experience, possibly further internal trainings.</v>
      </c>
    </row>
    <row r="537" spans="1:27" ht="239" thickBot="1" x14ac:dyDescent="0.2">
      <c r="A537" s="34" t="str">
        <f>_xlfn.XLOOKUP(C537,'[1]SIG Job Families &amp; Descriptions'!F:F,'[1]SIG Job Families &amp; Descriptions'!B:B)</f>
        <v>Sales</v>
      </c>
      <c r="B537" s="34" t="str">
        <f>_xlfn.XLOOKUP(C537,'[1]SIG Job Families &amp; Descriptions'!F:F,'[1]SIG Job Families &amp; Descriptions'!D:D)</f>
        <v>Account Management</v>
      </c>
      <c r="C537" s="34" t="s">
        <v>114</v>
      </c>
      <c r="D537" s="30" t="str">
        <f t="shared" si="16"/>
        <v>CAM</v>
      </c>
      <c r="E537" s="31" t="str">
        <f>_xlfn.XLOOKUP(C537,'[1]SIG Job Families &amp; Descriptions'!F:F,'[1]SIG Job Families &amp; Descriptions'!A:A)</f>
        <v>CAM000</v>
      </c>
      <c r="F537" s="32" t="s">
        <v>115</v>
      </c>
      <c r="G537" s="33" t="s">
        <v>30</v>
      </c>
      <c r="H537" s="34" t="str">
        <f>F537&amp;"-"&amp;G537</f>
        <v>Sales-15</v>
      </c>
      <c r="I537" s="35" t="str">
        <f>IF(ISERROR(_xlfn.XLOOKUP(H537,'[1]SIG Level Structure'!D:D,'[1]SIG Level Structure'!D:D)),"0","1")</f>
        <v>1</v>
      </c>
      <c r="J537" s="36" t="str">
        <f>_xlfn.XLOOKUP($H537,'[1]SIG Level Structure'!$D:$D,'[1]SIG Level Structure'!F:F)</f>
        <v>S5</v>
      </c>
      <c r="K537" s="37" t="str">
        <f>E537&amp;"-"&amp;J537&amp;"-"&amp;G537</f>
        <v>CAM000-S5-15</v>
      </c>
      <c r="L537" s="37" t="str">
        <f>IFERROR(D537&amp;"-"&amp;LEFT(J537,1),"--")</f>
        <v>CAM-S</v>
      </c>
      <c r="M537" s="37" t="str">
        <f>VLOOKUP(L537,'[1]Compatible JC'!$A:$A,1,FALSE)</f>
        <v>CAM-S</v>
      </c>
      <c r="N537" s="37" t="str">
        <f>IFERROR(_xlfn.XLOOKUP(H537,'[1]SIG Level Structure'!D:D,'[1]SIG Level Structure'!C:C),"--")</f>
        <v>Lead Sales Manager</v>
      </c>
      <c r="O537" s="38" t="str">
        <f>IFERROR(TRIM(N537&amp;" "&amp;C537),"--")</f>
        <v>Lead Sales Manager Account Management</v>
      </c>
      <c r="P537" s="22" t="str">
        <f>_xlfn.XLOOKUP(E537,'[1]SIG Job Families &amp; Descriptions'!A:A,'[1]SIG Job Families &amp; Descriptions'!G:G)</f>
        <v>Builds and maintains effective long-term relationships and a high level of satisfaction with decision makers and influencers at an assigned group of customer accounts that may include major strategic customers within a geographic or portfolio focus. Identifies, develops and typically closes new sales opportunities. Creates demand for the organization's products and services by raising their profile with customers. Achieves revenue targets by increasing revenue spend per account.</v>
      </c>
      <c r="Q537" s="39" t="str">
        <f>_xlfn.XLOOKUP(E537,'[1]2022 GI Position Descriptions'!E:E,'[1]2022 GI Position Descriptions'!G:G)</f>
        <v>Builds and maintains effective long-term relationships and a high level of satisfaction with key senior-level decision makers and influencers at an assigned group of customer accounts that may include major strategic customers within a geographic or industry focus | Identifies, develops and typically closes new sales opportunities | Creates demand for the organization's products and services by raising their profile with customers | Achieves revenue targets by increasing revenue spend per account | May conduct regular status and strategy meetings with the customer's senior management to understand their needs and link them to the organization's product/service strategies | Responsibilities are within the Account/Relationship Management Function as a generalist or in a combination of Disciplines</v>
      </c>
      <c r="R537" s="22" t="str">
        <f>IF(LEFT(J537,1)="E","EX",LEFT(J537,1))</f>
        <v>S</v>
      </c>
      <c r="S537" s="22" t="str">
        <f>_xlfn.XLOOKUP($R537,'[1]Career Bands &amp; Levels'!A:A,'[1]Career Bands &amp; Levels'!C:C)</f>
        <v>● Primarily involved in direct contact with customers/clients to acquire new business or develop existing business or accounts
● Participates in sales presentations, developing bids, and responding to proposals 
● At senior levels, likely to set/negotiate product/service terms or contracts
● A significant portion of compensation is likely to be based on sales results</v>
      </c>
      <c r="T537" s="22" t="str">
        <f>J537</f>
        <v>S5</v>
      </c>
      <c r="U537" s="40" t="str">
        <f t="shared" si="17"/>
        <v>S5</v>
      </c>
      <c r="V537" s="22" t="str">
        <f>_xlfn.XLOOKUP(T537,'[1]Career Bands &amp; Levels'!A:A,'[1]Career Bands &amp; Levels'!C:C)</f>
        <v xml:space="preserve">●	Has a complete understanding of business, financials, products/services, the market and the needs/challenges of assigned accounts; develops colleagues' and customers' understanding; is recognized as an expert in many areas		
●	Works with large, important or global accounts		
●	Has full authority/opportunity to set and negotiate product/service terms		
●	Plans own account management approach and has input into colleagues' approaches; manages own and often others' resources		
●	Progression to this level is typically restricted on the basis of business requirements		</v>
      </c>
      <c r="W537" s="41" t="str">
        <f>J537&amp;"-"&amp;G537</f>
        <v>S5-15</v>
      </c>
      <c r="X537" s="42" t="str">
        <f>G537</f>
        <v>15</v>
      </c>
      <c r="Y537" s="22" t="str">
        <f>_xlfn.XLOOKUP(W537,'[1]Career Bands &amp; Levels'!A:A,'[1]Career Bands &amp; Levels'!C:C,"No Grade Differentiator")</f>
        <v>No Grade Differentiator</v>
      </c>
      <c r="Z537" s="43" t="str">
        <f>IFERROR(O537&amp;" - "&amp;G537,"--")</f>
        <v>Lead Sales Manager Account Management - 15</v>
      </c>
      <c r="AA537" s="44" t="str">
        <f>_xlfn.XLOOKUP($H537,'[1]SIG Qualifications Input'!$D:$D,'[1]SIG Qualifications Input'!$H:$H)</f>
        <v>University degree or equivalent and 10+ years of work experience or equivalent, 
Very experienced in functionally leading cross-functional projects</v>
      </c>
    </row>
    <row r="538" spans="1:27" ht="183" thickBot="1" x14ac:dyDescent="0.2">
      <c r="A538" s="34" t="str">
        <f>_xlfn.XLOOKUP(C538,'[1]SIG Job Families &amp; Descriptions'!F:F,'[1]SIG Job Families &amp; Descriptions'!B:B)</f>
        <v>Supply Chain &amp; Logistics</v>
      </c>
      <c r="B538" s="34" t="str">
        <f>_xlfn.XLOOKUP(C538,'[1]SIG Job Families &amp; Descriptions'!F:F,'[1]SIG Job Families &amp; Descriptions'!D:D)</f>
        <v>General Supply Chain</v>
      </c>
      <c r="C538" s="34" t="s">
        <v>117</v>
      </c>
      <c r="D538" s="30" t="str">
        <f t="shared" si="16"/>
        <v>ASC</v>
      </c>
      <c r="E538" s="31" t="str">
        <f>_xlfn.XLOOKUP(C538,'[1]SIG Job Families &amp; Descriptions'!F:F,'[1]SIG Job Families &amp; Descriptions'!A:A)</f>
        <v>ASC000</v>
      </c>
      <c r="F538" s="32" t="s">
        <v>29</v>
      </c>
      <c r="G538" s="33" t="s">
        <v>30</v>
      </c>
      <c r="H538" s="34" t="str">
        <f>F538&amp;"-"&amp;G538</f>
        <v>Management-15</v>
      </c>
      <c r="I538" s="35" t="str">
        <f>IF(ISERROR(_xlfn.XLOOKUP(H538,'[1]SIG Level Structure'!D:D,'[1]SIG Level Structure'!D:D)),"0","1")</f>
        <v>1</v>
      </c>
      <c r="J538" s="36" t="str">
        <f>_xlfn.XLOOKUP($H538,'[1]SIG Level Structure'!$D:$D,'[1]SIG Level Structure'!F:F)</f>
        <v>M3</v>
      </c>
      <c r="K538" s="37" t="str">
        <f>E538&amp;"-"&amp;J538&amp;"-"&amp;G538</f>
        <v>ASC000-M3-15</v>
      </c>
      <c r="L538" s="37" t="str">
        <f>IFERROR(D538&amp;"-"&amp;LEFT(J538,1),"--")</f>
        <v>ASC-M</v>
      </c>
      <c r="M538" s="37" t="str">
        <f>VLOOKUP(L538,'[1]Compatible JC'!$A:$A,1,FALSE)</f>
        <v>ASC-M</v>
      </c>
      <c r="N538" s="37" t="str">
        <f>IFERROR(_xlfn.XLOOKUP(H538,'[1]SIG Level Structure'!D:D,'[1]SIG Level Structure'!C:C),"--")</f>
        <v>Senior Manager</v>
      </c>
      <c r="O538" s="38" t="str">
        <f>IFERROR(TRIM(N538&amp;" "&amp;C538),"--")</f>
        <v>Senior Manager General Supply Chain</v>
      </c>
      <c r="P538" s="22" t="str">
        <f>_xlfn.XLOOKUP(E538,'[1]SIG Job Families &amp; Descriptions'!A:A,'[1]SIG Job Families &amp; Descriptions'!G:G)</f>
        <v xml:space="preserve">Oversees supply chain and logistics functions such as material procurement, production planning, inventory control, outsourcing, vendor selection and distribution. Sets strategic direction and creates integrated processes among internal functions (e.g., operations, purchasing and logistics) and outside suppliers. Responsibilities are typically within the supply chain function as a generalist or in a combination of disciplines. </v>
      </c>
      <c r="Q538" s="39" t="str">
        <f>_xlfn.XLOOKUP(E538,'[1]2022 GI Position Descriptions'!E:E,'[1]2022 GI Position Descriptions'!G:G)</f>
        <v>Performs supply chain and logistics functions such as material procurement, production planning, inventory control, outsourcing, vendor selection and distribution | Creates integrated processes among internal functions (e.g., operations, purchasing and logistics) and outside suppliers | Responsibilities are within the Supply Chain and Logistics Function as a generalist or in a combination of Disciplines</v>
      </c>
      <c r="R538" s="22" t="str">
        <f>IF(LEFT(J538,1)="E","EX",LEFT(J538,1))</f>
        <v>M</v>
      </c>
      <c r="S538" s="22" t="str">
        <f>_xlfn.XLOOKUP($R538,'[1]Career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538" s="22" t="str">
        <f>J538</f>
        <v>M3</v>
      </c>
      <c r="U538" s="40" t="str">
        <f t="shared" si="17"/>
        <v>M3</v>
      </c>
      <c r="V538" s="22" t="str">
        <f>_xlfn.XLOOKUP(T538,'[1]Career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538" s="41" t="str">
        <f>J538&amp;"-"&amp;G538</f>
        <v>M3-15</v>
      </c>
      <c r="X538" s="42" t="str">
        <f>G538</f>
        <v>15</v>
      </c>
      <c r="Y538" s="22" t="str">
        <f>_xlfn.XLOOKUP(W538,'[1]Career Bands &amp; Levels'!A:A,'[1]Career Bands &amp; Levels'!C:C,"No Grade Differentiator")</f>
        <v xml:space="preserve">●	Looks beyond existing methodologies and own discipline to define and resolve complex problems
●	Develops plans and delivers results in fast-changing businesses and/or regulatory environments
●	Provides input to functional or departmental strategy		
●	Manages large, potentially diverse teams of managers and/or senior professionals		
		</v>
      </c>
      <c r="Z538" s="43" t="str">
        <f>IFERROR(O538&amp;" - "&amp;G538,"--")</f>
        <v>Senior Manager General Supply Chain - 15</v>
      </c>
      <c r="AA538" s="44" t="str">
        <f>_xlfn.XLOOKUP($H538,'[1]SIG Qualifications Input'!$D:$D,'[1]SIG Qualifications Input'!$H:$H)</f>
        <v xml:space="preserve">University degree or equivalent and 10+ years of work experience or equivalent
Profound experience in managing performance and results of diverse activities / multiple teams </v>
      </c>
    </row>
    <row r="539" spans="1:27" ht="183" thickBot="1" x14ac:dyDescent="0.2">
      <c r="A539" s="34" t="str">
        <f>_xlfn.XLOOKUP(C539,'[1]SIG Job Families &amp; Descriptions'!F:F,'[1]SIG Job Families &amp; Descriptions'!B:B)</f>
        <v>Supply Chain &amp; Logistics</v>
      </c>
      <c r="B539" s="34" t="str">
        <f>_xlfn.XLOOKUP(C539,'[1]SIG Job Families &amp; Descriptions'!F:F,'[1]SIG Job Families &amp; Descriptions'!D:D)</f>
        <v>General Supply Chain</v>
      </c>
      <c r="C539" s="34" t="s">
        <v>117</v>
      </c>
      <c r="D539" s="30" t="str">
        <f t="shared" si="16"/>
        <v>ASC</v>
      </c>
      <c r="E539" s="31" t="str">
        <f>_xlfn.XLOOKUP(C539,'[1]SIG Job Families &amp; Descriptions'!F:F,'[1]SIG Job Families &amp; Descriptions'!A:A)</f>
        <v>ASC000</v>
      </c>
      <c r="F539" s="32" t="s">
        <v>29</v>
      </c>
      <c r="G539" s="33" t="s">
        <v>31</v>
      </c>
      <c r="H539" s="34" t="str">
        <f>F539&amp;"-"&amp;G539</f>
        <v>Management-14</v>
      </c>
      <c r="I539" s="35" t="str">
        <f>IF(ISERROR(_xlfn.XLOOKUP(H539,'[1]SIG Level Structure'!D:D,'[1]SIG Level Structure'!D:D)),"0","1")</f>
        <v>1</v>
      </c>
      <c r="J539" s="36" t="str">
        <f>_xlfn.XLOOKUP($H539,'[1]SIG Level Structure'!$D:$D,'[1]SIG Level Structure'!F:F)</f>
        <v>M3</v>
      </c>
      <c r="K539" s="37" t="str">
        <f>E539&amp;"-"&amp;J539&amp;"-"&amp;G539</f>
        <v>ASC000-M3-14</v>
      </c>
      <c r="L539" s="37" t="str">
        <f>IFERROR(D539&amp;"-"&amp;LEFT(J539,1),"--")</f>
        <v>ASC-M</v>
      </c>
      <c r="M539" s="37" t="str">
        <f>VLOOKUP(L539,'[1]Compatible JC'!$A:$A,1,FALSE)</f>
        <v>ASC-M</v>
      </c>
      <c r="N539" s="37" t="str">
        <f>IFERROR(_xlfn.XLOOKUP(H539,'[1]SIG Level Structure'!D:D,'[1]SIG Level Structure'!C:C),"--")</f>
        <v>Senior Manager</v>
      </c>
      <c r="O539" s="38" t="str">
        <f>IFERROR(TRIM(N539&amp;" "&amp;C539),"--")</f>
        <v>Senior Manager General Supply Chain</v>
      </c>
      <c r="P539" s="22" t="str">
        <f>_xlfn.XLOOKUP(E539,'[1]SIG Job Families &amp; Descriptions'!A:A,'[1]SIG Job Families &amp; Descriptions'!G:G)</f>
        <v xml:space="preserve">Oversees supply chain and logistics functions such as material procurement, production planning, inventory control, outsourcing, vendor selection and distribution. Sets strategic direction and creates integrated processes among internal functions (e.g., operations, purchasing and logistics) and outside suppliers. Responsibilities are typically within the supply chain function as a generalist or in a combination of disciplines. </v>
      </c>
      <c r="Q539" s="39" t="str">
        <f>_xlfn.XLOOKUP(E539,'[1]2022 GI Position Descriptions'!E:E,'[1]2022 GI Position Descriptions'!G:G)</f>
        <v>Performs supply chain and logistics functions such as material procurement, production planning, inventory control, outsourcing, vendor selection and distribution | Creates integrated processes among internal functions (e.g., operations, purchasing and logistics) and outside suppliers | Responsibilities are within the Supply Chain and Logistics Function as a generalist or in a combination of Disciplines</v>
      </c>
      <c r="R539" s="22" t="str">
        <f>IF(LEFT(J539,1)="E","EX",LEFT(J539,1))</f>
        <v>M</v>
      </c>
      <c r="S539" s="22" t="str">
        <f>_xlfn.XLOOKUP($R539,'[1]Career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539" s="22" t="str">
        <f>J539</f>
        <v>M3</v>
      </c>
      <c r="U539" s="40" t="str">
        <f t="shared" si="17"/>
        <v>M3</v>
      </c>
      <c r="V539" s="22" t="str">
        <f>_xlfn.XLOOKUP(T539,'[1]Career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539" s="41" t="str">
        <f>J539&amp;"-"&amp;G539</f>
        <v>M3-14</v>
      </c>
      <c r="X539" s="42" t="str">
        <f>G539</f>
        <v>14</v>
      </c>
      <c r="Y539" s="22" t="str">
        <f>_xlfn.XLOOKUP(W539,'[1]Career Bands &amp; Levels'!A:A,'[1]Career Bands &amp; Levels'!C:C,"No Grade Differentiator")</f>
        <v xml:space="preserve">●	Identifies applications of functional knowledge and existing methodologies to complex problems	
●	Manages large teams of professionals and/or junior managers		
		</v>
      </c>
      <c r="Z539" s="43" t="str">
        <f>IFERROR(O539&amp;" - "&amp;G539,"--")</f>
        <v>Senior Manager General Supply Chain - 14</v>
      </c>
      <c r="AA539" s="44" t="str">
        <f>_xlfn.XLOOKUP($H539,'[1]SIG Qualifications Input'!$D:$D,'[1]SIG Qualifications Input'!$H:$H)</f>
        <v xml:space="preserve">University degree or equivalent and 10+ years of work experience or equivalent
Profound experience in managing performance and results of diverse activities / multiple teams </v>
      </c>
    </row>
    <row r="540" spans="1:27" ht="183" thickBot="1" x14ac:dyDescent="0.2">
      <c r="A540" s="34" t="str">
        <f>_xlfn.XLOOKUP(C540,'[1]SIG Job Families &amp; Descriptions'!F:F,'[1]SIG Job Families &amp; Descriptions'!B:B)</f>
        <v>Supply Chain &amp; Logistics</v>
      </c>
      <c r="B540" s="34" t="str">
        <f>_xlfn.XLOOKUP(C540,'[1]SIG Job Families &amp; Descriptions'!F:F,'[1]SIG Job Families &amp; Descriptions'!D:D)</f>
        <v>General Supply Chain</v>
      </c>
      <c r="C540" s="34" t="s">
        <v>117</v>
      </c>
      <c r="D540" s="30" t="str">
        <f t="shared" si="16"/>
        <v>ASC</v>
      </c>
      <c r="E540" s="31" t="str">
        <f>_xlfn.XLOOKUP(C540,'[1]SIG Job Families &amp; Descriptions'!F:F,'[1]SIG Job Families &amp; Descriptions'!A:A)</f>
        <v>ASC000</v>
      </c>
      <c r="F540" s="32" t="s">
        <v>29</v>
      </c>
      <c r="G540" s="33" t="s">
        <v>33</v>
      </c>
      <c r="H540" s="34" t="str">
        <f>F540&amp;"-"&amp;G540</f>
        <v>Management-13</v>
      </c>
      <c r="I540" s="35" t="str">
        <f>IF(ISERROR(_xlfn.XLOOKUP(H540,'[1]SIG Level Structure'!D:D,'[1]SIG Level Structure'!D:D)),"0","1")</f>
        <v>1</v>
      </c>
      <c r="J540" s="36" t="str">
        <f>_xlfn.XLOOKUP($H540,'[1]SIG Level Structure'!$D:$D,'[1]SIG Level Structure'!F:F)</f>
        <v>M2</v>
      </c>
      <c r="K540" s="37" t="str">
        <f>E540&amp;"-"&amp;J540&amp;"-"&amp;G540</f>
        <v>ASC000-M2-13</v>
      </c>
      <c r="L540" s="37" t="str">
        <f>IFERROR(D540&amp;"-"&amp;LEFT(J540,1),"--")</f>
        <v>ASC-M</v>
      </c>
      <c r="M540" s="37" t="str">
        <f>VLOOKUP(L540,'[1]Compatible JC'!$A:$A,1,FALSE)</f>
        <v>ASC-M</v>
      </c>
      <c r="N540" s="37" t="str">
        <f>IFERROR(_xlfn.XLOOKUP(H540,'[1]SIG Level Structure'!D:D,'[1]SIG Level Structure'!C:C),"--")</f>
        <v>Manager</v>
      </c>
      <c r="O540" s="38" t="str">
        <f>IFERROR(TRIM(N540&amp;" "&amp;C540),"--")</f>
        <v>Manager General Supply Chain</v>
      </c>
      <c r="P540" s="22" t="str">
        <f>_xlfn.XLOOKUP(E540,'[1]SIG Job Families &amp; Descriptions'!A:A,'[1]SIG Job Families &amp; Descriptions'!G:G)</f>
        <v xml:space="preserve">Oversees supply chain and logistics functions such as material procurement, production planning, inventory control, outsourcing, vendor selection and distribution. Sets strategic direction and creates integrated processes among internal functions (e.g., operations, purchasing and logistics) and outside suppliers. Responsibilities are typically within the supply chain function as a generalist or in a combination of disciplines. </v>
      </c>
      <c r="Q540" s="39" t="str">
        <f>_xlfn.XLOOKUP(E540,'[1]2022 GI Position Descriptions'!E:E,'[1]2022 GI Position Descriptions'!G:G)</f>
        <v>Performs supply chain and logistics functions such as material procurement, production planning, inventory control, outsourcing, vendor selection and distribution | Creates integrated processes among internal functions (e.g., operations, purchasing and logistics) and outside suppliers | Responsibilities are within the Supply Chain and Logistics Function as a generalist or in a combination of Disciplines</v>
      </c>
      <c r="R540" s="22" t="str">
        <f>IF(LEFT(J540,1)="E","EX",LEFT(J540,1))</f>
        <v>M</v>
      </c>
      <c r="S540" s="22" t="str">
        <f>_xlfn.XLOOKUP($R540,'[1]Career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540" s="22" t="str">
        <f>J540</f>
        <v>M2</v>
      </c>
      <c r="U540" s="40" t="str">
        <f t="shared" si="17"/>
        <v>M2</v>
      </c>
      <c r="V540" s="22" t="str">
        <f>_xlfn.XLOOKUP(T540,'[1]Career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540" s="41" t="str">
        <f>J540&amp;"-"&amp;G540</f>
        <v>M2-13</v>
      </c>
      <c r="X540" s="42" t="str">
        <f>G540</f>
        <v>13</v>
      </c>
      <c r="Y540" s="22" t="str">
        <f>_xlfn.XLOOKUP(W540,'[1]Career Bands &amp; Levels'!A:A,'[1]Career Bands &amp; Levels'!C:C,"No Grade Differentiator")</f>
        <v>●	Accountable for the budget, performance and results of a medium-sized team or multiple small teams of employees		
●	Exercises full management authority, including performance reviews, pay decisions, recruitment, discipline, termination and other personnel actions		
●	Addresses issues with impact beyond own team based on knowledge of related disciplines</v>
      </c>
      <c r="Z540" s="43" t="str">
        <f>IFERROR(O540&amp;" - "&amp;G540,"--")</f>
        <v>Manager General Supply Chain - 13</v>
      </c>
      <c r="AA540" s="44" t="str">
        <f>_xlfn.XLOOKUP($H540,'[1]SIG Qualifications Input'!$D:$D,'[1]SIG Qualifications Input'!$H:$H)</f>
        <v>University degree or equivalent and 7-10 years of work experience or equivalent
Experience in managing mixed-level team(s) of professionals and subordinate managers</v>
      </c>
    </row>
    <row r="541" spans="1:27" ht="183" thickBot="1" x14ac:dyDescent="0.2">
      <c r="A541" s="34" t="str">
        <f>_xlfn.XLOOKUP(C541,'[1]SIG Job Families &amp; Descriptions'!F:F,'[1]SIG Job Families &amp; Descriptions'!B:B)</f>
        <v>Supply Chain &amp; Logistics</v>
      </c>
      <c r="B541" s="34" t="str">
        <f>_xlfn.XLOOKUP(C541,'[1]SIG Job Families &amp; Descriptions'!F:F,'[1]SIG Job Families &amp; Descriptions'!D:D)</f>
        <v>General Supply Chain</v>
      </c>
      <c r="C541" s="34" t="s">
        <v>117</v>
      </c>
      <c r="D541" s="30" t="str">
        <f t="shared" si="16"/>
        <v>ASC</v>
      </c>
      <c r="E541" s="31" t="str">
        <f>_xlfn.XLOOKUP(C541,'[1]SIG Job Families &amp; Descriptions'!F:F,'[1]SIG Job Families &amp; Descriptions'!A:A)</f>
        <v>ASC000</v>
      </c>
      <c r="F541" s="32" t="s">
        <v>29</v>
      </c>
      <c r="G541" s="33" t="s">
        <v>34</v>
      </c>
      <c r="H541" s="34" t="str">
        <f>F541&amp;"-"&amp;G541</f>
        <v>Management-12</v>
      </c>
      <c r="I541" s="35" t="str">
        <f>IF(ISERROR(_xlfn.XLOOKUP(H541,'[1]SIG Level Structure'!D:D,'[1]SIG Level Structure'!D:D)),"0","1")</f>
        <v>1</v>
      </c>
      <c r="J541" s="36" t="str">
        <f>_xlfn.XLOOKUP($H541,'[1]SIG Level Structure'!$D:$D,'[1]SIG Level Structure'!F:F)</f>
        <v>M2</v>
      </c>
      <c r="K541" s="37" t="str">
        <f>E541&amp;"-"&amp;J541&amp;"-"&amp;G541</f>
        <v>ASC000-M2-12</v>
      </c>
      <c r="L541" s="37" t="str">
        <f>IFERROR(D541&amp;"-"&amp;LEFT(J541,1),"--")</f>
        <v>ASC-M</v>
      </c>
      <c r="M541" s="37" t="str">
        <f>VLOOKUP(L541,'[1]Compatible JC'!$A:$A,1,FALSE)</f>
        <v>ASC-M</v>
      </c>
      <c r="N541" s="37" t="str">
        <f>IFERROR(_xlfn.XLOOKUP(H541,'[1]SIG Level Structure'!D:D,'[1]SIG Level Structure'!C:C),"--")</f>
        <v>Manager</v>
      </c>
      <c r="O541" s="38" t="str">
        <f>IFERROR(TRIM(N541&amp;" "&amp;C541),"--")</f>
        <v>Manager General Supply Chain</v>
      </c>
      <c r="P541" s="22" t="str">
        <f>_xlfn.XLOOKUP(E541,'[1]SIG Job Families &amp; Descriptions'!A:A,'[1]SIG Job Families &amp; Descriptions'!G:G)</f>
        <v xml:space="preserve">Oversees supply chain and logistics functions such as material procurement, production planning, inventory control, outsourcing, vendor selection and distribution. Sets strategic direction and creates integrated processes among internal functions (e.g., operations, purchasing and logistics) and outside suppliers. Responsibilities are typically within the supply chain function as a generalist or in a combination of disciplines. </v>
      </c>
      <c r="Q541" s="39" t="str">
        <f>_xlfn.XLOOKUP(E541,'[1]2022 GI Position Descriptions'!E:E,'[1]2022 GI Position Descriptions'!G:G)</f>
        <v>Performs supply chain and logistics functions such as material procurement, production planning, inventory control, outsourcing, vendor selection and distribution | Creates integrated processes among internal functions (e.g., operations, purchasing and logistics) and outside suppliers | Responsibilities are within the Supply Chain and Logistics Function as a generalist or in a combination of Disciplines</v>
      </c>
      <c r="R541" s="22" t="str">
        <f>IF(LEFT(J541,1)="E","EX",LEFT(J541,1))</f>
        <v>M</v>
      </c>
      <c r="S541" s="22" t="str">
        <f>_xlfn.XLOOKUP($R541,'[1]Career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541" s="22" t="str">
        <f>J541</f>
        <v>M2</v>
      </c>
      <c r="U541" s="40" t="str">
        <f t="shared" si="17"/>
        <v>M2</v>
      </c>
      <c r="V541" s="22" t="str">
        <f>_xlfn.XLOOKUP(T541,'[1]Career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541" s="41" t="str">
        <f>J541&amp;"-"&amp;G541</f>
        <v>M2-12</v>
      </c>
      <c r="X541" s="42" t="str">
        <f>G541</f>
        <v>12</v>
      </c>
      <c r="Y541" s="22" t="str">
        <f>_xlfn.XLOOKUP(W541,'[1]Career Bands &amp; Levels'!A:A,'[1]Career Bands &amp; Levels'!C:C,"No Grade Differentiator")</f>
        <v xml:space="preserve">●	Accountable for results of a small team of employees		
●	Exercises limited management authority; sets employee performance objectives, conducts performance reviews and recommends pay actions		
●	Defines team operating standards and ensures essential procedures are followed based on knowledge of own discipline		</v>
      </c>
      <c r="Z541" s="43" t="str">
        <f>IFERROR(O541&amp;" - "&amp;G541,"--")</f>
        <v>Manager General Supply Chain - 12</v>
      </c>
      <c r="AA541" s="44" t="str">
        <f>_xlfn.XLOOKUP($H541,'[1]SIG Qualifications Input'!$D:$D,'[1]SIG Qualifications Input'!$H:$H)</f>
        <v>University degree or equivalent and 7-10 years of work experience or equivalent
Experience in managing mixed-level team(s) of professionals and subordinate managers</v>
      </c>
    </row>
    <row r="542" spans="1:27" ht="183" thickBot="1" x14ac:dyDescent="0.2">
      <c r="A542" s="34" t="str">
        <f>_xlfn.XLOOKUP(C542,'[1]SIG Job Families &amp; Descriptions'!F:F,'[1]SIG Job Families &amp; Descriptions'!B:B)</f>
        <v>Supply Chain &amp; Logistics</v>
      </c>
      <c r="B542" s="34" t="str">
        <f>_xlfn.XLOOKUP(C542,'[1]SIG Job Families &amp; Descriptions'!F:F,'[1]SIG Job Families &amp; Descriptions'!D:D)</f>
        <v>General Supply Chain</v>
      </c>
      <c r="C542" s="34" t="s">
        <v>117</v>
      </c>
      <c r="D542" s="30" t="str">
        <f t="shared" si="16"/>
        <v>ASC</v>
      </c>
      <c r="E542" s="31" t="str">
        <f>_xlfn.XLOOKUP(C542,'[1]SIG Job Families &amp; Descriptions'!F:F,'[1]SIG Job Families &amp; Descriptions'!A:A)</f>
        <v>ASC000</v>
      </c>
      <c r="F542" s="32" t="s">
        <v>29</v>
      </c>
      <c r="G542" s="33" t="s">
        <v>35</v>
      </c>
      <c r="H542" s="34" t="str">
        <f>F542&amp;"-"&amp;G542</f>
        <v>Management-11</v>
      </c>
      <c r="I542" s="35" t="str">
        <f>IF(ISERROR(_xlfn.XLOOKUP(H542,'[1]SIG Level Structure'!D:D,'[1]SIG Level Structure'!D:D)),"0","1")</f>
        <v>1</v>
      </c>
      <c r="J542" s="36" t="str">
        <f>_xlfn.XLOOKUP($H542,'[1]SIG Level Structure'!$D:$D,'[1]SIG Level Structure'!F:F)</f>
        <v>M1</v>
      </c>
      <c r="K542" s="37" t="str">
        <f>E542&amp;"-"&amp;J542&amp;"-"&amp;G542</f>
        <v>ASC000-M1-11</v>
      </c>
      <c r="L542" s="37" t="str">
        <f>IFERROR(D542&amp;"-"&amp;LEFT(J542,1),"--")</f>
        <v>ASC-M</v>
      </c>
      <c r="M542" s="37" t="str">
        <f>VLOOKUP(L542,'[1]Compatible JC'!$A:$A,1,FALSE)</f>
        <v>ASC-M</v>
      </c>
      <c r="N542" s="37" t="str">
        <f>IFERROR(_xlfn.XLOOKUP(H542,'[1]SIG Level Structure'!D:D,'[1]SIG Level Structure'!C:C),"--")</f>
        <v>Supervisor</v>
      </c>
      <c r="O542" s="38" t="str">
        <f>IFERROR(TRIM(N542&amp;" "&amp;C542),"--")</f>
        <v>Supervisor General Supply Chain</v>
      </c>
      <c r="P542" s="22" t="str">
        <f>_xlfn.XLOOKUP(E542,'[1]SIG Job Families &amp; Descriptions'!A:A,'[1]SIG Job Families &amp; Descriptions'!G:G)</f>
        <v xml:space="preserve">Oversees supply chain and logistics functions such as material procurement, production planning, inventory control, outsourcing, vendor selection and distribution. Sets strategic direction and creates integrated processes among internal functions (e.g., operations, purchasing and logistics) and outside suppliers. Responsibilities are typically within the supply chain function as a generalist or in a combination of disciplines. </v>
      </c>
      <c r="Q542" s="39" t="str">
        <f>_xlfn.XLOOKUP(E542,'[1]2022 GI Position Descriptions'!E:E,'[1]2022 GI Position Descriptions'!G:G)</f>
        <v>Performs supply chain and logistics functions such as material procurement, production planning, inventory control, outsourcing, vendor selection and distribution | Creates integrated processes among internal functions (e.g., operations, purchasing and logistics) and outside suppliers | Responsibilities are within the Supply Chain and Logistics Function as a generalist or in a combination of Disciplines</v>
      </c>
      <c r="R542" s="22" t="str">
        <f>IF(LEFT(J542,1)="E","EX",LEFT(J542,1))</f>
        <v>M</v>
      </c>
      <c r="S542" s="22" t="str">
        <f>_xlfn.XLOOKUP($R542,'[1]Career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542" s="22" t="str">
        <f>J542</f>
        <v>M1</v>
      </c>
      <c r="U542" s="40" t="str">
        <f t="shared" si="17"/>
        <v>M1</v>
      </c>
      <c r="V542" s="22" t="str">
        <f>_xlfn.XLOOKUP(T542,'[1]Career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542" s="41" t="str">
        <f>J542&amp;"-"&amp;G542</f>
        <v>M1-11</v>
      </c>
      <c r="X542" s="42" t="str">
        <f>G542</f>
        <v>11</v>
      </c>
      <c r="Y542" s="22" t="str">
        <f>_xlfn.XLOOKUP(W542,'[1]Career Bands &amp; Levels'!A:A,'[1]Career Bands &amp; Levels'!C:C,"No Grade Differentiator")</f>
        <v xml:space="preserve">●	Accountable for the results of a large and/or moderately complex support or production operations team including subordinate work leaders		
●	Applies acquired expertise to analyze and solve problems without clear precedent		
●	Provides input on resource planning and policy development		
●	Coaches team members on performance, completes employee performance evaluations and recommends pay actions		</v>
      </c>
      <c r="Z542" s="43" t="str">
        <f>IFERROR(O542&amp;" - "&amp;G542,"--")</f>
        <v>Supervisor General Supply Chain - 11</v>
      </c>
      <c r="AA542" s="44" t="str">
        <f>_xlfn.XLOOKUP($H542,'[1]SIG Qualifications Input'!$D:$D,'[1]SIG Qualifications Input'!$H:$H)</f>
        <v>University degree or equivalent and 5-7 years of work experience or equivalent
Experienced in application of management techniques
Experience in operationally managing a mixed-level team</v>
      </c>
    </row>
    <row r="543" spans="1:27" ht="183" thickBot="1" x14ac:dyDescent="0.2">
      <c r="A543" s="34" t="str">
        <f>_xlfn.XLOOKUP(C543,'[1]SIG Job Families &amp; Descriptions'!F:F,'[1]SIG Job Families &amp; Descriptions'!B:B)</f>
        <v>Supply Chain &amp; Logistics</v>
      </c>
      <c r="B543" s="34" t="str">
        <f>_xlfn.XLOOKUP(C543,'[1]SIG Job Families &amp; Descriptions'!F:F,'[1]SIG Job Families &amp; Descriptions'!D:D)</f>
        <v>General Supply Chain</v>
      </c>
      <c r="C543" s="34" t="s">
        <v>117</v>
      </c>
      <c r="D543" s="30" t="str">
        <f t="shared" si="16"/>
        <v>ASC</v>
      </c>
      <c r="E543" s="31" t="str">
        <f>_xlfn.XLOOKUP(C543,'[1]SIG Job Families &amp; Descriptions'!F:F,'[1]SIG Job Families &amp; Descriptions'!A:A)</f>
        <v>ASC000</v>
      </c>
      <c r="F543" s="32" t="s">
        <v>29</v>
      </c>
      <c r="G543" s="33" t="s">
        <v>36</v>
      </c>
      <c r="H543" s="34" t="str">
        <f>F543&amp;"-"&amp;G543</f>
        <v>Management-10</v>
      </c>
      <c r="I543" s="35" t="str">
        <f>IF(ISERROR(_xlfn.XLOOKUP(H543,'[1]SIG Level Structure'!D:D,'[1]SIG Level Structure'!D:D)),"0","1")</f>
        <v>1</v>
      </c>
      <c r="J543" s="36" t="str">
        <f>_xlfn.XLOOKUP($H543,'[1]SIG Level Structure'!$D:$D,'[1]SIG Level Structure'!F:F)</f>
        <v>M1</v>
      </c>
      <c r="K543" s="37" t="str">
        <f>E543&amp;"-"&amp;J543&amp;"-"&amp;G543</f>
        <v>ASC000-M1-10</v>
      </c>
      <c r="L543" s="37" t="str">
        <f>IFERROR(D543&amp;"-"&amp;LEFT(J543,1),"--")</f>
        <v>ASC-M</v>
      </c>
      <c r="M543" s="37" t="str">
        <f>VLOOKUP(L543,'[1]Compatible JC'!$A:$A,1,FALSE)</f>
        <v>ASC-M</v>
      </c>
      <c r="N543" s="37" t="str">
        <f>IFERROR(_xlfn.XLOOKUP(H543,'[1]SIG Level Structure'!D:D,'[1]SIG Level Structure'!C:C),"--")</f>
        <v>Supervisor</v>
      </c>
      <c r="O543" s="38" t="str">
        <f>IFERROR(TRIM(N543&amp;" "&amp;C543),"--")</f>
        <v>Supervisor General Supply Chain</v>
      </c>
      <c r="P543" s="22" t="str">
        <f>_xlfn.XLOOKUP(E543,'[1]SIG Job Families &amp; Descriptions'!A:A,'[1]SIG Job Families &amp; Descriptions'!G:G)</f>
        <v xml:space="preserve">Oversees supply chain and logistics functions such as material procurement, production planning, inventory control, outsourcing, vendor selection and distribution. Sets strategic direction and creates integrated processes among internal functions (e.g., operations, purchasing and logistics) and outside suppliers. Responsibilities are typically within the supply chain function as a generalist or in a combination of disciplines. </v>
      </c>
      <c r="Q543" s="39" t="str">
        <f>_xlfn.XLOOKUP(E543,'[1]2022 GI Position Descriptions'!E:E,'[1]2022 GI Position Descriptions'!G:G)</f>
        <v>Performs supply chain and logistics functions such as material procurement, production planning, inventory control, outsourcing, vendor selection and distribution | Creates integrated processes among internal functions (e.g., operations, purchasing and logistics) and outside suppliers | Responsibilities are within the Supply Chain and Logistics Function as a generalist or in a combination of Disciplines</v>
      </c>
      <c r="R543" s="22" t="str">
        <f>IF(LEFT(J543,1)="E","EX",LEFT(J543,1))</f>
        <v>M</v>
      </c>
      <c r="S543" s="22" t="str">
        <f>_xlfn.XLOOKUP($R543,'[1]Career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543" s="22" t="str">
        <f>J543</f>
        <v>M1</v>
      </c>
      <c r="U543" s="40" t="str">
        <f t="shared" si="17"/>
        <v>M1</v>
      </c>
      <c r="V543" s="22" t="str">
        <f>_xlfn.XLOOKUP(T543,'[1]Career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543" s="41" t="str">
        <f>J543&amp;"-"&amp;G543</f>
        <v>M1-10</v>
      </c>
      <c r="X543" s="42" t="str">
        <f>G543</f>
        <v>10</v>
      </c>
      <c r="Y543" s="22" t="str">
        <f>_xlfn.XLOOKUP(W543,'[1]Career Bands &amp; Levels'!A:A,'[1]Career Bands &amp; Levels'!C:C,"No Grade Differentiator")</f>
        <v xml:space="preserve">●	Accountable for the results of medium-sized routine support or production operations teams		
●	Solves problems based on practice and precedent		
●	Trains team members and provides input to employee performance evaluations		</v>
      </c>
      <c r="Z543" s="43" t="str">
        <f>IFERROR(O543&amp;" - "&amp;G543,"--")</f>
        <v>Supervisor General Supply Chain - 10</v>
      </c>
      <c r="AA543" s="44" t="str">
        <f>_xlfn.XLOOKUP($H543,'[1]SIG Qualifications Input'!$D:$D,'[1]SIG Qualifications Input'!$H:$H)</f>
        <v>University degree or equivalent and 5-7 years of work experience or equivalent
Experienced in application of management techniques
Experience in operationally managing a mixed-level team</v>
      </c>
    </row>
    <row r="544" spans="1:27" ht="169" thickBot="1" x14ac:dyDescent="0.2">
      <c r="A544" s="34" t="str">
        <f>_xlfn.XLOOKUP(C544,'[1]SIG Job Families &amp; Descriptions'!F:F,'[1]SIG Job Families &amp; Descriptions'!B:B)</f>
        <v>Supply Chain &amp; Logistics</v>
      </c>
      <c r="B544" s="34" t="str">
        <f>_xlfn.XLOOKUP(C544,'[1]SIG Job Families &amp; Descriptions'!F:F,'[1]SIG Job Families &amp; Descriptions'!D:D)</f>
        <v>General Supply Chain</v>
      </c>
      <c r="C544" s="34" t="s">
        <v>117</v>
      </c>
      <c r="D544" s="30" t="str">
        <f t="shared" si="16"/>
        <v>ASC</v>
      </c>
      <c r="E544" s="31" t="str">
        <f>_xlfn.XLOOKUP(C544,'[1]SIG Job Families &amp; Descriptions'!F:F,'[1]SIG Job Families &amp; Descriptions'!A:A)</f>
        <v>ASC000</v>
      </c>
      <c r="F544" s="32" t="s">
        <v>32</v>
      </c>
      <c r="G544" s="33" t="s">
        <v>31</v>
      </c>
      <c r="H544" s="34" t="str">
        <f>F544&amp;"-"&amp;G544</f>
        <v>Professional-14</v>
      </c>
      <c r="I544" s="35" t="str">
        <f>IF(ISERROR(_xlfn.XLOOKUP(H544,'[1]SIG Level Structure'!D:D,'[1]SIG Level Structure'!D:D)),"0","1")</f>
        <v>1</v>
      </c>
      <c r="J544" s="36" t="str">
        <f>_xlfn.XLOOKUP($H544,'[1]SIG Level Structure'!$D:$D,'[1]SIG Level Structure'!F:F)</f>
        <v>P4</v>
      </c>
      <c r="K544" s="37" t="str">
        <f>E544&amp;"-"&amp;J544&amp;"-"&amp;G544</f>
        <v>ASC000-P4-14</v>
      </c>
      <c r="L544" s="37" t="str">
        <f>IFERROR(D544&amp;"-"&amp;LEFT(J544,1),"--")</f>
        <v>ASC-P</v>
      </c>
      <c r="M544" s="37" t="str">
        <f>VLOOKUP(L544,'[1]Compatible JC'!$A:$A,1,FALSE)</f>
        <v>ASC-P</v>
      </c>
      <c r="N544" s="37" t="str">
        <f>IFERROR(_xlfn.XLOOKUP(H544,'[1]SIG Level Structure'!D:D,'[1]SIG Level Structure'!C:C),"--")</f>
        <v>Senior Expert</v>
      </c>
      <c r="O544" s="38" t="str">
        <f>IFERROR(TRIM(N544&amp;" "&amp;C544),"--")</f>
        <v>Senior Expert General Supply Chain</v>
      </c>
      <c r="P544" s="22" t="str">
        <f>_xlfn.XLOOKUP(E544,'[1]SIG Job Families &amp; Descriptions'!A:A,'[1]SIG Job Families &amp; Descriptions'!G:G)</f>
        <v xml:space="preserve">Oversees supply chain and logistics functions such as material procurement, production planning, inventory control, outsourcing, vendor selection and distribution. Sets strategic direction and creates integrated processes among internal functions (e.g., operations, purchasing and logistics) and outside suppliers. Responsibilities are typically within the supply chain function as a generalist or in a combination of disciplines. </v>
      </c>
      <c r="Q544" s="39" t="str">
        <f>_xlfn.XLOOKUP(E544,'[1]2022 GI Position Descriptions'!E:E,'[1]2022 GI Position Descriptions'!G:G)</f>
        <v>Performs supply chain and logistics functions such as material procurement, production planning, inventory control, outsourcing, vendor selection and distribution | Creates integrated processes among internal functions (e.g., operations, purchasing and logistics) and outside suppliers | Responsibilities are within the Supply Chain and Logistics Function as a generalist or in a combination of Disciplines</v>
      </c>
      <c r="R544" s="22" t="str">
        <f>IF(LEFT(J544,1)="E","EX",LEFT(J544,1))</f>
        <v>P</v>
      </c>
      <c r="S544" s="22" t="str">
        <f>_xlfn.XLOOKUP($R544,'[1]Career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44" s="22" t="str">
        <f>J544</f>
        <v>P4</v>
      </c>
      <c r="U544" s="40" t="str">
        <f t="shared" si="17"/>
        <v>P4</v>
      </c>
      <c r="V544" s="22" t="str">
        <f>_xlfn.XLOOKUP(T544,'[1]Career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544" s="41" t="str">
        <f>J544&amp;"-"&amp;G544</f>
        <v>P4-14</v>
      </c>
      <c r="X544" s="42" t="str">
        <f>G544</f>
        <v>14</v>
      </c>
      <c r="Y544" s="22" t="str">
        <f>_xlfn.XLOOKUP(W544,'[1]Career Bands &amp; Levels'!A:A,'[1]Career Bands &amp; Levels'!C:C,"No Grade Differentiator")</f>
        <v xml:space="preserve">●	Guides others in resolving complex issues in own specialized area and solves complex problems with implications on cross-functional business processes and outcomes		
●	Serves as an advisor and applies knowledge of strategies that can be deployed within own function and discipline		
●	Applies working knowledge of the theories and concepts in other disciplines		
●	May lead teams or projects with broad visibility		</v>
      </c>
      <c r="Z544" s="43" t="str">
        <f>IFERROR(O544&amp;" - "&amp;G544,"--")</f>
        <v>Senior Expert General Supply Chain - 14</v>
      </c>
      <c r="AA544" s="44" t="str">
        <f>_xlfn.XLOOKUP($H544,'[1]SIG Qualifications Input'!$D:$D,'[1]SIG Qualifications Input'!$H:$H)</f>
        <v>University degree or equivalent and 8-10 years of work experience or equivalent, 
Experience in functionally leading (sub-)projects / teams</v>
      </c>
    </row>
    <row r="545" spans="1:27" ht="169" thickBot="1" x14ac:dyDescent="0.2">
      <c r="A545" s="34" t="str">
        <f>_xlfn.XLOOKUP(C545,'[1]SIG Job Families &amp; Descriptions'!F:F,'[1]SIG Job Families &amp; Descriptions'!B:B)</f>
        <v>Supply Chain &amp; Logistics</v>
      </c>
      <c r="B545" s="34" t="str">
        <f>_xlfn.XLOOKUP(C545,'[1]SIG Job Families &amp; Descriptions'!F:F,'[1]SIG Job Families &amp; Descriptions'!D:D)</f>
        <v>General Supply Chain</v>
      </c>
      <c r="C545" s="34" t="s">
        <v>117</v>
      </c>
      <c r="D545" s="30" t="str">
        <f t="shared" si="16"/>
        <v>ASC</v>
      </c>
      <c r="E545" s="31" t="str">
        <f>_xlfn.XLOOKUP(C545,'[1]SIG Job Families &amp; Descriptions'!F:F,'[1]SIG Job Families &amp; Descriptions'!A:A)</f>
        <v>ASC000</v>
      </c>
      <c r="F545" s="32" t="s">
        <v>32</v>
      </c>
      <c r="G545" s="33" t="s">
        <v>33</v>
      </c>
      <c r="H545" s="34" t="str">
        <f>F545&amp;"-"&amp;G545</f>
        <v>Professional-13</v>
      </c>
      <c r="I545" s="35" t="str">
        <f>IF(ISERROR(_xlfn.XLOOKUP(H545,'[1]SIG Level Structure'!D:D,'[1]SIG Level Structure'!D:D)),"0","1")</f>
        <v>1</v>
      </c>
      <c r="J545" s="36" t="str">
        <f>_xlfn.XLOOKUP($H545,'[1]SIG Level Structure'!$D:$D,'[1]SIG Level Structure'!F:F)</f>
        <v>P4</v>
      </c>
      <c r="K545" s="37" t="str">
        <f>E545&amp;"-"&amp;J545&amp;"-"&amp;G545</f>
        <v>ASC000-P4-13</v>
      </c>
      <c r="L545" s="37" t="str">
        <f>IFERROR(D545&amp;"-"&amp;LEFT(J545,1),"--")</f>
        <v>ASC-P</v>
      </c>
      <c r="M545" s="37" t="str">
        <f>VLOOKUP(L545,'[1]Compatible JC'!$A:$A,1,FALSE)</f>
        <v>ASC-P</v>
      </c>
      <c r="N545" s="37" t="str">
        <f>IFERROR(_xlfn.XLOOKUP(H545,'[1]SIG Level Structure'!D:D,'[1]SIG Level Structure'!C:C),"--")</f>
        <v>Senior Expert</v>
      </c>
      <c r="O545" s="38" t="str">
        <f>IFERROR(TRIM(N545&amp;" "&amp;C545),"--")</f>
        <v>Senior Expert General Supply Chain</v>
      </c>
      <c r="P545" s="22" t="str">
        <f>_xlfn.XLOOKUP(E545,'[1]SIG Job Families &amp; Descriptions'!A:A,'[1]SIG Job Families &amp; Descriptions'!G:G)</f>
        <v xml:space="preserve">Oversees supply chain and logistics functions such as material procurement, production planning, inventory control, outsourcing, vendor selection and distribution. Sets strategic direction and creates integrated processes among internal functions (e.g., operations, purchasing and logistics) and outside suppliers. Responsibilities are typically within the supply chain function as a generalist or in a combination of disciplines. </v>
      </c>
      <c r="Q545" s="39" t="str">
        <f>_xlfn.XLOOKUP(E545,'[1]2022 GI Position Descriptions'!E:E,'[1]2022 GI Position Descriptions'!G:G)</f>
        <v>Performs supply chain and logistics functions such as material procurement, production planning, inventory control, outsourcing, vendor selection and distribution | Creates integrated processes among internal functions (e.g., operations, purchasing and logistics) and outside suppliers | Responsibilities are within the Supply Chain and Logistics Function as a generalist or in a combination of Disciplines</v>
      </c>
      <c r="R545" s="22" t="str">
        <f>IF(LEFT(J545,1)="E","EX",LEFT(J545,1))</f>
        <v>P</v>
      </c>
      <c r="S545" s="22" t="str">
        <f>_xlfn.XLOOKUP($R545,'[1]Career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45" s="22" t="str">
        <f>J545</f>
        <v>P4</v>
      </c>
      <c r="U545" s="40" t="str">
        <f t="shared" si="17"/>
        <v>P4</v>
      </c>
      <c r="V545" s="22" t="str">
        <f>_xlfn.XLOOKUP(T545,'[1]Career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545" s="41" t="str">
        <f>J545&amp;"-"&amp;G545</f>
        <v>P4-13</v>
      </c>
      <c r="X545" s="42" t="str">
        <f>G545</f>
        <v>13</v>
      </c>
      <c r="Y545" s="22" t="str">
        <f>_xlfn.XLOOKUP(W545,'[1]Career Bands &amp; Levels'!A:A,'[1]Career Bands &amp; Levels'!C:C,"No Grade Differentiator")</f>
        <v xml:space="preserve">●	Guides others in resolving complex issues in specialized area based on existing solutions and procedures		
●	Serves as an expert within own discipline		
●	May lead function teams or projects and serves as a best practices/quality resource		
●	Trains/mentors junior staff		</v>
      </c>
      <c r="Z545" s="43" t="str">
        <f>IFERROR(O545&amp;" - "&amp;G545,"--")</f>
        <v>Senior Expert General Supply Chain - 13</v>
      </c>
      <c r="AA545" s="44" t="str">
        <f>_xlfn.XLOOKUP($H545,'[1]SIG Qualifications Input'!$D:$D,'[1]SIG Qualifications Input'!$H:$H)</f>
        <v>University degree or equivalent and 8-10 years of work experience or equivalent, 
Experience in functionally leading (sub-)projects / teams</v>
      </c>
    </row>
    <row r="546" spans="1:27" ht="169" thickBot="1" x14ac:dyDescent="0.2">
      <c r="A546" s="34" t="str">
        <f>_xlfn.XLOOKUP(C546,'[1]SIG Job Families &amp; Descriptions'!F:F,'[1]SIG Job Families &amp; Descriptions'!B:B)</f>
        <v>Supply Chain &amp; Logistics</v>
      </c>
      <c r="B546" s="34" t="str">
        <f>_xlfn.XLOOKUP(C546,'[1]SIG Job Families &amp; Descriptions'!F:F,'[1]SIG Job Families &amp; Descriptions'!D:D)</f>
        <v>General Supply Chain</v>
      </c>
      <c r="C546" s="34" t="s">
        <v>117</v>
      </c>
      <c r="D546" s="30" t="str">
        <f t="shared" si="16"/>
        <v>ASC</v>
      </c>
      <c r="E546" s="31" t="str">
        <f>_xlfn.XLOOKUP(C546,'[1]SIG Job Families &amp; Descriptions'!F:F,'[1]SIG Job Families &amp; Descriptions'!A:A)</f>
        <v>ASC000</v>
      </c>
      <c r="F546" s="32" t="s">
        <v>32</v>
      </c>
      <c r="G546" s="33" t="s">
        <v>34</v>
      </c>
      <c r="H546" s="34" t="str">
        <f>F546&amp;"-"&amp;G546</f>
        <v>Professional-12</v>
      </c>
      <c r="I546" s="35" t="str">
        <f>IF(ISERROR(_xlfn.XLOOKUP(H546,'[1]SIG Level Structure'!D:D,'[1]SIG Level Structure'!D:D)),"0","1")</f>
        <v>1</v>
      </c>
      <c r="J546" s="36" t="str">
        <f>_xlfn.XLOOKUP($H546,'[1]SIG Level Structure'!$D:$D,'[1]SIG Level Structure'!F:F)</f>
        <v>P3</v>
      </c>
      <c r="K546" s="37" t="str">
        <f>E546&amp;"-"&amp;J546&amp;"-"&amp;G546</f>
        <v>ASC000-P3-12</v>
      </c>
      <c r="L546" s="37" t="str">
        <f>IFERROR(D546&amp;"-"&amp;LEFT(J546,1),"--")</f>
        <v>ASC-P</v>
      </c>
      <c r="M546" s="37" t="str">
        <f>VLOOKUP(L546,'[1]Compatible JC'!$A:$A,1,FALSE)</f>
        <v>ASC-P</v>
      </c>
      <c r="N546" s="37" t="str">
        <f>IFERROR(_xlfn.XLOOKUP(H546,'[1]SIG Level Structure'!D:D,'[1]SIG Level Structure'!C:C),"--")</f>
        <v>Expert</v>
      </c>
      <c r="O546" s="38" t="str">
        <f>IFERROR(TRIM(N546&amp;" "&amp;C546),"--")</f>
        <v>Expert General Supply Chain</v>
      </c>
      <c r="P546" s="22" t="str">
        <f>_xlfn.XLOOKUP(E546,'[1]SIG Job Families &amp; Descriptions'!A:A,'[1]SIG Job Families &amp; Descriptions'!G:G)</f>
        <v xml:space="preserve">Oversees supply chain and logistics functions such as material procurement, production planning, inventory control, outsourcing, vendor selection and distribution. Sets strategic direction and creates integrated processes among internal functions (e.g., operations, purchasing and logistics) and outside suppliers. Responsibilities are typically within the supply chain function as a generalist or in a combination of disciplines. </v>
      </c>
      <c r="Q546" s="39" t="str">
        <f>_xlfn.XLOOKUP(E546,'[1]2022 GI Position Descriptions'!E:E,'[1]2022 GI Position Descriptions'!G:G)</f>
        <v>Performs supply chain and logistics functions such as material procurement, production planning, inventory control, outsourcing, vendor selection and distribution | Creates integrated processes among internal functions (e.g., operations, purchasing and logistics) and outside suppliers | Responsibilities are within the Supply Chain and Logistics Function as a generalist or in a combination of Disciplines</v>
      </c>
      <c r="R546" s="22" t="str">
        <f>IF(LEFT(J546,1)="E","EX",LEFT(J546,1))</f>
        <v>P</v>
      </c>
      <c r="S546" s="22" t="str">
        <f>_xlfn.XLOOKUP($R546,'[1]Career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46" s="22" t="str">
        <f>J546</f>
        <v>P3</v>
      </c>
      <c r="U546" s="40" t="str">
        <f t="shared" si="17"/>
        <v>P3</v>
      </c>
      <c r="V546" s="22" t="str">
        <f>_xlfn.XLOOKUP(T546,'[1]Career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546" s="41" t="str">
        <f>J546&amp;"-"&amp;G546</f>
        <v>P3-12</v>
      </c>
      <c r="X546" s="42" t="str">
        <f>G546</f>
        <v>12</v>
      </c>
      <c r="Y546" s="22" t="str">
        <f>_xlfn.XLOOKUP(W546,'[1]Career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546" s="43" t="str">
        <f>IFERROR(O546&amp;" - "&amp;G546,"--")</f>
        <v>Expert General Supply Chain - 12</v>
      </c>
      <c r="AA546" s="44" t="str">
        <f>_xlfn.XLOOKUP($H546,'[1]SIG Qualifications Input'!$D:$D,'[1]SIG Qualifications Input'!$H:$H)</f>
        <v>University degree or equivalent and 4-8 years of work experience or equivalent, 
Initial experience in functionally leading (sub-) projects</v>
      </c>
    </row>
    <row r="547" spans="1:27" ht="169" thickBot="1" x14ac:dyDescent="0.2">
      <c r="A547" s="34" t="str">
        <f>_xlfn.XLOOKUP(C547,'[1]SIG Job Families &amp; Descriptions'!F:F,'[1]SIG Job Families &amp; Descriptions'!B:B)</f>
        <v>Supply Chain &amp; Logistics</v>
      </c>
      <c r="B547" s="34" t="str">
        <f>_xlfn.XLOOKUP(C547,'[1]SIG Job Families &amp; Descriptions'!F:F,'[1]SIG Job Families &amp; Descriptions'!D:D)</f>
        <v>General Supply Chain</v>
      </c>
      <c r="C547" s="34" t="s">
        <v>117</v>
      </c>
      <c r="D547" s="30" t="str">
        <f t="shared" si="16"/>
        <v>ASC</v>
      </c>
      <c r="E547" s="31" t="str">
        <f>_xlfn.XLOOKUP(C547,'[1]SIG Job Families &amp; Descriptions'!F:F,'[1]SIG Job Families &amp; Descriptions'!A:A)</f>
        <v>ASC000</v>
      </c>
      <c r="F547" s="32" t="s">
        <v>32</v>
      </c>
      <c r="G547" s="33" t="s">
        <v>35</v>
      </c>
      <c r="H547" s="34" t="str">
        <f>F547&amp;"-"&amp;G547</f>
        <v>Professional-11</v>
      </c>
      <c r="I547" s="35" t="str">
        <f>IF(ISERROR(_xlfn.XLOOKUP(H547,'[1]SIG Level Structure'!D:D,'[1]SIG Level Structure'!D:D)),"0","1")</f>
        <v>1</v>
      </c>
      <c r="J547" s="36" t="str">
        <f>_xlfn.XLOOKUP($H547,'[1]SIG Level Structure'!$D:$D,'[1]SIG Level Structure'!F:F)</f>
        <v>P3</v>
      </c>
      <c r="K547" s="37" t="str">
        <f>E547&amp;"-"&amp;J547&amp;"-"&amp;G547</f>
        <v>ASC000-P3-11</v>
      </c>
      <c r="L547" s="37" t="str">
        <f>IFERROR(D547&amp;"-"&amp;LEFT(J547,1),"--")</f>
        <v>ASC-P</v>
      </c>
      <c r="M547" s="37" t="str">
        <f>VLOOKUP(L547,'[1]Compatible JC'!$A:$A,1,FALSE)</f>
        <v>ASC-P</v>
      </c>
      <c r="N547" s="37" t="str">
        <f>IFERROR(_xlfn.XLOOKUP(H547,'[1]SIG Level Structure'!D:D,'[1]SIG Level Structure'!C:C),"--")</f>
        <v>Expert</v>
      </c>
      <c r="O547" s="38" t="str">
        <f>IFERROR(TRIM(N547&amp;" "&amp;C547),"--")</f>
        <v>Expert General Supply Chain</v>
      </c>
      <c r="P547" s="22" t="str">
        <f>_xlfn.XLOOKUP(E547,'[1]SIG Job Families &amp; Descriptions'!A:A,'[1]SIG Job Families &amp; Descriptions'!G:G)</f>
        <v xml:space="preserve">Oversees supply chain and logistics functions such as material procurement, production planning, inventory control, outsourcing, vendor selection and distribution. Sets strategic direction and creates integrated processes among internal functions (e.g., operations, purchasing and logistics) and outside suppliers. Responsibilities are typically within the supply chain function as a generalist or in a combination of disciplines. </v>
      </c>
      <c r="Q547" s="39" t="str">
        <f>_xlfn.XLOOKUP(E547,'[1]2022 GI Position Descriptions'!E:E,'[1]2022 GI Position Descriptions'!G:G)</f>
        <v>Performs supply chain and logistics functions such as material procurement, production planning, inventory control, outsourcing, vendor selection and distribution | Creates integrated processes among internal functions (e.g., operations, purchasing and logistics) and outside suppliers | Responsibilities are within the Supply Chain and Logistics Function as a generalist or in a combination of Disciplines</v>
      </c>
      <c r="R547" s="22" t="str">
        <f>IF(LEFT(J547,1)="E","EX",LEFT(J547,1))</f>
        <v>P</v>
      </c>
      <c r="S547" s="22" t="str">
        <f>_xlfn.XLOOKUP($R547,'[1]Career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47" s="22" t="str">
        <f>J547</f>
        <v>P3</v>
      </c>
      <c r="U547" s="40" t="str">
        <f t="shared" si="17"/>
        <v>P3</v>
      </c>
      <c r="V547" s="22" t="str">
        <f>_xlfn.XLOOKUP(T547,'[1]Career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547" s="41" t="str">
        <f>J547&amp;"-"&amp;G547</f>
        <v>P3-11</v>
      </c>
      <c r="X547" s="42" t="str">
        <f>G547</f>
        <v>11</v>
      </c>
      <c r="Y547" s="22" t="str">
        <f>_xlfn.XLOOKUP(W547,'[1]Career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547" s="43" t="str">
        <f>IFERROR(O547&amp;" - "&amp;G547,"--")</f>
        <v>Expert General Supply Chain - 11</v>
      </c>
      <c r="AA547" s="44" t="str">
        <f>_xlfn.XLOOKUP($H547,'[1]SIG Qualifications Input'!$D:$D,'[1]SIG Qualifications Input'!$H:$H)</f>
        <v>University degree or equivalent and 4-8 years of work experience or equivalent, 
Initial experience in functionally leading (sub-) projects</v>
      </c>
    </row>
    <row r="548" spans="1:27" ht="169" thickBot="1" x14ac:dyDescent="0.2">
      <c r="A548" s="34" t="str">
        <f>_xlfn.XLOOKUP(C548,'[1]SIG Job Families &amp; Descriptions'!F:F,'[1]SIG Job Families &amp; Descriptions'!B:B)</f>
        <v>Supply Chain &amp; Logistics</v>
      </c>
      <c r="B548" s="34" t="str">
        <f>_xlfn.XLOOKUP(C548,'[1]SIG Job Families &amp; Descriptions'!F:F,'[1]SIG Job Families &amp; Descriptions'!D:D)</f>
        <v>General Supply Chain</v>
      </c>
      <c r="C548" s="34" t="s">
        <v>117</v>
      </c>
      <c r="D548" s="30" t="str">
        <f t="shared" si="16"/>
        <v>ASC</v>
      </c>
      <c r="E548" s="31" t="str">
        <f>_xlfn.XLOOKUP(C548,'[1]SIG Job Families &amp; Descriptions'!F:F,'[1]SIG Job Families &amp; Descriptions'!A:A)</f>
        <v>ASC000</v>
      </c>
      <c r="F548" s="32" t="s">
        <v>32</v>
      </c>
      <c r="G548" s="33" t="s">
        <v>36</v>
      </c>
      <c r="H548" s="34" t="str">
        <f>F548&amp;"-"&amp;G548</f>
        <v>Professional-10</v>
      </c>
      <c r="I548" s="35" t="str">
        <f>IF(ISERROR(_xlfn.XLOOKUP(H548,'[1]SIG Level Structure'!D:D,'[1]SIG Level Structure'!D:D)),"0","1")</f>
        <v>1</v>
      </c>
      <c r="J548" s="36" t="str">
        <f>_xlfn.XLOOKUP($H548,'[1]SIG Level Structure'!$D:$D,'[1]SIG Level Structure'!F:F)</f>
        <v>P2</v>
      </c>
      <c r="K548" s="37" t="str">
        <f>E548&amp;"-"&amp;J548&amp;"-"&amp;G548</f>
        <v>ASC000-P2-10</v>
      </c>
      <c r="L548" s="37" t="str">
        <f>IFERROR(D548&amp;"-"&amp;LEFT(J548,1),"--")</f>
        <v>ASC-P</v>
      </c>
      <c r="M548" s="37" t="str">
        <f>VLOOKUP(L548,'[1]Compatible JC'!$A:$A,1,FALSE)</f>
        <v>ASC-P</v>
      </c>
      <c r="N548" s="37" t="str">
        <f>IFERROR(_xlfn.XLOOKUP(H548,'[1]SIG Level Structure'!D:D,'[1]SIG Level Structure'!C:C),"--")</f>
        <v>Senior Specialist</v>
      </c>
      <c r="O548" s="38" t="str">
        <f>IFERROR(TRIM(N548&amp;" "&amp;C548),"--")</f>
        <v>Senior Specialist General Supply Chain</v>
      </c>
      <c r="P548" s="22" t="str">
        <f>_xlfn.XLOOKUP(E548,'[1]SIG Job Families &amp; Descriptions'!A:A,'[1]SIG Job Families &amp; Descriptions'!G:G)</f>
        <v xml:space="preserve">Oversees supply chain and logistics functions such as material procurement, production planning, inventory control, outsourcing, vendor selection and distribution. Sets strategic direction and creates integrated processes among internal functions (e.g., operations, purchasing and logistics) and outside suppliers. Responsibilities are typically within the supply chain function as a generalist or in a combination of disciplines. </v>
      </c>
      <c r="Q548" s="39" t="str">
        <f>_xlfn.XLOOKUP(E548,'[1]2022 GI Position Descriptions'!E:E,'[1]2022 GI Position Descriptions'!G:G)</f>
        <v>Performs supply chain and logistics functions such as material procurement, production planning, inventory control, outsourcing, vendor selection and distribution | Creates integrated processes among internal functions (e.g., operations, purchasing and logistics) and outside suppliers | Responsibilities are within the Supply Chain and Logistics Function as a generalist or in a combination of Disciplines</v>
      </c>
      <c r="R548" s="22" t="str">
        <f>IF(LEFT(J548,1)="E","EX",LEFT(J548,1))</f>
        <v>P</v>
      </c>
      <c r="S548" s="22" t="str">
        <f>_xlfn.XLOOKUP($R548,'[1]Career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48" s="22" t="str">
        <f>J548</f>
        <v>P2</v>
      </c>
      <c r="U548" s="40" t="str">
        <f t="shared" si="17"/>
        <v>P2</v>
      </c>
      <c r="V548" s="22" t="str">
        <f>_xlfn.XLOOKUP(T548,'[1]Career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548" s="41" t="str">
        <f>J548&amp;"-"&amp;G548</f>
        <v>P2-10</v>
      </c>
      <c r="X548" s="42" t="str">
        <f>G548</f>
        <v>10</v>
      </c>
      <c r="Y548" s="22" t="str">
        <f>_xlfn.XLOOKUP(W548,'[1]Career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548" s="43" t="str">
        <f>IFERROR(O548&amp;" - "&amp;G548,"--")</f>
        <v>Senior Specialist General Supply Chain - 10</v>
      </c>
      <c r="AA548" s="44" t="str">
        <f>_xlfn.XLOOKUP($H548,'[1]SIG Qualifications Input'!$D:$D,'[1]SIG Qualifications Input'!$H:$H)</f>
        <v>University degree or equivalent and 2-4 years of work experience or equivalent</v>
      </c>
    </row>
    <row r="549" spans="1:27" ht="169" thickBot="1" x14ac:dyDescent="0.2">
      <c r="A549" s="34" t="str">
        <f>_xlfn.XLOOKUP(C549,'[1]SIG Job Families &amp; Descriptions'!F:F,'[1]SIG Job Families &amp; Descriptions'!B:B)</f>
        <v>Supply Chain &amp; Logistics</v>
      </c>
      <c r="B549" s="34" t="str">
        <f>_xlfn.XLOOKUP(C549,'[1]SIG Job Families &amp; Descriptions'!F:F,'[1]SIG Job Families &amp; Descriptions'!D:D)</f>
        <v>General Supply Chain</v>
      </c>
      <c r="C549" s="34" t="s">
        <v>117</v>
      </c>
      <c r="D549" s="30" t="str">
        <f t="shared" si="16"/>
        <v>ASC</v>
      </c>
      <c r="E549" s="31" t="str">
        <f>_xlfn.XLOOKUP(C549,'[1]SIG Job Families &amp; Descriptions'!F:F,'[1]SIG Job Families &amp; Descriptions'!A:A)</f>
        <v>ASC000</v>
      </c>
      <c r="F549" s="32" t="s">
        <v>32</v>
      </c>
      <c r="G549" s="33" t="s">
        <v>37</v>
      </c>
      <c r="H549" s="34" t="str">
        <f>F549&amp;"-"&amp;G549</f>
        <v>Professional-09</v>
      </c>
      <c r="I549" s="35" t="str">
        <f>IF(ISERROR(_xlfn.XLOOKUP(H549,'[1]SIG Level Structure'!D:D,'[1]SIG Level Structure'!D:D)),"0","1")</f>
        <v>1</v>
      </c>
      <c r="J549" s="36" t="str">
        <f>_xlfn.XLOOKUP($H549,'[1]SIG Level Structure'!$D:$D,'[1]SIG Level Structure'!F:F)</f>
        <v>P2</v>
      </c>
      <c r="K549" s="37" t="str">
        <f>E549&amp;"-"&amp;J549&amp;"-"&amp;G549</f>
        <v>ASC000-P2-09</v>
      </c>
      <c r="L549" s="37" t="str">
        <f>IFERROR(D549&amp;"-"&amp;LEFT(J549,1),"--")</f>
        <v>ASC-P</v>
      </c>
      <c r="M549" s="37" t="str">
        <f>VLOOKUP(L549,'[1]Compatible JC'!$A:$A,1,FALSE)</f>
        <v>ASC-P</v>
      </c>
      <c r="N549" s="37" t="str">
        <f>IFERROR(_xlfn.XLOOKUP(H549,'[1]SIG Level Structure'!D:D,'[1]SIG Level Structure'!C:C),"--")</f>
        <v>Senior Specialist</v>
      </c>
      <c r="O549" s="38" t="str">
        <f>IFERROR(TRIM(N549&amp;" "&amp;C549),"--")</f>
        <v>Senior Specialist General Supply Chain</v>
      </c>
      <c r="P549" s="22" t="str">
        <f>_xlfn.XLOOKUP(E549,'[1]SIG Job Families &amp; Descriptions'!A:A,'[1]SIG Job Families &amp; Descriptions'!G:G)</f>
        <v xml:space="preserve">Oversees supply chain and logistics functions such as material procurement, production planning, inventory control, outsourcing, vendor selection and distribution. Sets strategic direction and creates integrated processes among internal functions (e.g., operations, purchasing and logistics) and outside suppliers. Responsibilities are typically within the supply chain function as a generalist or in a combination of disciplines. </v>
      </c>
      <c r="Q549" s="39" t="str">
        <f>_xlfn.XLOOKUP(E549,'[1]2022 GI Position Descriptions'!E:E,'[1]2022 GI Position Descriptions'!G:G)</f>
        <v>Performs supply chain and logistics functions such as material procurement, production planning, inventory control, outsourcing, vendor selection and distribution | Creates integrated processes among internal functions (e.g., operations, purchasing and logistics) and outside suppliers | Responsibilities are within the Supply Chain and Logistics Function as a generalist or in a combination of Disciplines</v>
      </c>
      <c r="R549" s="22" t="str">
        <f>IF(LEFT(J549,1)="E","EX",LEFT(J549,1))</f>
        <v>P</v>
      </c>
      <c r="S549" s="22" t="str">
        <f>_xlfn.XLOOKUP($R549,'[1]Career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49" s="22" t="str">
        <f>J549</f>
        <v>P2</v>
      </c>
      <c r="U549" s="40" t="str">
        <f t="shared" si="17"/>
        <v>P2</v>
      </c>
      <c r="V549" s="22" t="str">
        <f>_xlfn.XLOOKUP(T549,'[1]Career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549" s="41" t="str">
        <f>J549&amp;"-"&amp;G549</f>
        <v>P2-09</v>
      </c>
      <c r="X549" s="42" t="str">
        <f>G549</f>
        <v>09</v>
      </c>
      <c r="Y549" s="22" t="str">
        <f>_xlfn.XLOOKUP(W549,'[1]Career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549" s="43" t="str">
        <f>IFERROR(O549&amp;" - "&amp;G549,"--")</f>
        <v>Senior Specialist General Supply Chain - 09</v>
      </c>
      <c r="AA549" s="44" t="str">
        <f>_xlfn.XLOOKUP($H549,'[1]SIG Qualifications Input'!$D:$D,'[1]SIG Qualifications Input'!$H:$H)</f>
        <v>University degree or equivalent and 2-4 years of work experience or equivalent</v>
      </c>
    </row>
    <row r="550" spans="1:27" ht="169" thickBot="1" x14ac:dyDescent="0.2">
      <c r="A550" s="34" t="str">
        <f>_xlfn.XLOOKUP(C550,'[1]SIG Job Families &amp; Descriptions'!F:F,'[1]SIG Job Families &amp; Descriptions'!B:B)</f>
        <v>Supply Chain &amp; Logistics</v>
      </c>
      <c r="B550" s="34" t="str">
        <f>_xlfn.XLOOKUP(C550,'[1]SIG Job Families &amp; Descriptions'!F:F,'[1]SIG Job Families &amp; Descriptions'!D:D)</f>
        <v>General Supply Chain</v>
      </c>
      <c r="C550" s="34" t="s">
        <v>118</v>
      </c>
      <c r="D550" s="30" t="str">
        <f t="shared" si="16"/>
        <v>ASC</v>
      </c>
      <c r="E550" s="31" t="str">
        <f>_xlfn.XLOOKUP(C550,'[1]SIG Job Families &amp; Descriptions'!F:F,'[1]SIG Job Families &amp; Descriptions'!A:A)</f>
        <v>ASC034</v>
      </c>
      <c r="F550" s="32" t="s">
        <v>32</v>
      </c>
      <c r="G550" s="33" t="s">
        <v>36</v>
      </c>
      <c r="H550" s="34" t="str">
        <f>F550&amp;"-"&amp;G550</f>
        <v>Professional-10</v>
      </c>
      <c r="I550" s="35" t="str">
        <f>IF(ISERROR(_xlfn.XLOOKUP(H550,'[1]SIG Level Structure'!D:D,'[1]SIG Level Structure'!D:D)),"0","1")</f>
        <v>1</v>
      </c>
      <c r="J550" s="36" t="str">
        <f>_xlfn.XLOOKUP($H550,'[1]SIG Level Structure'!$D:$D,'[1]SIG Level Structure'!F:F)</f>
        <v>P2</v>
      </c>
      <c r="K550" s="37" t="str">
        <f>E550&amp;"-"&amp;J550&amp;"-"&amp;G550</f>
        <v>ASC034-P2-10</v>
      </c>
      <c r="L550" s="37" t="str">
        <f>IFERROR(D550&amp;"-"&amp;LEFT(J550,1),"--")</f>
        <v>ASC-P</v>
      </c>
      <c r="M550" s="37" t="str">
        <f>VLOOKUP(L550,'[1]Compatible JC'!$A:$A,1,FALSE)</f>
        <v>ASC-P</v>
      </c>
      <c r="N550" s="37" t="str">
        <f>IFERROR(_xlfn.XLOOKUP(H550,'[1]SIG Level Structure'!D:D,'[1]SIG Level Structure'!C:C),"--")</f>
        <v>Senior Specialist</v>
      </c>
      <c r="O550" s="38" t="str">
        <f>IFERROR(TRIM(N550&amp;" "&amp;C550),"--")</f>
        <v>Senior Specialist Demand &amp; Supply Planning</v>
      </c>
      <c r="P550" s="22" t="str">
        <f>_xlfn.XLOOKUP(E550,'[1]SIG Job Families &amp; Descriptions'!A:A,'[1]SIG Job Families &amp; Descriptions'!G:G)</f>
        <v xml:space="preserve">Oversees supply chain and logistics functions such as material procurement, production planning, inventory control, outsourcing, vendor selection and distribution. Sets strategic direction and creates integrated processes among internal functions (e.g., operations, purchasing and logistics) and outside suppliers. Responsibilities are typically within the supply chain function as a generalist or in a combination of disciplines. </v>
      </c>
      <c r="Q550" s="39" t="str">
        <f>_xlfn.XLOOKUP(E550,'[1]2022 GI Position Descriptions'!E:E,'[1]2022 GI Position Descriptions'!G:G)</f>
        <v>Involved in the centralized planning and coordination of distribution services | Ensures that distribution is scheduled to its most efficient use; typically done through computerized modeling techniques, where a balance between customer/branch demand is sought with stockholding and production | Formulates, implements and monitors periodic plans (weekly, monthly, annual) with corrective action instigated if necessary; statistics are stored as management information centrally and at depots and are used in manpower and resource planning</v>
      </c>
      <c r="R550" s="22" t="str">
        <f>IF(LEFT(J550,1)="E","EX",LEFT(J550,1))</f>
        <v>P</v>
      </c>
      <c r="S550" s="22" t="str">
        <f>_xlfn.XLOOKUP($R550,'[1]Career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50" s="22" t="str">
        <f>J550</f>
        <v>P2</v>
      </c>
      <c r="U550" s="40" t="str">
        <f t="shared" si="17"/>
        <v>P2</v>
      </c>
      <c r="V550" s="22" t="str">
        <f>_xlfn.XLOOKUP(T550,'[1]Career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550" s="41" t="str">
        <f>J550&amp;"-"&amp;G550</f>
        <v>P2-10</v>
      </c>
      <c r="X550" s="42" t="str">
        <f>G550</f>
        <v>10</v>
      </c>
      <c r="Y550" s="22" t="str">
        <f>_xlfn.XLOOKUP(W550,'[1]Career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550" s="43" t="str">
        <f>IFERROR(O550&amp;" - "&amp;G550,"--")</f>
        <v>Senior Specialist Demand &amp; Supply Planning - 10</v>
      </c>
      <c r="AA550" s="44" t="str">
        <f>_xlfn.XLOOKUP($H550,'[1]SIG Qualifications Input'!$D:$D,'[1]SIG Qualifications Input'!$H:$H)</f>
        <v>University degree or equivalent and 2-4 years of work experience or equivalent</v>
      </c>
    </row>
    <row r="551" spans="1:27" ht="169" thickBot="1" x14ac:dyDescent="0.2">
      <c r="A551" s="34" t="str">
        <f>_xlfn.XLOOKUP(C551,'[1]SIG Job Families &amp; Descriptions'!F:F,'[1]SIG Job Families &amp; Descriptions'!B:B)</f>
        <v>Supply Chain &amp; Logistics</v>
      </c>
      <c r="B551" s="34" t="str">
        <f>_xlfn.XLOOKUP(C551,'[1]SIG Job Families &amp; Descriptions'!F:F,'[1]SIG Job Families &amp; Descriptions'!D:D)</f>
        <v>General Supply Chain</v>
      </c>
      <c r="C551" s="34" t="s">
        <v>118</v>
      </c>
      <c r="D551" s="30" t="str">
        <f t="shared" si="16"/>
        <v>ASC</v>
      </c>
      <c r="E551" s="31" t="str">
        <f>_xlfn.XLOOKUP(C551,'[1]SIG Job Families &amp; Descriptions'!F:F,'[1]SIG Job Families &amp; Descriptions'!A:A)</f>
        <v>ASC034</v>
      </c>
      <c r="F551" s="32" t="s">
        <v>32</v>
      </c>
      <c r="G551" s="33" t="s">
        <v>37</v>
      </c>
      <c r="H551" s="34" t="str">
        <f>F551&amp;"-"&amp;G551</f>
        <v>Professional-09</v>
      </c>
      <c r="I551" s="35" t="str">
        <f>IF(ISERROR(_xlfn.XLOOKUP(H551,'[1]SIG Level Structure'!D:D,'[1]SIG Level Structure'!D:D)),"0","1")</f>
        <v>1</v>
      </c>
      <c r="J551" s="36" t="str">
        <f>_xlfn.XLOOKUP($H551,'[1]SIG Level Structure'!$D:$D,'[1]SIG Level Structure'!F:F)</f>
        <v>P2</v>
      </c>
      <c r="K551" s="37" t="str">
        <f>E551&amp;"-"&amp;J551&amp;"-"&amp;G551</f>
        <v>ASC034-P2-09</v>
      </c>
      <c r="L551" s="37" t="str">
        <f>IFERROR(D551&amp;"-"&amp;LEFT(J551,1),"--")</f>
        <v>ASC-P</v>
      </c>
      <c r="M551" s="37" t="str">
        <f>VLOOKUP(L551,'[1]Compatible JC'!$A:$A,1,FALSE)</f>
        <v>ASC-P</v>
      </c>
      <c r="N551" s="37" t="str">
        <f>IFERROR(_xlfn.XLOOKUP(H551,'[1]SIG Level Structure'!D:D,'[1]SIG Level Structure'!C:C),"--")</f>
        <v>Senior Specialist</v>
      </c>
      <c r="O551" s="38" t="str">
        <f>IFERROR(TRIM(N551&amp;" "&amp;C551),"--")</f>
        <v>Senior Specialist Demand &amp; Supply Planning</v>
      </c>
      <c r="P551" s="22" t="str">
        <f>_xlfn.XLOOKUP(E551,'[1]SIG Job Families &amp; Descriptions'!A:A,'[1]SIG Job Families &amp; Descriptions'!G:G)</f>
        <v xml:space="preserve">Oversees supply chain and logistics functions such as material procurement, production planning, inventory control, outsourcing, vendor selection and distribution. Sets strategic direction and creates integrated processes among internal functions (e.g., operations, purchasing and logistics) and outside suppliers. Responsibilities are typically within the supply chain function as a generalist or in a combination of disciplines. </v>
      </c>
      <c r="Q551" s="39" t="str">
        <f>_xlfn.XLOOKUP(E551,'[1]2022 GI Position Descriptions'!E:E,'[1]2022 GI Position Descriptions'!G:G)</f>
        <v>Involved in the centralized planning and coordination of distribution services | Ensures that distribution is scheduled to its most efficient use; typically done through computerized modeling techniques, where a balance between customer/branch demand is sought with stockholding and production | Formulates, implements and monitors periodic plans (weekly, monthly, annual) with corrective action instigated if necessary; statistics are stored as management information centrally and at depots and are used in manpower and resource planning</v>
      </c>
      <c r="R551" s="22" t="str">
        <f>IF(LEFT(J551,1)="E","EX",LEFT(J551,1))</f>
        <v>P</v>
      </c>
      <c r="S551" s="22" t="str">
        <f>_xlfn.XLOOKUP($R551,'[1]Career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51" s="22" t="str">
        <f>J551</f>
        <v>P2</v>
      </c>
      <c r="U551" s="40" t="str">
        <f t="shared" si="17"/>
        <v>P2</v>
      </c>
      <c r="V551" s="22" t="str">
        <f>_xlfn.XLOOKUP(T551,'[1]Career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551" s="41" t="str">
        <f>J551&amp;"-"&amp;G551</f>
        <v>P2-09</v>
      </c>
      <c r="X551" s="42" t="str">
        <f>G551</f>
        <v>09</v>
      </c>
      <c r="Y551" s="22" t="str">
        <f>_xlfn.XLOOKUP(W551,'[1]Career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551" s="43" t="str">
        <f>IFERROR(O551&amp;" - "&amp;G551,"--")</f>
        <v>Senior Specialist Demand &amp; Supply Planning - 09</v>
      </c>
      <c r="AA551" s="44" t="str">
        <f>_xlfn.XLOOKUP($H551,'[1]SIG Qualifications Input'!$D:$D,'[1]SIG Qualifications Input'!$H:$H)</f>
        <v>University degree or equivalent and 2-4 years of work experience or equivalent</v>
      </c>
    </row>
    <row r="552" spans="1:27" ht="183" thickBot="1" x14ac:dyDescent="0.2">
      <c r="A552" s="34" t="str">
        <f>_xlfn.XLOOKUP(C552,'[1]SIG Job Families &amp; Descriptions'!F:F,'[1]SIG Job Families &amp; Descriptions'!B:B)</f>
        <v>Supply Chain &amp; Logistics</v>
      </c>
      <c r="B552" s="34" t="str">
        <f>_xlfn.XLOOKUP(C552,'[1]SIG Job Families &amp; Descriptions'!F:F,'[1]SIG Job Families &amp; Descriptions'!D:D)</f>
        <v>Logistics</v>
      </c>
      <c r="C552" s="34" t="s">
        <v>119</v>
      </c>
      <c r="D552" s="30" t="str">
        <f t="shared" si="16"/>
        <v>ASC</v>
      </c>
      <c r="E552" s="31" t="str">
        <f>_xlfn.XLOOKUP(C552,'[1]SIG Job Families &amp; Descriptions'!F:F,'[1]SIG Job Families &amp; Descriptions'!A:A)</f>
        <v>ASC030</v>
      </c>
      <c r="F552" s="32" t="s">
        <v>29</v>
      </c>
      <c r="G552" s="33" t="s">
        <v>30</v>
      </c>
      <c r="H552" s="34" t="str">
        <f>F552&amp;"-"&amp;G552</f>
        <v>Management-15</v>
      </c>
      <c r="I552" s="35" t="str">
        <f>IF(ISERROR(_xlfn.XLOOKUP(H552,'[1]SIG Level Structure'!D:D,'[1]SIG Level Structure'!D:D)),"0","1")</f>
        <v>1</v>
      </c>
      <c r="J552" s="36" t="str">
        <f>_xlfn.XLOOKUP($H552,'[1]SIG Level Structure'!$D:$D,'[1]SIG Level Structure'!F:F)</f>
        <v>M3</v>
      </c>
      <c r="K552" s="37" t="str">
        <f>E552&amp;"-"&amp;J552&amp;"-"&amp;G552</f>
        <v>ASC030-M3-15</v>
      </c>
      <c r="L552" s="37" t="str">
        <f>IFERROR(D552&amp;"-"&amp;LEFT(J552,1),"--")</f>
        <v>ASC-M</v>
      </c>
      <c r="M552" s="37" t="str">
        <f>VLOOKUP(L552,'[1]Compatible JC'!$A:$A,1,FALSE)</f>
        <v>ASC-M</v>
      </c>
      <c r="N552" s="37" t="str">
        <f>IFERROR(_xlfn.XLOOKUP(H552,'[1]SIG Level Structure'!D:D,'[1]SIG Level Structure'!C:C),"--")</f>
        <v>Senior Manager</v>
      </c>
      <c r="O552" s="38" t="str">
        <f>IFERROR(TRIM(N552&amp;" "&amp;C552),"--")</f>
        <v>Senior Manager Logistics</v>
      </c>
      <c r="P552" s="22" t="str">
        <f>_xlfn.XLOOKUP(E552,'[1]SIG Job Families &amp; Descriptions'!A:A,'[1]SIG Job Families &amp; Descriptions'!G:G)</f>
        <v>Coordinates inbound and outbound logistical operations, including inventory management, warehousing and transportation to ensure sufficient supply of goods and products. Controls the commercial impact of the complete range of activities from receiving, locating and dispatching, and optimizing inventory levels. Administers an effective system that meets the organization's inventory control needs through efficient transportation of raw materials, component parts and/or finished goods. May also include positions typically found in logistics environment, such as e.g. forklift drivers.</v>
      </c>
      <c r="Q552" s="39" t="str">
        <f>_xlfn.XLOOKUP(E552,'[1]2022 GI Position Descriptions'!E:E,'[1]2022 GI Position Descriptions'!G:G)</f>
        <v>Coordinates inbound and outbound logistical operations, including inventory management, warehousing and transportation to ensure sufficient supply of goods and products | Controls the commercial impact of the complete range of activities from receiving, locating and dispatching, sourcing, purchasing and optimizing inventory levels | Administers an effective system that meets the organization's inventory control needs through efficient transportation of raw materials, component parts and/or finished goods</v>
      </c>
      <c r="R552" s="22" t="str">
        <f>IF(LEFT(J552,1)="E","EX",LEFT(J552,1))</f>
        <v>M</v>
      </c>
      <c r="S552" s="22" t="str">
        <f>_xlfn.XLOOKUP($R552,'[1]Career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552" s="22" t="str">
        <f>J552</f>
        <v>M3</v>
      </c>
      <c r="U552" s="40" t="str">
        <f t="shared" si="17"/>
        <v>M3</v>
      </c>
      <c r="V552" s="22" t="str">
        <f>_xlfn.XLOOKUP(T552,'[1]Career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552" s="41" t="str">
        <f>J552&amp;"-"&amp;G552</f>
        <v>M3-15</v>
      </c>
      <c r="X552" s="42" t="str">
        <f>G552</f>
        <v>15</v>
      </c>
      <c r="Y552" s="22" t="str">
        <f>_xlfn.XLOOKUP(W552,'[1]Career Bands &amp; Levels'!A:A,'[1]Career Bands &amp; Levels'!C:C,"No Grade Differentiator")</f>
        <v xml:space="preserve">●	Looks beyond existing methodologies and own discipline to define and resolve complex problems
●	Develops plans and delivers results in fast-changing businesses and/or regulatory environments
●	Provides input to functional or departmental strategy		
●	Manages large, potentially diverse teams of managers and/or senior professionals		
		</v>
      </c>
      <c r="Z552" s="43" t="str">
        <f>IFERROR(O552&amp;" - "&amp;G552,"--")</f>
        <v>Senior Manager Logistics - 15</v>
      </c>
      <c r="AA552" s="44" t="str">
        <f>_xlfn.XLOOKUP($H552,'[1]SIG Qualifications Input'!$D:$D,'[1]SIG Qualifications Input'!$H:$H)</f>
        <v xml:space="preserve">University degree or equivalent and 10+ years of work experience or equivalent
Profound experience in managing performance and results of diverse activities / multiple teams </v>
      </c>
    </row>
    <row r="553" spans="1:27" ht="183" thickBot="1" x14ac:dyDescent="0.2">
      <c r="A553" s="34" t="str">
        <f>_xlfn.XLOOKUP(C553,'[1]SIG Job Families &amp; Descriptions'!F:F,'[1]SIG Job Families &amp; Descriptions'!B:B)</f>
        <v>Supply Chain &amp; Logistics</v>
      </c>
      <c r="B553" s="34" t="str">
        <f>_xlfn.XLOOKUP(C553,'[1]SIG Job Families &amp; Descriptions'!F:F,'[1]SIG Job Families &amp; Descriptions'!D:D)</f>
        <v>Logistics</v>
      </c>
      <c r="C553" s="34" t="s">
        <v>119</v>
      </c>
      <c r="D553" s="30" t="str">
        <f t="shared" si="16"/>
        <v>ASC</v>
      </c>
      <c r="E553" s="31" t="str">
        <f>_xlfn.XLOOKUP(C553,'[1]SIG Job Families &amp; Descriptions'!F:F,'[1]SIG Job Families &amp; Descriptions'!A:A)</f>
        <v>ASC030</v>
      </c>
      <c r="F553" s="32" t="s">
        <v>29</v>
      </c>
      <c r="G553" s="33" t="s">
        <v>31</v>
      </c>
      <c r="H553" s="34" t="str">
        <f>F553&amp;"-"&amp;G553</f>
        <v>Management-14</v>
      </c>
      <c r="I553" s="35" t="str">
        <f>IF(ISERROR(_xlfn.XLOOKUP(H553,'[1]SIG Level Structure'!D:D,'[1]SIG Level Structure'!D:D)),"0","1")</f>
        <v>1</v>
      </c>
      <c r="J553" s="36" t="str">
        <f>_xlfn.XLOOKUP($H553,'[1]SIG Level Structure'!$D:$D,'[1]SIG Level Structure'!F:F)</f>
        <v>M3</v>
      </c>
      <c r="K553" s="37" t="str">
        <f>E553&amp;"-"&amp;J553&amp;"-"&amp;G553</f>
        <v>ASC030-M3-14</v>
      </c>
      <c r="L553" s="37" t="str">
        <f>IFERROR(D553&amp;"-"&amp;LEFT(J553,1),"--")</f>
        <v>ASC-M</v>
      </c>
      <c r="M553" s="37" t="str">
        <f>VLOOKUP(L553,'[1]Compatible JC'!$A:$A,1,FALSE)</f>
        <v>ASC-M</v>
      </c>
      <c r="N553" s="37" t="str">
        <f>IFERROR(_xlfn.XLOOKUP(H553,'[1]SIG Level Structure'!D:D,'[1]SIG Level Structure'!C:C),"--")</f>
        <v>Senior Manager</v>
      </c>
      <c r="O553" s="38" t="str">
        <f>IFERROR(TRIM(N553&amp;" "&amp;C553),"--")</f>
        <v>Senior Manager Logistics</v>
      </c>
      <c r="P553" s="22" t="str">
        <f>_xlfn.XLOOKUP(E553,'[1]SIG Job Families &amp; Descriptions'!A:A,'[1]SIG Job Families &amp; Descriptions'!G:G)</f>
        <v>Coordinates inbound and outbound logistical operations, including inventory management, warehousing and transportation to ensure sufficient supply of goods and products. Controls the commercial impact of the complete range of activities from receiving, locating and dispatching, and optimizing inventory levels. Administers an effective system that meets the organization's inventory control needs through efficient transportation of raw materials, component parts and/or finished goods. May also include positions typically found in logistics environment, such as e.g. forklift drivers.</v>
      </c>
      <c r="Q553" s="39" t="str">
        <f>_xlfn.XLOOKUP(E553,'[1]2022 GI Position Descriptions'!E:E,'[1]2022 GI Position Descriptions'!G:G)</f>
        <v>Coordinates inbound and outbound logistical operations, including inventory management, warehousing and transportation to ensure sufficient supply of goods and products | Controls the commercial impact of the complete range of activities from receiving, locating and dispatching, sourcing, purchasing and optimizing inventory levels | Administers an effective system that meets the organization's inventory control needs through efficient transportation of raw materials, component parts and/or finished goods</v>
      </c>
      <c r="R553" s="22" t="str">
        <f>IF(LEFT(J553,1)="E","EX",LEFT(J553,1))</f>
        <v>M</v>
      </c>
      <c r="S553" s="22" t="str">
        <f>_xlfn.XLOOKUP($R553,'[1]Career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553" s="22" t="str">
        <f>J553</f>
        <v>M3</v>
      </c>
      <c r="U553" s="40" t="str">
        <f t="shared" si="17"/>
        <v>M3</v>
      </c>
      <c r="V553" s="22" t="str">
        <f>_xlfn.XLOOKUP(T553,'[1]Career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553" s="41" t="str">
        <f>J553&amp;"-"&amp;G553</f>
        <v>M3-14</v>
      </c>
      <c r="X553" s="42" t="str">
        <f>G553</f>
        <v>14</v>
      </c>
      <c r="Y553" s="22" t="str">
        <f>_xlfn.XLOOKUP(W553,'[1]Career Bands &amp; Levels'!A:A,'[1]Career Bands &amp; Levels'!C:C,"No Grade Differentiator")</f>
        <v xml:space="preserve">●	Identifies applications of functional knowledge and existing methodologies to complex problems	
●	Manages large teams of professionals and/or junior managers		
		</v>
      </c>
      <c r="Z553" s="43" t="str">
        <f>IFERROR(O553&amp;" - "&amp;G553,"--")</f>
        <v>Senior Manager Logistics - 14</v>
      </c>
      <c r="AA553" s="44" t="str">
        <f>_xlfn.XLOOKUP($H553,'[1]SIG Qualifications Input'!$D:$D,'[1]SIG Qualifications Input'!$H:$H)</f>
        <v xml:space="preserve">University degree or equivalent and 10+ years of work experience or equivalent
Profound experience in managing performance and results of diverse activities / multiple teams </v>
      </c>
    </row>
    <row r="554" spans="1:27" ht="183" thickBot="1" x14ac:dyDescent="0.2">
      <c r="A554" s="34" t="str">
        <f>_xlfn.XLOOKUP(C554,'[1]SIG Job Families &amp; Descriptions'!F:F,'[1]SIG Job Families &amp; Descriptions'!B:B)</f>
        <v>Supply Chain &amp; Logistics</v>
      </c>
      <c r="B554" s="34" t="str">
        <f>_xlfn.XLOOKUP(C554,'[1]SIG Job Families &amp; Descriptions'!F:F,'[1]SIG Job Families &amp; Descriptions'!D:D)</f>
        <v>Logistics</v>
      </c>
      <c r="C554" s="34" t="s">
        <v>119</v>
      </c>
      <c r="D554" s="30" t="str">
        <f t="shared" si="16"/>
        <v>ASC</v>
      </c>
      <c r="E554" s="31" t="str">
        <f>_xlfn.XLOOKUP(C554,'[1]SIG Job Families &amp; Descriptions'!F:F,'[1]SIG Job Families &amp; Descriptions'!A:A)</f>
        <v>ASC030</v>
      </c>
      <c r="F554" s="32" t="s">
        <v>29</v>
      </c>
      <c r="G554" s="33" t="s">
        <v>33</v>
      </c>
      <c r="H554" s="34" t="str">
        <f>F554&amp;"-"&amp;G554</f>
        <v>Management-13</v>
      </c>
      <c r="I554" s="35" t="str">
        <f>IF(ISERROR(_xlfn.XLOOKUP(H554,'[1]SIG Level Structure'!D:D,'[1]SIG Level Structure'!D:D)),"0","1")</f>
        <v>1</v>
      </c>
      <c r="J554" s="36" t="str">
        <f>_xlfn.XLOOKUP($H554,'[1]SIG Level Structure'!$D:$D,'[1]SIG Level Structure'!F:F)</f>
        <v>M2</v>
      </c>
      <c r="K554" s="37" t="str">
        <f>E554&amp;"-"&amp;J554&amp;"-"&amp;G554</f>
        <v>ASC030-M2-13</v>
      </c>
      <c r="L554" s="37" t="str">
        <f>IFERROR(D554&amp;"-"&amp;LEFT(J554,1),"--")</f>
        <v>ASC-M</v>
      </c>
      <c r="M554" s="37" t="str">
        <f>VLOOKUP(L554,'[1]Compatible JC'!$A:$A,1,FALSE)</f>
        <v>ASC-M</v>
      </c>
      <c r="N554" s="37" t="str">
        <f>IFERROR(_xlfn.XLOOKUP(H554,'[1]SIG Level Structure'!D:D,'[1]SIG Level Structure'!C:C),"--")</f>
        <v>Manager</v>
      </c>
      <c r="O554" s="38" t="str">
        <f>IFERROR(TRIM(N554&amp;" "&amp;C554),"--")</f>
        <v>Manager Logistics</v>
      </c>
      <c r="P554" s="22" t="str">
        <f>_xlfn.XLOOKUP(E554,'[1]SIG Job Families &amp; Descriptions'!A:A,'[1]SIG Job Families &amp; Descriptions'!G:G)</f>
        <v>Coordinates inbound and outbound logistical operations, including inventory management, warehousing and transportation to ensure sufficient supply of goods and products. Controls the commercial impact of the complete range of activities from receiving, locating and dispatching, and optimizing inventory levels. Administers an effective system that meets the organization's inventory control needs through efficient transportation of raw materials, component parts and/or finished goods. May also include positions typically found in logistics environment, such as e.g. forklift drivers.</v>
      </c>
      <c r="Q554" s="39" t="str">
        <f>_xlfn.XLOOKUP(E554,'[1]2022 GI Position Descriptions'!E:E,'[1]2022 GI Position Descriptions'!G:G)</f>
        <v>Coordinates inbound and outbound logistical operations, including inventory management, warehousing and transportation to ensure sufficient supply of goods and products | Controls the commercial impact of the complete range of activities from receiving, locating and dispatching, sourcing, purchasing and optimizing inventory levels | Administers an effective system that meets the organization's inventory control needs through efficient transportation of raw materials, component parts and/or finished goods</v>
      </c>
      <c r="R554" s="22" t="str">
        <f>IF(LEFT(J554,1)="E","EX",LEFT(J554,1))</f>
        <v>M</v>
      </c>
      <c r="S554" s="22" t="str">
        <f>_xlfn.XLOOKUP($R554,'[1]Career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554" s="22" t="str">
        <f>J554</f>
        <v>M2</v>
      </c>
      <c r="U554" s="40" t="str">
        <f t="shared" si="17"/>
        <v>M2</v>
      </c>
      <c r="V554" s="22" t="str">
        <f>_xlfn.XLOOKUP(T554,'[1]Career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554" s="41" t="str">
        <f>J554&amp;"-"&amp;G554</f>
        <v>M2-13</v>
      </c>
      <c r="X554" s="42" t="str">
        <f>G554</f>
        <v>13</v>
      </c>
      <c r="Y554" s="22" t="str">
        <f>_xlfn.XLOOKUP(W554,'[1]Career Bands &amp; Levels'!A:A,'[1]Career Bands &amp; Levels'!C:C,"No Grade Differentiator")</f>
        <v>●	Accountable for the budget, performance and results of a medium-sized team or multiple small teams of employees		
●	Exercises full management authority, including performance reviews, pay decisions, recruitment, discipline, termination and other personnel actions		
●	Addresses issues with impact beyond own team based on knowledge of related disciplines</v>
      </c>
      <c r="Z554" s="43" t="str">
        <f>IFERROR(O554&amp;" - "&amp;G554,"--")</f>
        <v>Manager Logistics - 13</v>
      </c>
      <c r="AA554" s="44" t="str">
        <f>_xlfn.XLOOKUP($H554,'[1]SIG Qualifications Input'!$D:$D,'[1]SIG Qualifications Input'!$H:$H)</f>
        <v>University degree or equivalent and 7-10 years of work experience or equivalent
Experience in managing mixed-level team(s) of professionals and subordinate managers</v>
      </c>
    </row>
    <row r="555" spans="1:27" ht="183" thickBot="1" x14ac:dyDescent="0.2">
      <c r="A555" s="34" t="str">
        <f>_xlfn.XLOOKUP(C555,'[1]SIG Job Families &amp; Descriptions'!F:F,'[1]SIG Job Families &amp; Descriptions'!B:B)</f>
        <v>Supply Chain &amp; Logistics</v>
      </c>
      <c r="B555" s="34" t="str">
        <f>_xlfn.XLOOKUP(C555,'[1]SIG Job Families &amp; Descriptions'!F:F,'[1]SIG Job Families &amp; Descriptions'!D:D)</f>
        <v>Logistics</v>
      </c>
      <c r="C555" s="34" t="s">
        <v>119</v>
      </c>
      <c r="D555" s="30" t="str">
        <f t="shared" si="16"/>
        <v>ASC</v>
      </c>
      <c r="E555" s="31" t="str">
        <f>_xlfn.XLOOKUP(C555,'[1]SIG Job Families &amp; Descriptions'!F:F,'[1]SIG Job Families &amp; Descriptions'!A:A)</f>
        <v>ASC030</v>
      </c>
      <c r="F555" s="32" t="s">
        <v>29</v>
      </c>
      <c r="G555" s="33" t="s">
        <v>34</v>
      </c>
      <c r="H555" s="34" t="str">
        <f>F555&amp;"-"&amp;G555</f>
        <v>Management-12</v>
      </c>
      <c r="I555" s="35" t="str">
        <f>IF(ISERROR(_xlfn.XLOOKUP(H555,'[1]SIG Level Structure'!D:D,'[1]SIG Level Structure'!D:D)),"0","1")</f>
        <v>1</v>
      </c>
      <c r="J555" s="36" t="str">
        <f>_xlfn.XLOOKUP($H555,'[1]SIG Level Structure'!$D:$D,'[1]SIG Level Structure'!F:F)</f>
        <v>M2</v>
      </c>
      <c r="K555" s="37" t="str">
        <f>E555&amp;"-"&amp;J555&amp;"-"&amp;G555</f>
        <v>ASC030-M2-12</v>
      </c>
      <c r="L555" s="37" t="str">
        <f>IFERROR(D555&amp;"-"&amp;LEFT(J555,1),"--")</f>
        <v>ASC-M</v>
      </c>
      <c r="M555" s="37" t="str">
        <f>VLOOKUP(L555,'[1]Compatible JC'!$A:$A,1,FALSE)</f>
        <v>ASC-M</v>
      </c>
      <c r="N555" s="37" t="str">
        <f>IFERROR(_xlfn.XLOOKUP(H555,'[1]SIG Level Structure'!D:D,'[1]SIG Level Structure'!C:C),"--")</f>
        <v>Manager</v>
      </c>
      <c r="O555" s="38" t="str">
        <f>IFERROR(TRIM(N555&amp;" "&amp;C555),"--")</f>
        <v>Manager Logistics</v>
      </c>
      <c r="P555" s="22" t="str">
        <f>_xlfn.XLOOKUP(E555,'[1]SIG Job Families &amp; Descriptions'!A:A,'[1]SIG Job Families &amp; Descriptions'!G:G)</f>
        <v>Coordinates inbound and outbound logistical operations, including inventory management, warehousing and transportation to ensure sufficient supply of goods and products. Controls the commercial impact of the complete range of activities from receiving, locating and dispatching, and optimizing inventory levels. Administers an effective system that meets the organization's inventory control needs through efficient transportation of raw materials, component parts and/or finished goods. May also include positions typically found in logistics environment, such as e.g. forklift drivers.</v>
      </c>
      <c r="Q555" s="39" t="str">
        <f>_xlfn.XLOOKUP(E555,'[1]2022 GI Position Descriptions'!E:E,'[1]2022 GI Position Descriptions'!G:G)</f>
        <v>Coordinates inbound and outbound logistical operations, including inventory management, warehousing and transportation to ensure sufficient supply of goods and products | Controls the commercial impact of the complete range of activities from receiving, locating and dispatching, sourcing, purchasing and optimizing inventory levels | Administers an effective system that meets the organization's inventory control needs through efficient transportation of raw materials, component parts and/or finished goods</v>
      </c>
      <c r="R555" s="22" t="str">
        <f>IF(LEFT(J555,1)="E","EX",LEFT(J555,1))</f>
        <v>M</v>
      </c>
      <c r="S555" s="22" t="str">
        <f>_xlfn.XLOOKUP($R555,'[1]Career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555" s="22" t="str">
        <f>J555</f>
        <v>M2</v>
      </c>
      <c r="U555" s="40" t="str">
        <f t="shared" si="17"/>
        <v>M2</v>
      </c>
      <c r="V555" s="22" t="str">
        <f>_xlfn.XLOOKUP(T555,'[1]Career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555" s="41" t="str">
        <f>J555&amp;"-"&amp;G555</f>
        <v>M2-12</v>
      </c>
      <c r="X555" s="42" t="str">
        <f>G555</f>
        <v>12</v>
      </c>
      <c r="Y555" s="22" t="str">
        <f>_xlfn.XLOOKUP(W555,'[1]Career Bands &amp; Levels'!A:A,'[1]Career Bands &amp; Levels'!C:C,"No Grade Differentiator")</f>
        <v xml:space="preserve">●	Accountable for results of a small team of employees		
●	Exercises limited management authority; sets employee performance objectives, conducts performance reviews and recommends pay actions		
●	Defines team operating standards and ensures essential procedures are followed based on knowledge of own discipline		</v>
      </c>
      <c r="Z555" s="43" t="str">
        <f>IFERROR(O555&amp;" - "&amp;G555,"--")</f>
        <v>Manager Logistics - 12</v>
      </c>
      <c r="AA555" s="44" t="str">
        <f>_xlfn.XLOOKUP($H555,'[1]SIG Qualifications Input'!$D:$D,'[1]SIG Qualifications Input'!$H:$H)</f>
        <v>University degree or equivalent and 7-10 years of work experience or equivalent
Experience in managing mixed-level team(s) of professionals and subordinate managers</v>
      </c>
    </row>
    <row r="556" spans="1:27" ht="183" thickBot="1" x14ac:dyDescent="0.2">
      <c r="A556" s="34" t="str">
        <f>_xlfn.XLOOKUP(C556,'[1]SIG Job Families &amp; Descriptions'!F:F,'[1]SIG Job Families &amp; Descriptions'!B:B)</f>
        <v>Supply Chain &amp; Logistics</v>
      </c>
      <c r="B556" s="34" t="str">
        <f>_xlfn.XLOOKUP(C556,'[1]SIG Job Families &amp; Descriptions'!F:F,'[1]SIG Job Families &amp; Descriptions'!D:D)</f>
        <v>Logistics</v>
      </c>
      <c r="C556" s="34" t="s">
        <v>119</v>
      </c>
      <c r="D556" s="30" t="str">
        <f t="shared" si="16"/>
        <v>ASC</v>
      </c>
      <c r="E556" s="31" t="str">
        <f>_xlfn.XLOOKUP(C556,'[1]SIG Job Families &amp; Descriptions'!F:F,'[1]SIG Job Families &amp; Descriptions'!A:A)</f>
        <v>ASC030</v>
      </c>
      <c r="F556" s="32" t="s">
        <v>29</v>
      </c>
      <c r="G556" s="33" t="s">
        <v>35</v>
      </c>
      <c r="H556" s="34" t="str">
        <f>F556&amp;"-"&amp;G556</f>
        <v>Management-11</v>
      </c>
      <c r="I556" s="35" t="str">
        <f>IF(ISERROR(_xlfn.XLOOKUP(H556,'[1]SIG Level Structure'!D:D,'[1]SIG Level Structure'!D:D)),"0","1")</f>
        <v>1</v>
      </c>
      <c r="J556" s="36" t="str">
        <f>_xlfn.XLOOKUP($H556,'[1]SIG Level Structure'!$D:$D,'[1]SIG Level Structure'!F:F)</f>
        <v>M1</v>
      </c>
      <c r="K556" s="37" t="str">
        <f>E556&amp;"-"&amp;J556&amp;"-"&amp;G556</f>
        <v>ASC030-M1-11</v>
      </c>
      <c r="L556" s="37" t="str">
        <f>IFERROR(D556&amp;"-"&amp;LEFT(J556,1),"--")</f>
        <v>ASC-M</v>
      </c>
      <c r="M556" s="37" t="str">
        <f>VLOOKUP(L556,'[1]Compatible JC'!$A:$A,1,FALSE)</f>
        <v>ASC-M</v>
      </c>
      <c r="N556" s="37" t="str">
        <f>IFERROR(_xlfn.XLOOKUP(H556,'[1]SIG Level Structure'!D:D,'[1]SIG Level Structure'!C:C),"--")</f>
        <v>Supervisor</v>
      </c>
      <c r="O556" s="38" t="str">
        <f>IFERROR(TRIM(N556&amp;" "&amp;C556),"--")</f>
        <v>Supervisor Logistics</v>
      </c>
      <c r="P556" s="22" t="str">
        <f>_xlfn.XLOOKUP(E556,'[1]SIG Job Families &amp; Descriptions'!A:A,'[1]SIG Job Families &amp; Descriptions'!G:G)</f>
        <v>Coordinates inbound and outbound logistical operations, including inventory management, warehousing and transportation to ensure sufficient supply of goods and products. Controls the commercial impact of the complete range of activities from receiving, locating and dispatching, and optimizing inventory levels. Administers an effective system that meets the organization's inventory control needs through efficient transportation of raw materials, component parts and/or finished goods. May also include positions typically found in logistics environment, such as e.g. forklift drivers.</v>
      </c>
      <c r="Q556" s="39" t="str">
        <f>_xlfn.XLOOKUP(E556,'[1]2022 GI Position Descriptions'!E:E,'[1]2022 GI Position Descriptions'!G:G)</f>
        <v>Coordinates inbound and outbound logistical operations, including inventory management, warehousing and transportation to ensure sufficient supply of goods and products | Controls the commercial impact of the complete range of activities from receiving, locating and dispatching, sourcing, purchasing and optimizing inventory levels | Administers an effective system that meets the organization's inventory control needs through efficient transportation of raw materials, component parts and/or finished goods</v>
      </c>
      <c r="R556" s="22" t="str">
        <f>IF(LEFT(J556,1)="E","EX",LEFT(J556,1))</f>
        <v>M</v>
      </c>
      <c r="S556" s="22" t="str">
        <f>_xlfn.XLOOKUP($R556,'[1]Career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556" s="22" t="str">
        <f>J556</f>
        <v>M1</v>
      </c>
      <c r="U556" s="40" t="str">
        <f t="shared" si="17"/>
        <v>M1</v>
      </c>
      <c r="V556" s="22" t="str">
        <f>_xlfn.XLOOKUP(T556,'[1]Career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556" s="41" t="str">
        <f>J556&amp;"-"&amp;G556</f>
        <v>M1-11</v>
      </c>
      <c r="X556" s="42" t="str">
        <f>G556</f>
        <v>11</v>
      </c>
      <c r="Y556" s="22" t="str">
        <f>_xlfn.XLOOKUP(W556,'[1]Career Bands &amp; Levels'!A:A,'[1]Career Bands &amp; Levels'!C:C,"No Grade Differentiator")</f>
        <v xml:space="preserve">●	Accountable for the results of a large and/or moderately complex support or production operations team including subordinate work leaders		
●	Applies acquired expertise to analyze and solve problems without clear precedent		
●	Provides input on resource planning and policy development		
●	Coaches team members on performance, completes employee performance evaluations and recommends pay actions		</v>
      </c>
      <c r="Z556" s="43" t="str">
        <f>IFERROR(O556&amp;" - "&amp;G556,"--")</f>
        <v>Supervisor Logistics - 11</v>
      </c>
      <c r="AA556" s="44" t="str">
        <f>_xlfn.XLOOKUP($H556,'[1]SIG Qualifications Input'!$D:$D,'[1]SIG Qualifications Input'!$H:$H)</f>
        <v>University degree or equivalent and 5-7 years of work experience or equivalent
Experienced in application of management techniques
Experience in operationally managing a mixed-level team</v>
      </c>
    </row>
    <row r="557" spans="1:27" ht="183" thickBot="1" x14ac:dyDescent="0.2">
      <c r="A557" s="34" t="str">
        <f>_xlfn.XLOOKUP(C557,'[1]SIG Job Families &amp; Descriptions'!F:F,'[1]SIG Job Families &amp; Descriptions'!B:B)</f>
        <v>Supply Chain &amp; Logistics</v>
      </c>
      <c r="B557" s="34" t="str">
        <f>_xlfn.XLOOKUP(C557,'[1]SIG Job Families &amp; Descriptions'!F:F,'[1]SIG Job Families &amp; Descriptions'!D:D)</f>
        <v>Logistics</v>
      </c>
      <c r="C557" s="34" t="s">
        <v>119</v>
      </c>
      <c r="D557" s="30" t="str">
        <f t="shared" si="16"/>
        <v>ASC</v>
      </c>
      <c r="E557" s="31" t="str">
        <f>_xlfn.XLOOKUP(C557,'[1]SIG Job Families &amp; Descriptions'!F:F,'[1]SIG Job Families &amp; Descriptions'!A:A)</f>
        <v>ASC030</v>
      </c>
      <c r="F557" s="32" t="s">
        <v>29</v>
      </c>
      <c r="G557" s="33" t="s">
        <v>36</v>
      </c>
      <c r="H557" s="34" t="str">
        <f>F557&amp;"-"&amp;G557</f>
        <v>Management-10</v>
      </c>
      <c r="I557" s="35" t="str">
        <f>IF(ISERROR(_xlfn.XLOOKUP(H557,'[1]SIG Level Structure'!D:D,'[1]SIG Level Structure'!D:D)),"0","1")</f>
        <v>1</v>
      </c>
      <c r="J557" s="36" t="str">
        <f>_xlfn.XLOOKUP($H557,'[1]SIG Level Structure'!$D:$D,'[1]SIG Level Structure'!F:F)</f>
        <v>M1</v>
      </c>
      <c r="K557" s="37" t="str">
        <f>E557&amp;"-"&amp;J557&amp;"-"&amp;G557</f>
        <v>ASC030-M1-10</v>
      </c>
      <c r="L557" s="37" t="str">
        <f>IFERROR(D557&amp;"-"&amp;LEFT(J557,1),"--")</f>
        <v>ASC-M</v>
      </c>
      <c r="M557" s="37" t="str">
        <f>VLOOKUP(L557,'[1]Compatible JC'!$A:$A,1,FALSE)</f>
        <v>ASC-M</v>
      </c>
      <c r="N557" s="37" t="str">
        <f>IFERROR(_xlfn.XLOOKUP(H557,'[1]SIG Level Structure'!D:D,'[1]SIG Level Structure'!C:C),"--")</f>
        <v>Supervisor</v>
      </c>
      <c r="O557" s="38" t="str">
        <f>IFERROR(TRIM(N557&amp;" "&amp;C557),"--")</f>
        <v>Supervisor Logistics</v>
      </c>
      <c r="P557" s="22" t="str">
        <f>_xlfn.XLOOKUP(E557,'[1]SIG Job Families &amp; Descriptions'!A:A,'[1]SIG Job Families &amp; Descriptions'!G:G)</f>
        <v>Coordinates inbound and outbound logistical operations, including inventory management, warehousing and transportation to ensure sufficient supply of goods and products. Controls the commercial impact of the complete range of activities from receiving, locating and dispatching, and optimizing inventory levels. Administers an effective system that meets the organization's inventory control needs through efficient transportation of raw materials, component parts and/or finished goods. May also include positions typically found in logistics environment, such as e.g. forklift drivers.</v>
      </c>
      <c r="Q557" s="39" t="str">
        <f>_xlfn.XLOOKUP(E557,'[1]2022 GI Position Descriptions'!E:E,'[1]2022 GI Position Descriptions'!G:G)</f>
        <v>Coordinates inbound and outbound logistical operations, including inventory management, warehousing and transportation to ensure sufficient supply of goods and products | Controls the commercial impact of the complete range of activities from receiving, locating and dispatching, sourcing, purchasing and optimizing inventory levels | Administers an effective system that meets the organization's inventory control needs through efficient transportation of raw materials, component parts and/or finished goods</v>
      </c>
      <c r="R557" s="22" t="str">
        <f>IF(LEFT(J557,1)="E","EX",LEFT(J557,1))</f>
        <v>M</v>
      </c>
      <c r="S557" s="22" t="str">
        <f>_xlfn.XLOOKUP($R557,'[1]Career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557" s="22" t="str">
        <f>J557</f>
        <v>M1</v>
      </c>
      <c r="U557" s="40" t="str">
        <f t="shared" si="17"/>
        <v>M1</v>
      </c>
      <c r="V557" s="22" t="str">
        <f>_xlfn.XLOOKUP(T557,'[1]Career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557" s="41" t="str">
        <f>J557&amp;"-"&amp;G557</f>
        <v>M1-10</v>
      </c>
      <c r="X557" s="42" t="str">
        <f>G557</f>
        <v>10</v>
      </c>
      <c r="Y557" s="22" t="str">
        <f>_xlfn.XLOOKUP(W557,'[1]Career Bands &amp; Levels'!A:A,'[1]Career Bands &amp; Levels'!C:C,"No Grade Differentiator")</f>
        <v xml:space="preserve">●	Accountable for the results of medium-sized routine support or production operations teams		
●	Solves problems based on practice and precedent		
●	Trains team members and provides input to employee performance evaluations		</v>
      </c>
      <c r="Z557" s="43" t="str">
        <f>IFERROR(O557&amp;" - "&amp;G557,"--")</f>
        <v>Supervisor Logistics - 10</v>
      </c>
      <c r="AA557" s="44" t="str">
        <f>_xlfn.XLOOKUP($H557,'[1]SIG Qualifications Input'!$D:$D,'[1]SIG Qualifications Input'!$H:$H)</f>
        <v>University degree or equivalent and 5-7 years of work experience or equivalent
Experienced in application of management techniques
Experience in operationally managing a mixed-level team</v>
      </c>
    </row>
    <row r="558" spans="1:27" ht="183" thickBot="1" x14ac:dyDescent="0.2">
      <c r="A558" s="34" t="str">
        <f>_xlfn.XLOOKUP(C558,'[1]SIG Job Families &amp; Descriptions'!F:F,'[1]SIG Job Families &amp; Descriptions'!B:B)</f>
        <v>Supply Chain &amp; Logistics</v>
      </c>
      <c r="B558" s="34" t="str">
        <f>_xlfn.XLOOKUP(C558,'[1]SIG Job Families &amp; Descriptions'!F:F,'[1]SIG Job Families &amp; Descriptions'!D:D)</f>
        <v>Logistics</v>
      </c>
      <c r="C558" s="34" t="s">
        <v>119</v>
      </c>
      <c r="D558" s="30" t="str">
        <f t="shared" si="16"/>
        <v>ASC</v>
      </c>
      <c r="E558" s="31" t="str">
        <f>_xlfn.XLOOKUP(C558,'[1]SIG Job Families &amp; Descriptions'!F:F,'[1]SIG Job Families &amp; Descriptions'!A:A)</f>
        <v>ASC030</v>
      </c>
      <c r="F558" s="32" t="s">
        <v>32</v>
      </c>
      <c r="G558" s="33" t="s">
        <v>34</v>
      </c>
      <c r="H558" s="34" t="str">
        <f>F558&amp;"-"&amp;G558</f>
        <v>Professional-12</v>
      </c>
      <c r="I558" s="35" t="str">
        <f>IF(ISERROR(_xlfn.XLOOKUP(H558,'[1]SIG Level Structure'!D:D,'[1]SIG Level Structure'!D:D)),"0","1")</f>
        <v>1</v>
      </c>
      <c r="J558" s="36" t="str">
        <f>_xlfn.XLOOKUP($H558,'[1]SIG Level Structure'!$D:$D,'[1]SIG Level Structure'!F:F)</f>
        <v>P3</v>
      </c>
      <c r="K558" s="37" t="str">
        <f>E558&amp;"-"&amp;J558&amp;"-"&amp;G558</f>
        <v>ASC030-P3-12</v>
      </c>
      <c r="L558" s="37" t="str">
        <f>IFERROR(D558&amp;"-"&amp;LEFT(J558,1),"--")</f>
        <v>ASC-P</v>
      </c>
      <c r="M558" s="37" t="str">
        <f>VLOOKUP(L558,'[1]Compatible JC'!$A:$A,1,FALSE)</f>
        <v>ASC-P</v>
      </c>
      <c r="N558" s="37" t="str">
        <f>IFERROR(_xlfn.XLOOKUP(H558,'[1]SIG Level Structure'!D:D,'[1]SIG Level Structure'!C:C),"--")</f>
        <v>Expert</v>
      </c>
      <c r="O558" s="38" t="str">
        <f>IFERROR(TRIM(N558&amp;" "&amp;C558),"--")</f>
        <v>Expert Logistics</v>
      </c>
      <c r="P558" s="22" t="str">
        <f>_xlfn.XLOOKUP(E558,'[1]SIG Job Families &amp; Descriptions'!A:A,'[1]SIG Job Families &amp; Descriptions'!G:G)</f>
        <v>Coordinates inbound and outbound logistical operations, including inventory management, warehousing and transportation to ensure sufficient supply of goods and products. Controls the commercial impact of the complete range of activities from receiving, locating and dispatching, and optimizing inventory levels. Administers an effective system that meets the organization's inventory control needs through efficient transportation of raw materials, component parts and/or finished goods. May also include positions typically found in logistics environment, such as e.g. forklift drivers.</v>
      </c>
      <c r="Q558" s="39" t="str">
        <f>_xlfn.XLOOKUP(E558,'[1]2022 GI Position Descriptions'!E:E,'[1]2022 GI Position Descriptions'!G:G)</f>
        <v>Coordinates inbound and outbound logistical operations, including inventory management, warehousing and transportation to ensure sufficient supply of goods and products | Controls the commercial impact of the complete range of activities from receiving, locating and dispatching, sourcing, purchasing and optimizing inventory levels | Administers an effective system that meets the organization's inventory control needs through efficient transportation of raw materials, component parts and/or finished goods</v>
      </c>
      <c r="R558" s="22" t="str">
        <f>IF(LEFT(J558,1)="E","EX",LEFT(J558,1))</f>
        <v>P</v>
      </c>
      <c r="S558" s="22" t="str">
        <f>_xlfn.XLOOKUP($R558,'[1]Career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58" s="22" t="str">
        <f>J558</f>
        <v>P3</v>
      </c>
      <c r="U558" s="40" t="str">
        <f t="shared" si="17"/>
        <v>P3</v>
      </c>
      <c r="V558" s="22" t="str">
        <f>_xlfn.XLOOKUP(T558,'[1]Career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558" s="41" t="str">
        <f>J558&amp;"-"&amp;G558</f>
        <v>P3-12</v>
      </c>
      <c r="X558" s="42" t="str">
        <f>G558</f>
        <v>12</v>
      </c>
      <c r="Y558" s="22" t="str">
        <f>_xlfn.XLOOKUP(W558,'[1]Career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558" s="43" t="str">
        <f>IFERROR(O558&amp;" - "&amp;G558,"--")</f>
        <v>Expert Logistics - 12</v>
      </c>
      <c r="AA558" s="44" t="str">
        <f>_xlfn.XLOOKUP($H558,'[1]SIG Qualifications Input'!$D:$D,'[1]SIG Qualifications Input'!$H:$H)</f>
        <v>University degree or equivalent and 4-8 years of work experience or equivalent, 
Initial experience in functionally leading (sub-) projects</v>
      </c>
    </row>
    <row r="559" spans="1:27" ht="183" thickBot="1" x14ac:dyDescent="0.2">
      <c r="A559" s="34" t="str">
        <f>_xlfn.XLOOKUP(C559,'[1]SIG Job Families &amp; Descriptions'!F:F,'[1]SIG Job Families &amp; Descriptions'!B:B)</f>
        <v>Supply Chain &amp; Logistics</v>
      </c>
      <c r="B559" s="34" t="str">
        <f>_xlfn.XLOOKUP(C559,'[1]SIG Job Families &amp; Descriptions'!F:F,'[1]SIG Job Families &amp; Descriptions'!D:D)</f>
        <v>Logistics</v>
      </c>
      <c r="C559" s="34" t="s">
        <v>119</v>
      </c>
      <c r="D559" s="30" t="str">
        <f t="shared" si="16"/>
        <v>ASC</v>
      </c>
      <c r="E559" s="31" t="str">
        <f>_xlfn.XLOOKUP(C559,'[1]SIG Job Families &amp; Descriptions'!F:F,'[1]SIG Job Families &amp; Descriptions'!A:A)</f>
        <v>ASC030</v>
      </c>
      <c r="F559" s="32" t="s">
        <v>32</v>
      </c>
      <c r="G559" s="33" t="s">
        <v>35</v>
      </c>
      <c r="H559" s="34" t="str">
        <f>F559&amp;"-"&amp;G559</f>
        <v>Professional-11</v>
      </c>
      <c r="I559" s="35" t="str">
        <f>IF(ISERROR(_xlfn.XLOOKUP(H559,'[1]SIG Level Structure'!D:D,'[1]SIG Level Structure'!D:D)),"0","1")</f>
        <v>1</v>
      </c>
      <c r="J559" s="36" t="str">
        <f>_xlfn.XLOOKUP($H559,'[1]SIG Level Structure'!$D:$D,'[1]SIG Level Structure'!F:F)</f>
        <v>P3</v>
      </c>
      <c r="K559" s="37" t="str">
        <f>E559&amp;"-"&amp;J559&amp;"-"&amp;G559</f>
        <v>ASC030-P3-11</v>
      </c>
      <c r="L559" s="37" t="str">
        <f>IFERROR(D559&amp;"-"&amp;LEFT(J559,1),"--")</f>
        <v>ASC-P</v>
      </c>
      <c r="M559" s="37" t="str">
        <f>VLOOKUP(L559,'[1]Compatible JC'!$A:$A,1,FALSE)</f>
        <v>ASC-P</v>
      </c>
      <c r="N559" s="37" t="str">
        <f>IFERROR(_xlfn.XLOOKUP(H559,'[1]SIG Level Structure'!D:D,'[1]SIG Level Structure'!C:C),"--")</f>
        <v>Expert</v>
      </c>
      <c r="O559" s="38" t="str">
        <f>IFERROR(TRIM(N559&amp;" "&amp;C559),"--")</f>
        <v>Expert Logistics</v>
      </c>
      <c r="P559" s="22" t="str">
        <f>_xlfn.XLOOKUP(E559,'[1]SIG Job Families &amp; Descriptions'!A:A,'[1]SIG Job Families &amp; Descriptions'!G:G)</f>
        <v>Coordinates inbound and outbound logistical operations, including inventory management, warehousing and transportation to ensure sufficient supply of goods and products. Controls the commercial impact of the complete range of activities from receiving, locating and dispatching, and optimizing inventory levels. Administers an effective system that meets the organization's inventory control needs through efficient transportation of raw materials, component parts and/or finished goods. May also include positions typically found in logistics environment, such as e.g. forklift drivers.</v>
      </c>
      <c r="Q559" s="39" t="str">
        <f>_xlfn.XLOOKUP(E559,'[1]2022 GI Position Descriptions'!E:E,'[1]2022 GI Position Descriptions'!G:G)</f>
        <v>Coordinates inbound and outbound logistical operations, including inventory management, warehousing and transportation to ensure sufficient supply of goods and products | Controls the commercial impact of the complete range of activities from receiving, locating and dispatching, sourcing, purchasing and optimizing inventory levels | Administers an effective system that meets the organization's inventory control needs through efficient transportation of raw materials, component parts and/or finished goods</v>
      </c>
      <c r="R559" s="22" t="str">
        <f>IF(LEFT(J559,1)="E","EX",LEFT(J559,1))</f>
        <v>P</v>
      </c>
      <c r="S559" s="22" t="str">
        <f>_xlfn.XLOOKUP($R559,'[1]Career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59" s="22" t="str">
        <f>J559</f>
        <v>P3</v>
      </c>
      <c r="U559" s="40" t="str">
        <f t="shared" si="17"/>
        <v>P3</v>
      </c>
      <c r="V559" s="22" t="str">
        <f>_xlfn.XLOOKUP(T559,'[1]Career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559" s="41" t="str">
        <f>J559&amp;"-"&amp;G559</f>
        <v>P3-11</v>
      </c>
      <c r="X559" s="42" t="str">
        <f>G559</f>
        <v>11</v>
      </c>
      <c r="Y559" s="22" t="str">
        <f>_xlfn.XLOOKUP(W559,'[1]Career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559" s="43" t="str">
        <f>IFERROR(O559&amp;" - "&amp;G559,"--")</f>
        <v>Expert Logistics - 11</v>
      </c>
      <c r="AA559" s="44" t="str">
        <f>_xlfn.XLOOKUP($H559,'[1]SIG Qualifications Input'!$D:$D,'[1]SIG Qualifications Input'!$H:$H)</f>
        <v>University degree or equivalent and 4-8 years of work experience or equivalent, 
Initial experience in functionally leading (sub-) projects</v>
      </c>
    </row>
    <row r="560" spans="1:27" ht="183" thickBot="1" x14ac:dyDescent="0.2">
      <c r="A560" s="34" t="str">
        <f>_xlfn.XLOOKUP(C560,'[1]SIG Job Families &amp; Descriptions'!F:F,'[1]SIG Job Families &amp; Descriptions'!B:B)</f>
        <v>Supply Chain &amp; Logistics</v>
      </c>
      <c r="B560" s="34" t="str">
        <f>_xlfn.XLOOKUP(C560,'[1]SIG Job Families &amp; Descriptions'!F:F,'[1]SIG Job Families &amp; Descriptions'!D:D)</f>
        <v>Logistics</v>
      </c>
      <c r="C560" s="34" t="s">
        <v>119</v>
      </c>
      <c r="D560" s="30" t="str">
        <f t="shared" si="16"/>
        <v>ASC</v>
      </c>
      <c r="E560" s="31" t="str">
        <f>_xlfn.XLOOKUP(C560,'[1]SIG Job Families &amp; Descriptions'!F:F,'[1]SIG Job Families &amp; Descriptions'!A:A)</f>
        <v>ASC030</v>
      </c>
      <c r="F560" s="32" t="s">
        <v>32</v>
      </c>
      <c r="G560" s="33" t="s">
        <v>36</v>
      </c>
      <c r="H560" s="34" t="str">
        <f>F560&amp;"-"&amp;G560</f>
        <v>Professional-10</v>
      </c>
      <c r="I560" s="35" t="str">
        <f>IF(ISERROR(_xlfn.XLOOKUP(H560,'[1]SIG Level Structure'!D:D,'[1]SIG Level Structure'!D:D)),"0","1")</f>
        <v>1</v>
      </c>
      <c r="J560" s="36" t="str">
        <f>_xlfn.XLOOKUP($H560,'[1]SIG Level Structure'!$D:$D,'[1]SIG Level Structure'!F:F)</f>
        <v>P2</v>
      </c>
      <c r="K560" s="37" t="str">
        <f>E560&amp;"-"&amp;J560&amp;"-"&amp;G560</f>
        <v>ASC030-P2-10</v>
      </c>
      <c r="L560" s="37" t="str">
        <f>IFERROR(D560&amp;"-"&amp;LEFT(J560,1),"--")</f>
        <v>ASC-P</v>
      </c>
      <c r="M560" s="37" t="str">
        <f>VLOOKUP(L560,'[1]Compatible JC'!$A:$A,1,FALSE)</f>
        <v>ASC-P</v>
      </c>
      <c r="N560" s="37" t="str">
        <f>IFERROR(_xlfn.XLOOKUP(H560,'[1]SIG Level Structure'!D:D,'[1]SIG Level Structure'!C:C),"--")</f>
        <v>Senior Specialist</v>
      </c>
      <c r="O560" s="38" t="str">
        <f>IFERROR(TRIM(N560&amp;" "&amp;C560),"--")</f>
        <v>Senior Specialist Logistics</v>
      </c>
      <c r="P560" s="22" t="str">
        <f>_xlfn.XLOOKUP(E560,'[1]SIG Job Families &amp; Descriptions'!A:A,'[1]SIG Job Families &amp; Descriptions'!G:G)</f>
        <v>Coordinates inbound and outbound logistical operations, including inventory management, warehousing and transportation to ensure sufficient supply of goods and products. Controls the commercial impact of the complete range of activities from receiving, locating and dispatching, and optimizing inventory levels. Administers an effective system that meets the organization's inventory control needs through efficient transportation of raw materials, component parts and/or finished goods. May also include positions typically found in logistics environment, such as e.g. forklift drivers.</v>
      </c>
      <c r="Q560" s="39" t="str">
        <f>_xlfn.XLOOKUP(E560,'[1]2022 GI Position Descriptions'!E:E,'[1]2022 GI Position Descriptions'!G:G)</f>
        <v>Coordinates inbound and outbound logistical operations, including inventory management, warehousing and transportation to ensure sufficient supply of goods and products | Controls the commercial impact of the complete range of activities from receiving, locating and dispatching, sourcing, purchasing and optimizing inventory levels | Administers an effective system that meets the organization's inventory control needs through efficient transportation of raw materials, component parts and/or finished goods</v>
      </c>
      <c r="R560" s="22" t="str">
        <f>IF(LEFT(J560,1)="E","EX",LEFT(J560,1))</f>
        <v>P</v>
      </c>
      <c r="S560" s="22" t="str">
        <f>_xlfn.XLOOKUP($R560,'[1]Career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60" s="22" t="str">
        <f>J560</f>
        <v>P2</v>
      </c>
      <c r="U560" s="40" t="str">
        <f t="shared" si="17"/>
        <v>P2</v>
      </c>
      <c r="V560" s="22" t="str">
        <f>_xlfn.XLOOKUP(T560,'[1]Career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560" s="41" t="str">
        <f>J560&amp;"-"&amp;G560</f>
        <v>P2-10</v>
      </c>
      <c r="X560" s="42" t="str">
        <f>G560</f>
        <v>10</v>
      </c>
      <c r="Y560" s="22" t="str">
        <f>_xlfn.XLOOKUP(W560,'[1]Career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560" s="43" t="str">
        <f>IFERROR(O560&amp;" - "&amp;G560,"--")</f>
        <v>Senior Specialist Logistics - 10</v>
      </c>
      <c r="AA560" s="44" t="str">
        <f>_xlfn.XLOOKUP($H560,'[1]SIG Qualifications Input'!$D:$D,'[1]SIG Qualifications Input'!$H:$H)</f>
        <v>University degree or equivalent and 2-4 years of work experience or equivalent</v>
      </c>
    </row>
    <row r="561" spans="1:27" ht="183" thickBot="1" x14ac:dyDescent="0.2">
      <c r="A561" s="34" t="str">
        <f>_xlfn.XLOOKUP(C561,'[1]SIG Job Families &amp; Descriptions'!F:F,'[1]SIG Job Families &amp; Descriptions'!B:B)</f>
        <v>Supply Chain &amp; Logistics</v>
      </c>
      <c r="B561" s="34" t="str">
        <f>_xlfn.XLOOKUP(C561,'[1]SIG Job Families &amp; Descriptions'!F:F,'[1]SIG Job Families &amp; Descriptions'!D:D)</f>
        <v>Logistics</v>
      </c>
      <c r="C561" s="34" t="s">
        <v>119</v>
      </c>
      <c r="D561" s="30" t="str">
        <f t="shared" si="16"/>
        <v>ASC</v>
      </c>
      <c r="E561" s="31" t="str">
        <f>_xlfn.XLOOKUP(C561,'[1]SIG Job Families &amp; Descriptions'!F:F,'[1]SIG Job Families &amp; Descriptions'!A:A)</f>
        <v>ASC030</v>
      </c>
      <c r="F561" s="32" t="s">
        <v>32</v>
      </c>
      <c r="G561" s="33" t="s">
        <v>37</v>
      </c>
      <c r="H561" s="34" t="str">
        <f>F561&amp;"-"&amp;G561</f>
        <v>Professional-09</v>
      </c>
      <c r="I561" s="35" t="str">
        <f>IF(ISERROR(_xlfn.XLOOKUP(H561,'[1]SIG Level Structure'!D:D,'[1]SIG Level Structure'!D:D)),"0","1")</f>
        <v>1</v>
      </c>
      <c r="J561" s="36" t="str">
        <f>_xlfn.XLOOKUP($H561,'[1]SIG Level Structure'!$D:$D,'[1]SIG Level Structure'!F:F)</f>
        <v>P2</v>
      </c>
      <c r="K561" s="37" t="str">
        <f>E561&amp;"-"&amp;J561&amp;"-"&amp;G561</f>
        <v>ASC030-P2-09</v>
      </c>
      <c r="L561" s="37" t="str">
        <f>IFERROR(D561&amp;"-"&amp;LEFT(J561,1),"--")</f>
        <v>ASC-P</v>
      </c>
      <c r="M561" s="37" t="str">
        <f>VLOOKUP(L561,'[1]Compatible JC'!$A:$A,1,FALSE)</f>
        <v>ASC-P</v>
      </c>
      <c r="N561" s="37" t="str">
        <f>IFERROR(_xlfn.XLOOKUP(H561,'[1]SIG Level Structure'!D:D,'[1]SIG Level Structure'!C:C),"--")</f>
        <v>Senior Specialist</v>
      </c>
      <c r="O561" s="38" t="str">
        <f>IFERROR(TRIM(N561&amp;" "&amp;C561),"--")</f>
        <v>Senior Specialist Logistics</v>
      </c>
      <c r="P561" s="22" t="str">
        <f>_xlfn.XLOOKUP(E561,'[1]SIG Job Families &amp; Descriptions'!A:A,'[1]SIG Job Families &amp; Descriptions'!G:G)</f>
        <v>Coordinates inbound and outbound logistical operations, including inventory management, warehousing and transportation to ensure sufficient supply of goods and products. Controls the commercial impact of the complete range of activities from receiving, locating and dispatching, and optimizing inventory levels. Administers an effective system that meets the organization's inventory control needs through efficient transportation of raw materials, component parts and/or finished goods. May also include positions typically found in logistics environment, such as e.g. forklift drivers.</v>
      </c>
      <c r="Q561" s="39" t="str">
        <f>_xlfn.XLOOKUP(E561,'[1]2022 GI Position Descriptions'!E:E,'[1]2022 GI Position Descriptions'!G:G)</f>
        <v>Coordinates inbound and outbound logistical operations, including inventory management, warehousing and transportation to ensure sufficient supply of goods and products | Controls the commercial impact of the complete range of activities from receiving, locating and dispatching, sourcing, purchasing and optimizing inventory levels | Administers an effective system that meets the organization's inventory control needs through efficient transportation of raw materials, component parts and/or finished goods</v>
      </c>
      <c r="R561" s="22" t="str">
        <f>IF(LEFT(J561,1)="E","EX",LEFT(J561,1))</f>
        <v>P</v>
      </c>
      <c r="S561" s="22" t="str">
        <f>_xlfn.XLOOKUP($R561,'[1]Career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61" s="22" t="str">
        <f>J561</f>
        <v>P2</v>
      </c>
      <c r="U561" s="40" t="str">
        <f t="shared" si="17"/>
        <v>P2</v>
      </c>
      <c r="V561" s="22" t="str">
        <f>_xlfn.XLOOKUP(T561,'[1]Career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561" s="41" t="str">
        <f>J561&amp;"-"&amp;G561</f>
        <v>P2-09</v>
      </c>
      <c r="X561" s="42" t="str">
        <f>G561</f>
        <v>09</v>
      </c>
      <c r="Y561" s="22" t="str">
        <f>_xlfn.XLOOKUP(W561,'[1]Career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561" s="43" t="str">
        <f>IFERROR(O561&amp;" - "&amp;G561,"--")</f>
        <v>Senior Specialist Logistics - 09</v>
      </c>
      <c r="AA561" s="44" t="str">
        <f>_xlfn.XLOOKUP($H561,'[1]SIG Qualifications Input'!$D:$D,'[1]SIG Qualifications Input'!$H:$H)</f>
        <v>University degree or equivalent and 2-4 years of work experience or equivalent</v>
      </c>
    </row>
    <row r="562" spans="1:27" ht="183" thickBot="1" x14ac:dyDescent="0.2">
      <c r="A562" s="34" t="str">
        <f>_xlfn.XLOOKUP(C562,'[1]SIG Job Families &amp; Descriptions'!F:F,'[1]SIG Job Families &amp; Descriptions'!B:B)</f>
        <v>Supply Chain &amp; Logistics</v>
      </c>
      <c r="B562" s="34" t="str">
        <f>_xlfn.XLOOKUP(C562,'[1]SIG Job Families &amp; Descriptions'!F:F,'[1]SIG Job Families &amp; Descriptions'!D:D)</f>
        <v>Logistics</v>
      </c>
      <c r="C562" s="34" t="s">
        <v>119</v>
      </c>
      <c r="D562" s="30" t="str">
        <f t="shared" si="16"/>
        <v>ASC</v>
      </c>
      <c r="E562" s="31" t="str">
        <f>_xlfn.XLOOKUP(C562,'[1]SIG Job Families &amp; Descriptions'!F:F,'[1]SIG Job Families &amp; Descriptions'!A:A)</f>
        <v>ASC030</v>
      </c>
      <c r="F562" s="32" t="s">
        <v>32</v>
      </c>
      <c r="G562" s="33" t="s">
        <v>43</v>
      </c>
      <c r="H562" s="34" t="str">
        <f>F562&amp;"-"&amp;G562</f>
        <v>Professional-08</v>
      </c>
      <c r="I562" s="35" t="str">
        <f>IF(ISERROR(_xlfn.XLOOKUP(H562,'[1]SIG Level Structure'!D:D,'[1]SIG Level Structure'!D:D)),"0","1")</f>
        <v>1</v>
      </c>
      <c r="J562" s="36" t="str">
        <f>_xlfn.XLOOKUP($H562,'[1]SIG Level Structure'!$D:$D,'[1]SIG Level Structure'!F:F)</f>
        <v>P1</v>
      </c>
      <c r="K562" s="37" t="str">
        <f>E562&amp;"-"&amp;J562&amp;"-"&amp;G562</f>
        <v>ASC030-P1-08</v>
      </c>
      <c r="L562" s="37" t="str">
        <f>IFERROR(D562&amp;"-"&amp;LEFT(J562,1),"--")</f>
        <v>ASC-P</v>
      </c>
      <c r="M562" s="37" t="str">
        <f>VLOOKUP(L562,'[1]Compatible JC'!$A:$A,1,FALSE)</f>
        <v>ASC-P</v>
      </c>
      <c r="N562" s="37" t="str">
        <f>IFERROR(_xlfn.XLOOKUP(H562,'[1]SIG Level Structure'!D:D,'[1]SIG Level Structure'!C:C),"--")</f>
        <v>Specialist</v>
      </c>
      <c r="O562" s="38" t="str">
        <f>IFERROR(TRIM(N562&amp;" "&amp;C562),"--")</f>
        <v>Specialist Logistics</v>
      </c>
      <c r="P562" s="22" t="str">
        <f>_xlfn.XLOOKUP(E562,'[1]SIG Job Families &amp; Descriptions'!A:A,'[1]SIG Job Families &amp; Descriptions'!G:G)</f>
        <v>Coordinates inbound and outbound logistical operations, including inventory management, warehousing and transportation to ensure sufficient supply of goods and products. Controls the commercial impact of the complete range of activities from receiving, locating and dispatching, and optimizing inventory levels. Administers an effective system that meets the organization's inventory control needs through efficient transportation of raw materials, component parts and/or finished goods. May also include positions typically found in logistics environment, such as e.g. forklift drivers.</v>
      </c>
      <c r="Q562" s="39" t="str">
        <f>_xlfn.XLOOKUP(E562,'[1]2022 GI Position Descriptions'!E:E,'[1]2022 GI Position Descriptions'!G:G)</f>
        <v>Coordinates inbound and outbound logistical operations, including inventory management, warehousing and transportation to ensure sufficient supply of goods and products | Controls the commercial impact of the complete range of activities from receiving, locating and dispatching, sourcing, purchasing and optimizing inventory levels | Administers an effective system that meets the organization's inventory control needs through efficient transportation of raw materials, component parts and/or finished goods</v>
      </c>
      <c r="R562" s="22" t="str">
        <f>IF(LEFT(J562,1)="E","EX",LEFT(J562,1))</f>
        <v>P</v>
      </c>
      <c r="S562" s="22" t="str">
        <f>_xlfn.XLOOKUP($R562,'[1]Career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62" s="22" t="str">
        <f>J562</f>
        <v>P1</v>
      </c>
      <c r="U562" s="40" t="str">
        <f t="shared" si="17"/>
        <v>P1</v>
      </c>
      <c r="V562" s="22" t="str">
        <f>_xlfn.XLOOKUP(T562,'[1]Career Bands &amp; Levels'!A:A,'[1]Career Bands &amp; Levels'!C:C)</f>
        <v xml:space="preserve">●	Performs routine assignments in the entry level of the Professional Career Band		
●	Typically requires a college or university degree or the equivalent work experience and has conceptual knowledge of fundamental theories, principles and practices 		
●	Has no discretion to vary from established procedures by performing structured work assignments		
●	Uses existing procedures to solve routine or standard problems		
●	Receives instruction, guidance and direction from more senior level roles		</v>
      </c>
      <c r="W562" s="41" t="str">
        <f>J562&amp;"-"&amp;G562</f>
        <v>P1-08</v>
      </c>
      <c r="X562" s="42" t="str">
        <f>G562</f>
        <v>08</v>
      </c>
      <c r="Y562" s="22" t="str">
        <f>_xlfn.XLOOKUP(W562,'[1]Career Bands &amp; Levels'!A:A,'[1]Career Bands &amp; Levels'!C:C,"No Grade Differentiator")</f>
        <v>No Grade Differentiator</v>
      </c>
      <c r="Z562" s="43" t="str">
        <f>IFERROR(O562&amp;" - "&amp;G562,"--")</f>
        <v>Specialist Logistics - 08</v>
      </c>
      <c r="AA562" s="44" t="str">
        <f>_xlfn.XLOOKUP($H562,'[1]SIG Qualifications Input'!$D:$D,'[1]SIG Qualifications Input'!$H:$H)</f>
        <v>University degree or equivalent and 0-1 year of work experience or equivalent</v>
      </c>
    </row>
    <row r="563" spans="1:27" ht="183" thickBot="1" x14ac:dyDescent="0.2">
      <c r="A563" s="34" t="str">
        <f>_xlfn.XLOOKUP(C563,'[1]SIG Job Families &amp; Descriptions'!F:F,'[1]SIG Job Families &amp; Descriptions'!B:B)</f>
        <v>Supply Chain &amp; Logistics</v>
      </c>
      <c r="B563" s="34" t="str">
        <f>_xlfn.XLOOKUP(C563,'[1]SIG Job Families &amp; Descriptions'!F:F,'[1]SIG Job Families &amp; Descriptions'!D:D)</f>
        <v>Logistics</v>
      </c>
      <c r="C563" s="34" t="s">
        <v>120</v>
      </c>
      <c r="D563" s="30" t="str">
        <f t="shared" si="16"/>
        <v>ASC</v>
      </c>
      <c r="E563" s="31" t="str">
        <f>_xlfn.XLOOKUP(C563,'[1]SIG Job Families &amp; Descriptions'!F:F,'[1]SIG Job Families &amp; Descriptions'!A:A)</f>
        <v>ASC022</v>
      </c>
      <c r="F563" s="32" t="s">
        <v>50</v>
      </c>
      <c r="G563" s="33" t="s">
        <v>53</v>
      </c>
      <c r="H563" s="34" t="str">
        <f>F563&amp;"-"&amp;G563</f>
        <v>Operations-06</v>
      </c>
      <c r="I563" s="35" t="str">
        <f>IF(ISERROR(_xlfn.XLOOKUP(H563,'[1]SIG Level Structure'!D:D,'[1]SIG Level Structure'!D:D)),"0","1")</f>
        <v>1</v>
      </c>
      <c r="J563" s="36" t="str">
        <f>_xlfn.XLOOKUP($H563,'[1]SIG Level Structure'!$D:$D,'[1]SIG Level Structure'!F:F)</f>
        <v>W3</v>
      </c>
      <c r="K563" s="37" t="str">
        <f>E563&amp;"-"&amp;J563&amp;"-"&amp;G563</f>
        <v>ASC022-W3-06</v>
      </c>
      <c r="L563" s="37" t="str">
        <f>IFERROR(D563&amp;"-"&amp;LEFT(J563,1),"--")</f>
        <v>ASC-W</v>
      </c>
      <c r="M563" s="37" t="str">
        <f>VLOOKUP(L563,'[1]Compatible JC'!$A:$A,1,FALSE)</f>
        <v>ASC-W</v>
      </c>
      <c r="N563" s="37" t="str">
        <f>IFERROR(_xlfn.XLOOKUP(H563,'[1]SIG Level Structure'!D:D,'[1]SIG Level Structure'!C:C),"--")</f>
        <v>Operator</v>
      </c>
      <c r="O563" s="38" t="str">
        <f>IFERROR(TRIM(N563&amp;" "&amp;C563),"--")</f>
        <v>Operator Forklift Operations</v>
      </c>
      <c r="P563" s="22" t="str">
        <f>_xlfn.XLOOKUP(E563,'[1]SIG Job Families &amp; Descriptions'!A:A,'[1]SIG Job Families &amp; Descriptions'!G:G)</f>
        <v>Coordinates inbound and outbound logistical operations, including inventory management, warehousing and transportation to ensure sufficient supply of goods and products. Controls the commercial impact of the complete range of activities from receiving, locating and dispatching, and optimizing inventory levels. Administers an effective system that meets the organization's inventory control needs through efficient transportation of raw materials, component parts and/or finished goods. May also include positions typically found in logistics environment, such as e.g. forklift drivers.</v>
      </c>
      <c r="Q563" s="39" t="str">
        <f>_xlfn.XLOOKUP(E563,'[1]2022 GI Position Descriptions'!E:E,'[1]2022 GI Position Descriptions'!G:G)</f>
        <v>Transports merchandise using a forklift truck or reach truck to designated locations within the warehouse, which may include loading, unloading and order picking</v>
      </c>
      <c r="R563" s="22" t="str">
        <f>IF(LEFT(J563,1)="E","EX",LEFT(J563,1))</f>
        <v>W</v>
      </c>
      <c r="S563" s="22" t="str">
        <f>_xlfn.XLOOKUP($R563,'[1]Career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563" s="22" t="str">
        <f>J563</f>
        <v>W3</v>
      </c>
      <c r="U563" s="40" t="str">
        <f t="shared" si="17"/>
        <v>W3</v>
      </c>
      <c r="V563" s="22" t="str">
        <f>_xlfn.XLOOKUP(T563,'[1]Career Bands &amp; Levels'!A:A,'[1]Career Bands &amp; Levels'!C:C)</f>
        <v xml:space="preserve">●	Has proficiency through job-related training and considerable work experience		
●	Completes work with a limited degree of supervision; regularly provides guidance to others with less experience		
●	May act as an informal resource for colleagues with less experience		</v>
      </c>
      <c r="W563" s="41" t="str">
        <f>J563&amp;"-"&amp;G563</f>
        <v>W3-06</v>
      </c>
      <c r="X563" s="42" t="str">
        <f>G563</f>
        <v>06</v>
      </c>
      <c r="Y563" s="22" t="str">
        <f>_xlfn.XLOOKUP(W563,'[1]Career Bands &amp; Levels'!A:A,'[1]Career Bands &amp; Levels'!C:C,"No Grade Differentiator")</f>
        <v>No Grade Differentiator</v>
      </c>
      <c r="Z563" s="43" t="str">
        <f>IFERROR(O563&amp;" - "&amp;G563,"--")</f>
        <v>Operator Forklift Operations - 06</v>
      </c>
      <c r="AA563" s="44" t="str">
        <f>_xlfn.XLOOKUP($H563,'[1]SIG Qualifications Input'!$D:$D,'[1]SIG Qualifications Input'!$H:$H)</f>
        <v>Vocational training in e.g. manual or technical  field or equivalent work experience. 0-4 years of experience</v>
      </c>
    </row>
    <row r="564" spans="1:27" ht="183" thickBot="1" x14ac:dyDescent="0.2">
      <c r="A564" s="34" t="str">
        <f>_xlfn.XLOOKUP(C564,'[1]SIG Job Families &amp; Descriptions'!F:F,'[1]SIG Job Families &amp; Descriptions'!B:B)</f>
        <v>Supply Chain &amp; Logistics</v>
      </c>
      <c r="B564" s="34" t="str">
        <f>_xlfn.XLOOKUP(C564,'[1]SIG Job Families &amp; Descriptions'!F:F,'[1]SIG Job Families &amp; Descriptions'!D:D)</f>
        <v>Logistics</v>
      </c>
      <c r="C564" s="34" t="s">
        <v>120</v>
      </c>
      <c r="D564" s="30" t="str">
        <f t="shared" si="16"/>
        <v>ASC</v>
      </c>
      <c r="E564" s="31" t="str">
        <f>_xlfn.XLOOKUP(C564,'[1]SIG Job Families &amp; Descriptions'!F:F,'[1]SIG Job Families &amp; Descriptions'!A:A)</f>
        <v>ASC022</v>
      </c>
      <c r="F564" s="32" t="s">
        <v>50</v>
      </c>
      <c r="G564" s="33" t="s">
        <v>54</v>
      </c>
      <c r="H564" s="34" t="str">
        <f>F564&amp;"-"&amp;G564</f>
        <v>Operations-05</v>
      </c>
      <c r="I564" s="35" t="str">
        <f>IF(ISERROR(_xlfn.XLOOKUP(H564,'[1]SIG Level Structure'!D:D,'[1]SIG Level Structure'!D:D)),"0","1")</f>
        <v>1</v>
      </c>
      <c r="J564" s="36" t="str">
        <f>_xlfn.XLOOKUP($H564,'[1]SIG Level Structure'!$D:$D,'[1]SIG Level Structure'!F:F)</f>
        <v>W2</v>
      </c>
      <c r="K564" s="37" t="str">
        <f>E564&amp;"-"&amp;J564&amp;"-"&amp;G564</f>
        <v>ASC022-W2-05</v>
      </c>
      <c r="L564" s="37" t="str">
        <f>IFERROR(D564&amp;"-"&amp;LEFT(J564,1),"--")</f>
        <v>ASC-W</v>
      </c>
      <c r="M564" s="37" t="str">
        <f>VLOOKUP(L564,'[1]Compatible JC'!$A:$A,1,FALSE)</f>
        <v>ASC-W</v>
      </c>
      <c r="N564" s="37" t="str">
        <f>IFERROR(_xlfn.XLOOKUP(H564,'[1]SIG Level Structure'!D:D,'[1]SIG Level Structure'!C:C),"--")</f>
        <v>Operator</v>
      </c>
      <c r="O564" s="38" t="str">
        <f>IFERROR(TRIM(N564&amp;" "&amp;C564),"--")</f>
        <v>Operator Forklift Operations</v>
      </c>
      <c r="P564" s="22" t="str">
        <f>_xlfn.XLOOKUP(E564,'[1]SIG Job Families &amp; Descriptions'!A:A,'[1]SIG Job Families &amp; Descriptions'!G:G)</f>
        <v>Coordinates inbound and outbound logistical operations, including inventory management, warehousing and transportation to ensure sufficient supply of goods and products. Controls the commercial impact of the complete range of activities from receiving, locating and dispatching, and optimizing inventory levels. Administers an effective system that meets the organization's inventory control needs through efficient transportation of raw materials, component parts and/or finished goods. May also include positions typically found in logistics environment, such as e.g. forklift drivers.</v>
      </c>
      <c r="Q564" s="39" t="str">
        <f>_xlfn.XLOOKUP(E564,'[1]2022 GI Position Descriptions'!E:E,'[1]2022 GI Position Descriptions'!G:G)</f>
        <v>Transports merchandise using a forklift truck or reach truck to designated locations within the warehouse, which may include loading, unloading and order picking</v>
      </c>
      <c r="R564" s="22" t="str">
        <f>IF(LEFT(J564,1)="E","EX",LEFT(J564,1))</f>
        <v>W</v>
      </c>
      <c r="S564" s="22" t="str">
        <f>_xlfn.XLOOKUP($R564,'[1]Career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564" s="22" t="str">
        <f>J564</f>
        <v>W2</v>
      </c>
      <c r="U564" s="40" t="str">
        <f t="shared" si="17"/>
        <v>W2</v>
      </c>
      <c r="V564" s="22" t="str">
        <f>_xlfn.XLOOKUP(T564,'[1]Career Bands &amp; Levels'!A:A,'[1]Career Bands &amp; Levels'!C:C)</f>
        <v xml:space="preserve">●	Has skills developed through formal training or work experience		
●	Works within established procedures and guidelines with limited ability to modify methods and approach		
●	Completes assigned tasks with a moderate degree of supervision		</v>
      </c>
      <c r="W564" s="41" t="str">
        <f>J564&amp;"-"&amp;G564</f>
        <v>W2-05</v>
      </c>
      <c r="X564" s="42" t="str">
        <f>G564</f>
        <v>05</v>
      </c>
      <c r="Y564" s="22" t="str">
        <f>_xlfn.XLOOKUP(W564,'[1]Career Bands &amp; Levels'!A:A,'[1]Career Bands &amp; Levels'!C:C,"No Grade Differentiator")</f>
        <v xml:space="preserve">●	Performs the full range of established procedures, and will typically be considered skilled through work experience		
●	Resolves routine issues without supervisory approval		</v>
      </c>
      <c r="Z564" s="43" t="str">
        <f>IFERROR(O564&amp;" - "&amp;G564,"--")</f>
        <v>Operator Forklift Operations - 05</v>
      </c>
      <c r="AA564" s="44" t="str">
        <f>_xlfn.XLOOKUP($H564,'[1]SIG Qualifications Input'!$D:$D,'[1]SIG Qualifications Input'!$H:$H)</f>
        <v>Vocational training in e.g. manual or technical  field or equivalent work experience. 0-4 years of experience</v>
      </c>
    </row>
    <row r="565" spans="1:27" ht="183" thickBot="1" x14ac:dyDescent="0.2">
      <c r="A565" s="34" t="str">
        <f>_xlfn.XLOOKUP(C565,'[1]SIG Job Families &amp; Descriptions'!F:F,'[1]SIG Job Families &amp; Descriptions'!B:B)</f>
        <v>Supply Chain &amp; Logistics</v>
      </c>
      <c r="B565" s="34" t="str">
        <f>_xlfn.XLOOKUP(C565,'[1]SIG Job Families &amp; Descriptions'!F:F,'[1]SIG Job Families &amp; Descriptions'!D:D)</f>
        <v>Logistics</v>
      </c>
      <c r="C565" s="34" t="s">
        <v>120</v>
      </c>
      <c r="D565" s="30" t="str">
        <f t="shared" si="16"/>
        <v>ASC</v>
      </c>
      <c r="E565" s="31" t="str">
        <f>_xlfn.XLOOKUP(C565,'[1]SIG Job Families &amp; Descriptions'!F:F,'[1]SIG Job Families &amp; Descriptions'!A:A)</f>
        <v>ASC022</v>
      </c>
      <c r="F565" s="32" t="s">
        <v>50</v>
      </c>
      <c r="G565" s="33" t="s">
        <v>55</v>
      </c>
      <c r="H565" s="34" t="str">
        <f>F565&amp;"-"&amp;G565</f>
        <v>Operations-04</v>
      </c>
      <c r="I565" s="35" t="str">
        <f>IF(ISERROR(_xlfn.XLOOKUP(H565,'[1]SIG Level Structure'!D:D,'[1]SIG Level Structure'!D:D)),"0","1")</f>
        <v>1</v>
      </c>
      <c r="J565" s="36" t="str">
        <f>_xlfn.XLOOKUP($H565,'[1]SIG Level Structure'!$D:$D,'[1]SIG Level Structure'!F:F)</f>
        <v>W2</v>
      </c>
      <c r="K565" s="37" t="str">
        <f>E565&amp;"-"&amp;J565&amp;"-"&amp;G565</f>
        <v>ASC022-W2-04</v>
      </c>
      <c r="L565" s="37" t="str">
        <f>IFERROR(D565&amp;"-"&amp;LEFT(J565,1),"--")</f>
        <v>ASC-W</v>
      </c>
      <c r="M565" s="37" t="str">
        <f>VLOOKUP(L565,'[1]Compatible JC'!$A:$A,1,FALSE)</f>
        <v>ASC-W</v>
      </c>
      <c r="N565" s="37" t="str">
        <f>IFERROR(_xlfn.XLOOKUP(H565,'[1]SIG Level Structure'!D:D,'[1]SIG Level Structure'!C:C),"--")</f>
        <v>Operator</v>
      </c>
      <c r="O565" s="38" t="str">
        <f>IFERROR(TRIM(N565&amp;" "&amp;C565),"--")</f>
        <v>Operator Forklift Operations</v>
      </c>
      <c r="P565" s="22" t="str">
        <f>_xlfn.XLOOKUP(E565,'[1]SIG Job Families &amp; Descriptions'!A:A,'[1]SIG Job Families &amp; Descriptions'!G:G)</f>
        <v>Coordinates inbound and outbound logistical operations, including inventory management, warehousing and transportation to ensure sufficient supply of goods and products. Controls the commercial impact of the complete range of activities from receiving, locating and dispatching, and optimizing inventory levels. Administers an effective system that meets the organization's inventory control needs through efficient transportation of raw materials, component parts and/or finished goods. May also include positions typically found in logistics environment, such as e.g. forklift drivers.</v>
      </c>
      <c r="Q565" s="39" t="str">
        <f>_xlfn.XLOOKUP(E565,'[1]2022 GI Position Descriptions'!E:E,'[1]2022 GI Position Descriptions'!G:G)</f>
        <v>Transports merchandise using a forklift truck or reach truck to designated locations within the warehouse, which may include loading, unloading and order picking</v>
      </c>
      <c r="R565" s="22" t="str">
        <f>IF(LEFT(J565,1)="E","EX",LEFT(J565,1))</f>
        <v>W</v>
      </c>
      <c r="S565" s="22" t="str">
        <f>_xlfn.XLOOKUP($R565,'[1]Career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565" s="22" t="str">
        <f>J565</f>
        <v>W2</v>
      </c>
      <c r="U565" s="40" t="str">
        <f t="shared" si="17"/>
        <v>W2</v>
      </c>
      <c r="V565" s="22" t="str">
        <f>_xlfn.XLOOKUP(T565,'[1]Career Bands &amp; Levels'!A:A,'[1]Career Bands &amp; Levels'!C:C)</f>
        <v xml:space="preserve">●	Has skills developed through formal training or work experience		
●	Works within established procedures and guidelines with limited ability to modify methods and approach		
●	Completes assigned tasks with a moderate degree of supervision		</v>
      </c>
      <c r="W565" s="41" t="str">
        <f>J565&amp;"-"&amp;G565</f>
        <v>W2-04</v>
      </c>
      <c r="X565" s="42" t="str">
        <f>G565</f>
        <v>04</v>
      </c>
      <c r="Y565" s="22" t="str">
        <f>_xlfn.XLOOKUP(W565,'[1]Career Bands &amp; Levels'!A:A,'[1]Career Bands &amp; Levels'!C:C,"No Grade Differentiator")</f>
        <v xml:space="preserve">●	Performs most established procedures and will typically be considered semi-skilled through work experience		
●	Resolves routine issues with senior staff or supervisory guidance and approval		</v>
      </c>
      <c r="Z565" s="43" t="str">
        <f>IFERROR(O565&amp;" - "&amp;G565,"--")</f>
        <v>Operator Forklift Operations - 04</v>
      </c>
      <c r="AA565" s="44" t="str">
        <f>_xlfn.XLOOKUP($H565,'[1]SIG Qualifications Input'!$D:$D,'[1]SIG Qualifications Input'!$H:$H)</f>
        <v>Vocational training in e.g. manual or technical  field or equivalent work experience. 0-4 years of experience</v>
      </c>
    </row>
    <row r="566" spans="1:27" ht="99" thickBot="1" x14ac:dyDescent="0.2">
      <c r="A566" s="34" t="str">
        <f>_xlfn.XLOOKUP(C566,'[1]SIG Job Families &amp; Descriptions'!F:F,'[1]SIG Job Families &amp; Descriptions'!B:B)</f>
        <v>Supply Chain &amp; Logistics</v>
      </c>
      <c r="B566" s="34" t="str">
        <f>_xlfn.XLOOKUP(C566,'[1]SIG Job Families &amp; Descriptions'!F:F,'[1]SIG Job Families &amp; Descriptions'!D:D)</f>
        <v xml:space="preserve">Procurement &amp; Sourcing </v>
      </c>
      <c r="C566" s="34" t="s">
        <v>121</v>
      </c>
      <c r="D566" s="30" t="str">
        <f t="shared" si="16"/>
        <v>ASC</v>
      </c>
      <c r="E566" s="31" t="str">
        <f>_xlfn.XLOOKUP(C566,'[1]SIG Job Families &amp; Descriptions'!F:F,'[1]SIG Job Families &amp; Descriptions'!A:A)</f>
        <v>ASC060</v>
      </c>
      <c r="F566" s="32" t="s">
        <v>29</v>
      </c>
      <c r="G566" s="33" t="s">
        <v>45</v>
      </c>
      <c r="H566" s="34" t="str">
        <f>F566&amp;"-"&amp;G566</f>
        <v>Management-17</v>
      </c>
      <c r="I566" s="35" t="str">
        <f>IF(ISERROR(_xlfn.XLOOKUP(H566,'[1]SIG Level Structure'!D:D,'[1]SIG Level Structure'!D:D)),"0","1")</f>
        <v>1</v>
      </c>
      <c r="J566" s="36" t="str">
        <f>_xlfn.XLOOKUP($H566,'[1]SIG Level Structure'!$D:$D,'[1]SIG Level Structure'!F:F)</f>
        <v>EX</v>
      </c>
      <c r="K566" s="37" t="str">
        <f>E566&amp;"-"&amp;J566&amp;"-"&amp;G566</f>
        <v>ASC060-EX-17</v>
      </c>
      <c r="L566" s="37" t="str">
        <f>IFERROR(D566&amp;"-"&amp;LEFT(J566,1),"--")</f>
        <v>ASC-E</v>
      </c>
      <c r="M566" s="37" t="str">
        <f>VLOOKUP(L566,'[1]Compatible JC'!$A:$A,1,FALSE)</f>
        <v>ASC-E</v>
      </c>
      <c r="N566" s="37" t="str">
        <f>IFERROR(_xlfn.XLOOKUP(H566,'[1]SIG Level Structure'!D:D,'[1]SIG Level Structure'!C:C),"--")</f>
        <v>Group Manager</v>
      </c>
      <c r="O566" s="38" t="str">
        <f>IFERROR(TRIM(N566&amp;" "&amp;C566),"--")</f>
        <v>Group Manager Procurement &amp; Sourcing</v>
      </c>
      <c r="P566" s="22" t="str">
        <f>_xlfn.XLOOKUP(E566,'[1]SIG Job Families &amp; Descriptions'!A:A,'[1]SIG Job Families &amp; Descriptions'!G:G)</f>
        <v>Negotiates favorable terms, volume discounts and long-term contracts with suppliers and prepares and processes requisitions and purchase orders for the procurement of goods, services and supplies for customer-related business processes or for internal use.</v>
      </c>
      <c r="Q566" s="39" t="str">
        <f>_xlfn.XLOOKUP(E566,'[1]2022 GI Position Descriptions'!E:E,'[1]2022 GI Position Descriptions'!G:G)</f>
        <v>Negotiates favorable terms, volume discounts and long-term contracts with suppliers and prepares and processes requisitions and purchase orders for the procurement of goods, services and supplies for customer-related business processes or for internal use as a generalist or in a combination of Purchasing Disciplines</v>
      </c>
      <c r="R566" s="22" t="str">
        <f>IF(LEFT(J566,1)="E","EX",LEFT(J566,1))</f>
        <v>EX</v>
      </c>
      <c r="S566" s="22" t="str">
        <f>_xlfn.XLOOKUP($R566,'[1]Career Bands &amp; Levels'!A:A,'[1]Career Bands &amp; Levels'!C:C)</f>
        <v>● Holds management accountability for a business, division, major geography, corporate function or major corporate sub-function
● Develops, establishes and approves long-term vision and strategy for the area managed
● May be a board or executive committee member or have a comparable level of influence</v>
      </c>
      <c r="T566" s="22" t="str">
        <f>J566</f>
        <v>EX</v>
      </c>
      <c r="U566" s="40" t="str">
        <f t="shared" si="17"/>
        <v>EX</v>
      </c>
      <c r="V566" s="22" t="str">
        <f>_xlfn.XLOOKUP(T566,'[1]Career Bands &amp; Levels'!A:A,'[1]Career Bands &amp; Levels'!C:C)</f>
        <v>● Holds management accountability for a business, division, major geography, corporate function or major corporate sub-function
● Develops, establishes and approves long-term vision and strategy for the area managed
● May be a board or executive committee member or have a comparable level of influence</v>
      </c>
      <c r="W566" s="41" t="str">
        <f>J566&amp;"-"&amp;G566</f>
        <v>EX-17</v>
      </c>
      <c r="X566" s="42" t="str">
        <f>G566</f>
        <v>17</v>
      </c>
      <c r="Y566" s="22" t="str">
        <f>_xlfn.XLOOKUP(W566,'[1]Career Bands &amp; Levels'!A:A,'[1]Career Bands &amp; Levels'!C:C,"No Grade Differentiator")</f>
        <v>● Typically reports to the head of a subregion, country, division or function
● In large organizations (Global Grade 20 to 22), heads an infrastructure function with indirect impact on business performance</v>
      </c>
      <c r="Z566" s="43" t="str">
        <f>IFERROR(O566&amp;" - "&amp;G566,"--")</f>
        <v>Group Manager Procurement &amp; Sourcing - 17</v>
      </c>
      <c r="AA566" s="44" t="str">
        <f>_xlfn.XLOOKUP($H566,'[1]SIG Qualifications Input'!$D:$D,'[1]SIG Qualifications Input'!$H:$H)</f>
        <v>University degree or equivalent and 10-15 years of work experience or equivalent
Profound experience in management of a global function or major region including setting the respective strategy</v>
      </c>
    </row>
    <row r="567" spans="1:27" ht="183" thickBot="1" x14ac:dyDescent="0.2">
      <c r="A567" s="34" t="str">
        <f>_xlfn.XLOOKUP(C567,'[1]SIG Job Families &amp; Descriptions'!F:F,'[1]SIG Job Families &amp; Descriptions'!B:B)</f>
        <v>Supply Chain &amp; Logistics</v>
      </c>
      <c r="B567" s="34" t="str">
        <f>_xlfn.XLOOKUP(C567,'[1]SIG Job Families &amp; Descriptions'!F:F,'[1]SIG Job Families &amp; Descriptions'!D:D)</f>
        <v xml:space="preserve">Procurement &amp; Sourcing </v>
      </c>
      <c r="C567" s="34" t="s">
        <v>121</v>
      </c>
      <c r="D567" s="30" t="str">
        <f t="shared" si="16"/>
        <v>ASC</v>
      </c>
      <c r="E567" s="31" t="str">
        <f>_xlfn.XLOOKUP(C567,'[1]SIG Job Families &amp; Descriptions'!F:F,'[1]SIG Job Families &amp; Descriptions'!A:A)</f>
        <v>ASC060</v>
      </c>
      <c r="F567" s="32" t="s">
        <v>29</v>
      </c>
      <c r="G567" s="33" t="s">
        <v>40</v>
      </c>
      <c r="H567" s="34" t="str">
        <f>F567&amp;"-"&amp;G567</f>
        <v>Management-16</v>
      </c>
      <c r="I567" s="35" t="str">
        <f>IF(ISERROR(_xlfn.XLOOKUP(H567,'[1]SIG Level Structure'!D:D,'[1]SIG Level Structure'!D:D)),"0","1")</f>
        <v>1</v>
      </c>
      <c r="J567" s="36" t="str">
        <f>_xlfn.XLOOKUP($H567,'[1]SIG Level Structure'!$D:$D,'[1]SIG Level Structure'!F:F)</f>
        <v>M4</v>
      </c>
      <c r="K567" s="37" t="str">
        <f>E567&amp;"-"&amp;J567&amp;"-"&amp;G567</f>
        <v>ASC060-M4-16</v>
      </c>
      <c r="L567" s="37" t="str">
        <f>IFERROR(D567&amp;"-"&amp;LEFT(J567,1),"--")</f>
        <v>ASC-M</v>
      </c>
      <c r="M567" s="37" t="str">
        <f>VLOOKUP(L567,'[1]Compatible JC'!$A:$A,1,FALSE)</f>
        <v>ASC-M</v>
      </c>
      <c r="N567" s="37" t="str">
        <f>IFERROR(_xlfn.XLOOKUP(H567,'[1]SIG Level Structure'!D:D,'[1]SIG Level Structure'!C:C),"--")</f>
        <v>Group Manager</v>
      </c>
      <c r="O567" s="38" t="str">
        <f>IFERROR(TRIM(N567&amp;" "&amp;C567),"--")</f>
        <v>Group Manager Procurement &amp; Sourcing</v>
      </c>
      <c r="P567" s="22" t="str">
        <f>_xlfn.XLOOKUP(E567,'[1]SIG Job Families &amp; Descriptions'!A:A,'[1]SIG Job Families &amp; Descriptions'!G:G)</f>
        <v>Negotiates favorable terms, volume discounts and long-term contracts with suppliers and prepares and processes requisitions and purchase orders for the procurement of goods, services and supplies for customer-related business processes or for internal use.</v>
      </c>
      <c r="Q567" s="39" t="str">
        <f>_xlfn.XLOOKUP(E567,'[1]2022 GI Position Descriptions'!E:E,'[1]2022 GI Position Descriptions'!G:G)</f>
        <v>Negotiates favorable terms, volume discounts and long-term contracts with suppliers and prepares and processes requisitions and purchase orders for the procurement of goods, services and supplies for customer-related business processes or for internal use as a generalist or in a combination of Purchasing Disciplines</v>
      </c>
      <c r="R567" s="22" t="str">
        <f>IF(LEFT(J567,1)="E","EX",LEFT(J567,1))</f>
        <v>M</v>
      </c>
      <c r="S567" s="22" t="str">
        <f>_xlfn.XLOOKUP($R567,'[1]Career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567" s="22" t="str">
        <f>J567</f>
        <v>M4</v>
      </c>
      <c r="U567" s="40" t="str">
        <f t="shared" si="17"/>
        <v>M4</v>
      </c>
      <c r="V567" s="22" t="str">
        <f>_xlfn.XLOOKUP(T567,'[1]Career Bands &amp; Levels'!A:A,'[1]Career Bands &amp; Levels'!C:C)</f>
        <v xml:space="preserve">●	Provides leadership and direction through Senior Managers and Managers		
●	Has accountability for the performance and results of:		
	●	A large, strategically important discipline in an extremely large market; and/or	
	●	Related disciplines or a medium-sized function in a large market or medium-sized division; and/or	
	●	A medium-sized discipline or department in a major region	
●	Adapts and executes functional or departmental business plans and contributes to the development of functional or departmental strategies		
●	Decisions are guided by functional or major operational segment strategies and priorities		</v>
      </c>
      <c r="W567" s="41" t="str">
        <f>J567&amp;"-"&amp;G567</f>
        <v>M4-16</v>
      </c>
      <c r="X567" s="42" t="str">
        <f>G567</f>
        <v>16</v>
      </c>
      <c r="Y567" s="22" t="str">
        <f>_xlfn.XLOOKUP(W567,'[1]Career Bands &amp; Levels'!A:A,'[1]Career Bands &amp; Levels'!C:C,"No Grade Differentiator")</f>
        <v>No Grade Differentiator</v>
      </c>
      <c r="Z567" s="43" t="str">
        <f>IFERROR(O567&amp;" - "&amp;G567,"--")</f>
        <v>Group Manager Procurement &amp; Sourcing - 16</v>
      </c>
      <c r="AA567" s="44" t="str">
        <f>_xlfn.XLOOKUP($H567,'[1]SIG Qualifications Input'!$D:$D,'[1]SIG Qualifications Input'!$H:$H)</f>
        <v>University degree or equivalent and 10-15 years of work experience or equivalent
Profound experience in management of a global function or major region including setting the respective strategy</v>
      </c>
    </row>
    <row r="568" spans="1:27" ht="183" thickBot="1" x14ac:dyDescent="0.2">
      <c r="A568" s="34" t="str">
        <f>_xlfn.XLOOKUP(C568,'[1]SIG Job Families &amp; Descriptions'!F:F,'[1]SIG Job Families &amp; Descriptions'!B:B)</f>
        <v>Supply Chain &amp; Logistics</v>
      </c>
      <c r="B568" s="34" t="str">
        <f>_xlfn.XLOOKUP(C568,'[1]SIG Job Families &amp; Descriptions'!F:F,'[1]SIG Job Families &amp; Descriptions'!D:D)</f>
        <v xml:space="preserve">Procurement &amp; Sourcing </v>
      </c>
      <c r="C568" s="34" t="s">
        <v>121</v>
      </c>
      <c r="D568" s="30" t="str">
        <f t="shared" si="16"/>
        <v>ASC</v>
      </c>
      <c r="E568" s="31" t="str">
        <f>_xlfn.XLOOKUP(C568,'[1]SIG Job Families &amp; Descriptions'!F:F,'[1]SIG Job Families &amp; Descriptions'!A:A)</f>
        <v>ASC060</v>
      </c>
      <c r="F568" s="32" t="s">
        <v>29</v>
      </c>
      <c r="G568" s="33" t="s">
        <v>30</v>
      </c>
      <c r="H568" s="34" t="str">
        <f>F568&amp;"-"&amp;G568</f>
        <v>Management-15</v>
      </c>
      <c r="I568" s="35" t="str">
        <f>IF(ISERROR(_xlfn.XLOOKUP(H568,'[1]SIG Level Structure'!D:D,'[1]SIG Level Structure'!D:D)),"0","1")</f>
        <v>1</v>
      </c>
      <c r="J568" s="36" t="str">
        <f>_xlfn.XLOOKUP($H568,'[1]SIG Level Structure'!$D:$D,'[1]SIG Level Structure'!F:F)</f>
        <v>M3</v>
      </c>
      <c r="K568" s="37" t="str">
        <f>E568&amp;"-"&amp;J568&amp;"-"&amp;G568</f>
        <v>ASC060-M3-15</v>
      </c>
      <c r="L568" s="37" t="str">
        <f>IFERROR(D568&amp;"-"&amp;LEFT(J568,1),"--")</f>
        <v>ASC-M</v>
      </c>
      <c r="M568" s="37" t="str">
        <f>VLOOKUP(L568,'[1]Compatible JC'!$A:$A,1,FALSE)</f>
        <v>ASC-M</v>
      </c>
      <c r="N568" s="37" t="str">
        <f>IFERROR(_xlfn.XLOOKUP(H568,'[1]SIG Level Structure'!D:D,'[1]SIG Level Structure'!C:C),"--")</f>
        <v>Senior Manager</v>
      </c>
      <c r="O568" s="38" t="str">
        <f>IFERROR(TRIM(N568&amp;" "&amp;C568),"--")</f>
        <v>Senior Manager Procurement &amp; Sourcing</v>
      </c>
      <c r="P568" s="22" t="str">
        <f>_xlfn.XLOOKUP(E568,'[1]SIG Job Families &amp; Descriptions'!A:A,'[1]SIG Job Families &amp; Descriptions'!G:G)</f>
        <v>Negotiates favorable terms, volume discounts and long-term contracts with suppliers and prepares and processes requisitions and purchase orders for the procurement of goods, services and supplies for customer-related business processes or for internal use.</v>
      </c>
      <c r="Q568" s="39" t="str">
        <f>_xlfn.XLOOKUP(E568,'[1]2022 GI Position Descriptions'!E:E,'[1]2022 GI Position Descriptions'!G:G)</f>
        <v>Negotiates favorable terms, volume discounts and long-term contracts with suppliers and prepares and processes requisitions and purchase orders for the procurement of goods, services and supplies for customer-related business processes or for internal use as a generalist or in a combination of Purchasing Disciplines</v>
      </c>
      <c r="R568" s="22" t="str">
        <f>IF(LEFT(J568,1)="E","EX",LEFT(J568,1))</f>
        <v>M</v>
      </c>
      <c r="S568" s="22" t="str">
        <f>_xlfn.XLOOKUP($R568,'[1]Career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568" s="22" t="str">
        <f>J568</f>
        <v>M3</v>
      </c>
      <c r="U568" s="40" t="str">
        <f t="shared" si="17"/>
        <v>M3</v>
      </c>
      <c r="V568" s="22" t="str">
        <f>_xlfn.XLOOKUP(T568,'[1]Career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568" s="41" t="str">
        <f>J568&amp;"-"&amp;G568</f>
        <v>M3-15</v>
      </c>
      <c r="X568" s="42" t="str">
        <f>G568</f>
        <v>15</v>
      </c>
      <c r="Y568" s="22" t="str">
        <f>_xlfn.XLOOKUP(W568,'[1]Career Bands &amp; Levels'!A:A,'[1]Career Bands &amp; Levels'!C:C,"No Grade Differentiator")</f>
        <v xml:space="preserve">●	Looks beyond existing methodologies and own discipline to define and resolve complex problems
●	Develops plans and delivers results in fast-changing businesses and/or regulatory environments
●	Provides input to functional or departmental strategy		
●	Manages large, potentially diverse teams of managers and/or senior professionals		
		</v>
      </c>
      <c r="Z568" s="43" t="str">
        <f>IFERROR(O568&amp;" - "&amp;G568,"--")</f>
        <v>Senior Manager Procurement &amp; Sourcing - 15</v>
      </c>
      <c r="AA568" s="44" t="str">
        <f>_xlfn.XLOOKUP($H568,'[1]SIG Qualifications Input'!$D:$D,'[1]SIG Qualifications Input'!$H:$H)</f>
        <v xml:space="preserve">University degree or equivalent and 10+ years of work experience or equivalent
Profound experience in managing performance and results of diverse activities / multiple teams </v>
      </c>
    </row>
    <row r="569" spans="1:27" ht="183" thickBot="1" x14ac:dyDescent="0.2">
      <c r="A569" s="34" t="str">
        <f>_xlfn.XLOOKUP(C569,'[1]SIG Job Families &amp; Descriptions'!F:F,'[1]SIG Job Families &amp; Descriptions'!B:B)</f>
        <v>Supply Chain &amp; Logistics</v>
      </c>
      <c r="B569" s="34" t="str">
        <f>_xlfn.XLOOKUP(C569,'[1]SIG Job Families &amp; Descriptions'!F:F,'[1]SIG Job Families &amp; Descriptions'!D:D)</f>
        <v xml:space="preserve">Procurement &amp; Sourcing </v>
      </c>
      <c r="C569" s="34" t="s">
        <v>121</v>
      </c>
      <c r="D569" s="30" t="str">
        <f t="shared" si="16"/>
        <v>ASC</v>
      </c>
      <c r="E569" s="31" t="str">
        <f>_xlfn.XLOOKUP(C569,'[1]SIG Job Families &amp; Descriptions'!F:F,'[1]SIG Job Families &amp; Descriptions'!A:A)</f>
        <v>ASC060</v>
      </c>
      <c r="F569" s="32" t="s">
        <v>29</v>
      </c>
      <c r="G569" s="33" t="s">
        <v>31</v>
      </c>
      <c r="H569" s="34" t="str">
        <f>F569&amp;"-"&amp;G569</f>
        <v>Management-14</v>
      </c>
      <c r="I569" s="35" t="str">
        <f>IF(ISERROR(_xlfn.XLOOKUP(H569,'[1]SIG Level Structure'!D:D,'[1]SIG Level Structure'!D:D)),"0","1")</f>
        <v>1</v>
      </c>
      <c r="J569" s="36" t="str">
        <f>_xlfn.XLOOKUP($H569,'[1]SIG Level Structure'!$D:$D,'[1]SIG Level Structure'!F:F)</f>
        <v>M3</v>
      </c>
      <c r="K569" s="37" t="str">
        <f>E569&amp;"-"&amp;J569&amp;"-"&amp;G569</f>
        <v>ASC060-M3-14</v>
      </c>
      <c r="L569" s="37" t="str">
        <f>IFERROR(D569&amp;"-"&amp;LEFT(J569,1),"--")</f>
        <v>ASC-M</v>
      </c>
      <c r="M569" s="37" t="str">
        <f>VLOOKUP(L569,'[1]Compatible JC'!$A:$A,1,FALSE)</f>
        <v>ASC-M</v>
      </c>
      <c r="N569" s="37" t="str">
        <f>IFERROR(_xlfn.XLOOKUP(H569,'[1]SIG Level Structure'!D:D,'[1]SIG Level Structure'!C:C),"--")</f>
        <v>Senior Manager</v>
      </c>
      <c r="O569" s="38" t="str">
        <f>IFERROR(TRIM(N569&amp;" "&amp;C569),"--")</f>
        <v>Senior Manager Procurement &amp; Sourcing</v>
      </c>
      <c r="P569" s="22" t="str">
        <f>_xlfn.XLOOKUP(E569,'[1]SIG Job Families &amp; Descriptions'!A:A,'[1]SIG Job Families &amp; Descriptions'!G:G)</f>
        <v>Negotiates favorable terms, volume discounts and long-term contracts with suppliers and prepares and processes requisitions and purchase orders for the procurement of goods, services and supplies for customer-related business processes or for internal use.</v>
      </c>
      <c r="Q569" s="39" t="str">
        <f>_xlfn.XLOOKUP(E569,'[1]2022 GI Position Descriptions'!E:E,'[1]2022 GI Position Descriptions'!G:G)</f>
        <v>Negotiates favorable terms, volume discounts and long-term contracts with suppliers and prepares and processes requisitions and purchase orders for the procurement of goods, services and supplies for customer-related business processes or for internal use as a generalist or in a combination of Purchasing Disciplines</v>
      </c>
      <c r="R569" s="22" t="str">
        <f>IF(LEFT(J569,1)="E","EX",LEFT(J569,1))</f>
        <v>M</v>
      </c>
      <c r="S569" s="22" t="str">
        <f>_xlfn.XLOOKUP($R569,'[1]Career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569" s="22" t="str">
        <f>J569</f>
        <v>M3</v>
      </c>
      <c r="U569" s="40" t="str">
        <f t="shared" si="17"/>
        <v>M3</v>
      </c>
      <c r="V569" s="22" t="str">
        <f>_xlfn.XLOOKUP(T569,'[1]Career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569" s="41" t="str">
        <f>J569&amp;"-"&amp;G569</f>
        <v>M3-14</v>
      </c>
      <c r="X569" s="42" t="str">
        <f>G569</f>
        <v>14</v>
      </c>
      <c r="Y569" s="22" t="str">
        <f>_xlfn.XLOOKUP(W569,'[1]Career Bands &amp; Levels'!A:A,'[1]Career Bands &amp; Levels'!C:C,"No Grade Differentiator")</f>
        <v xml:space="preserve">●	Identifies applications of functional knowledge and existing methodologies to complex problems	
●	Manages large teams of professionals and/or junior managers		
		</v>
      </c>
      <c r="Z569" s="43" t="str">
        <f>IFERROR(O569&amp;" - "&amp;G569,"--")</f>
        <v>Senior Manager Procurement &amp; Sourcing - 14</v>
      </c>
      <c r="AA569" s="44" t="str">
        <f>_xlfn.XLOOKUP($H569,'[1]SIG Qualifications Input'!$D:$D,'[1]SIG Qualifications Input'!$H:$H)</f>
        <v xml:space="preserve">University degree or equivalent and 10+ years of work experience or equivalent
Profound experience in managing performance and results of diverse activities / multiple teams </v>
      </c>
    </row>
    <row r="570" spans="1:27" ht="183" thickBot="1" x14ac:dyDescent="0.2">
      <c r="A570" s="34" t="str">
        <f>_xlfn.XLOOKUP(C570,'[1]SIG Job Families &amp; Descriptions'!F:F,'[1]SIG Job Families &amp; Descriptions'!B:B)</f>
        <v>Supply Chain &amp; Logistics</v>
      </c>
      <c r="B570" s="34" t="str">
        <f>_xlfn.XLOOKUP(C570,'[1]SIG Job Families &amp; Descriptions'!F:F,'[1]SIG Job Families &amp; Descriptions'!D:D)</f>
        <v xml:space="preserve">Procurement &amp; Sourcing </v>
      </c>
      <c r="C570" s="34" t="s">
        <v>121</v>
      </c>
      <c r="D570" s="30" t="str">
        <f t="shared" si="16"/>
        <v>ASC</v>
      </c>
      <c r="E570" s="31" t="str">
        <f>_xlfn.XLOOKUP(C570,'[1]SIG Job Families &amp; Descriptions'!F:F,'[1]SIG Job Families &amp; Descriptions'!A:A)</f>
        <v>ASC060</v>
      </c>
      <c r="F570" s="32" t="s">
        <v>29</v>
      </c>
      <c r="G570" s="33" t="s">
        <v>33</v>
      </c>
      <c r="H570" s="34" t="str">
        <f>F570&amp;"-"&amp;G570</f>
        <v>Management-13</v>
      </c>
      <c r="I570" s="35" t="str">
        <f>IF(ISERROR(_xlfn.XLOOKUP(H570,'[1]SIG Level Structure'!D:D,'[1]SIG Level Structure'!D:D)),"0","1")</f>
        <v>1</v>
      </c>
      <c r="J570" s="36" t="str">
        <f>_xlfn.XLOOKUP($H570,'[1]SIG Level Structure'!$D:$D,'[1]SIG Level Structure'!F:F)</f>
        <v>M2</v>
      </c>
      <c r="K570" s="37" t="str">
        <f>E570&amp;"-"&amp;J570&amp;"-"&amp;G570</f>
        <v>ASC060-M2-13</v>
      </c>
      <c r="L570" s="37" t="str">
        <f>IFERROR(D570&amp;"-"&amp;LEFT(J570,1),"--")</f>
        <v>ASC-M</v>
      </c>
      <c r="M570" s="37" t="str">
        <f>VLOOKUP(L570,'[1]Compatible JC'!$A:$A,1,FALSE)</f>
        <v>ASC-M</v>
      </c>
      <c r="N570" s="37" t="str">
        <f>IFERROR(_xlfn.XLOOKUP(H570,'[1]SIG Level Structure'!D:D,'[1]SIG Level Structure'!C:C),"--")</f>
        <v>Manager</v>
      </c>
      <c r="O570" s="38" t="str">
        <f>IFERROR(TRIM(N570&amp;" "&amp;C570),"--")</f>
        <v>Manager Procurement &amp; Sourcing</v>
      </c>
      <c r="P570" s="22" t="str">
        <f>_xlfn.XLOOKUP(E570,'[1]SIG Job Families &amp; Descriptions'!A:A,'[1]SIG Job Families &amp; Descriptions'!G:G)</f>
        <v>Negotiates favorable terms, volume discounts and long-term contracts with suppliers and prepares and processes requisitions and purchase orders for the procurement of goods, services and supplies for customer-related business processes or for internal use.</v>
      </c>
      <c r="Q570" s="39" t="str">
        <f>_xlfn.XLOOKUP(E570,'[1]2022 GI Position Descriptions'!E:E,'[1]2022 GI Position Descriptions'!G:G)</f>
        <v>Negotiates favorable terms, volume discounts and long-term contracts with suppliers and prepares and processes requisitions and purchase orders for the procurement of goods, services and supplies for customer-related business processes or for internal use as a generalist or in a combination of Purchasing Disciplines</v>
      </c>
      <c r="R570" s="22" t="str">
        <f>IF(LEFT(J570,1)="E","EX",LEFT(J570,1))</f>
        <v>M</v>
      </c>
      <c r="S570" s="22" t="str">
        <f>_xlfn.XLOOKUP($R570,'[1]Career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570" s="22" t="str">
        <f>J570</f>
        <v>M2</v>
      </c>
      <c r="U570" s="40" t="str">
        <f t="shared" si="17"/>
        <v>M2</v>
      </c>
      <c r="V570" s="22" t="str">
        <f>_xlfn.XLOOKUP(T570,'[1]Career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570" s="41" t="str">
        <f>J570&amp;"-"&amp;G570</f>
        <v>M2-13</v>
      </c>
      <c r="X570" s="42" t="str">
        <f>G570</f>
        <v>13</v>
      </c>
      <c r="Y570" s="22" t="str">
        <f>_xlfn.XLOOKUP(W570,'[1]Career Bands &amp; Levels'!A:A,'[1]Career Bands &amp; Levels'!C:C,"No Grade Differentiator")</f>
        <v>●	Accountable for the budget, performance and results of a medium-sized team or multiple small teams of employees		
●	Exercises full management authority, including performance reviews, pay decisions, recruitment, discipline, termination and other personnel actions		
●	Addresses issues with impact beyond own team based on knowledge of related disciplines</v>
      </c>
      <c r="Z570" s="43" t="str">
        <f>IFERROR(O570&amp;" - "&amp;G570,"--")</f>
        <v>Manager Procurement &amp; Sourcing - 13</v>
      </c>
      <c r="AA570" s="44" t="str">
        <f>_xlfn.XLOOKUP($H570,'[1]SIG Qualifications Input'!$D:$D,'[1]SIG Qualifications Input'!$H:$H)</f>
        <v>University degree or equivalent and 7-10 years of work experience or equivalent
Experience in managing mixed-level team(s) of professionals and subordinate managers</v>
      </c>
    </row>
    <row r="571" spans="1:27" ht="183" thickBot="1" x14ac:dyDescent="0.2">
      <c r="A571" s="34" t="str">
        <f>_xlfn.XLOOKUP(C571,'[1]SIG Job Families &amp; Descriptions'!F:F,'[1]SIG Job Families &amp; Descriptions'!B:B)</f>
        <v>Supply Chain &amp; Logistics</v>
      </c>
      <c r="B571" s="34" t="str">
        <f>_xlfn.XLOOKUP(C571,'[1]SIG Job Families &amp; Descriptions'!F:F,'[1]SIG Job Families &amp; Descriptions'!D:D)</f>
        <v xml:space="preserve">Procurement &amp; Sourcing </v>
      </c>
      <c r="C571" s="34" t="s">
        <v>121</v>
      </c>
      <c r="D571" s="30" t="str">
        <f t="shared" si="16"/>
        <v>ASC</v>
      </c>
      <c r="E571" s="31" t="str">
        <f>_xlfn.XLOOKUP(C571,'[1]SIG Job Families &amp; Descriptions'!F:F,'[1]SIG Job Families &amp; Descriptions'!A:A)</f>
        <v>ASC060</v>
      </c>
      <c r="F571" s="32" t="s">
        <v>29</v>
      </c>
      <c r="G571" s="33" t="s">
        <v>34</v>
      </c>
      <c r="H571" s="34" t="str">
        <f>F571&amp;"-"&amp;G571</f>
        <v>Management-12</v>
      </c>
      <c r="I571" s="35" t="str">
        <f>IF(ISERROR(_xlfn.XLOOKUP(H571,'[1]SIG Level Structure'!D:D,'[1]SIG Level Structure'!D:D)),"0","1")</f>
        <v>1</v>
      </c>
      <c r="J571" s="36" t="str">
        <f>_xlfn.XLOOKUP($H571,'[1]SIG Level Structure'!$D:$D,'[1]SIG Level Structure'!F:F)</f>
        <v>M2</v>
      </c>
      <c r="K571" s="37" t="str">
        <f>E571&amp;"-"&amp;J571&amp;"-"&amp;G571</f>
        <v>ASC060-M2-12</v>
      </c>
      <c r="L571" s="37" t="str">
        <f>IFERROR(D571&amp;"-"&amp;LEFT(J571,1),"--")</f>
        <v>ASC-M</v>
      </c>
      <c r="M571" s="37" t="str">
        <f>VLOOKUP(L571,'[1]Compatible JC'!$A:$A,1,FALSE)</f>
        <v>ASC-M</v>
      </c>
      <c r="N571" s="37" t="str">
        <f>IFERROR(_xlfn.XLOOKUP(H571,'[1]SIG Level Structure'!D:D,'[1]SIG Level Structure'!C:C),"--")</f>
        <v>Manager</v>
      </c>
      <c r="O571" s="38" t="str">
        <f>IFERROR(TRIM(N571&amp;" "&amp;C571),"--")</f>
        <v>Manager Procurement &amp; Sourcing</v>
      </c>
      <c r="P571" s="22" t="str">
        <f>_xlfn.XLOOKUP(E571,'[1]SIG Job Families &amp; Descriptions'!A:A,'[1]SIG Job Families &amp; Descriptions'!G:G)</f>
        <v>Negotiates favorable terms, volume discounts and long-term contracts with suppliers and prepares and processes requisitions and purchase orders for the procurement of goods, services and supplies for customer-related business processes or for internal use.</v>
      </c>
      <c r="Q571" s="39" t="str">
        <f>_xlfn.XLOOKUP(E571,'[1]2022 GI Position Descriptions'!E:E,'[1]2022 GI Position Descriptions'!G:G)</f>
        <v>Negotiates favorable terms, volume discounts and long-term contracts with suppliers and prepares and processes requisitions and purchase orders for the procurement of goods, services and supplies for customer-related business processes or for internal use as a generalist or in a combination of Purchasing Disciplines</v>
      </c>
      <c r="R571" s="22" t="str">
        <f>IF(LEFT(J571,1)="E","EX",LEFT(J571,1))</f>
        <v>M</v>
      </c>
      <c r="S571" s="22" t="str">
        <f>_xlfn.XLOOKUP($R571,'[1]Career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571" s="22" t="str">
        <f>J571</f>
        <v>M2</v>
      </c>
      <c r="U571" s="40" t="str">
        <f t="shared" si="17"/>
        <v>M2</v>
      </c>
      <c r="V571" s="22" t="str">
        <f>_xlfn.XLOOKUP(T571,'[1]Career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571" s="41" t="str">
        <f>J571&amp;"-"&amp;G571</f>
        <v>M2-12</v>
      </c>
      <c r="X571" s="42" t="str">
        <f>G571</f>
        <v>12</v>
      </c>
      <c r="Y571" s="22" t="str">
        <f>_xlfn.XLOOKUP(W571,'[1]Career Bands &amp; Levels'!A:A,'[1]Career Bands &amp; Levels'!C:C,"No Grade Differentiator")</f>
        <v xml:space="preserve">●	Accountable for results of a small team of employees		
●	Exercises limited management authority; sets employee performance objectives, conducts performance reviews and recommends pay actions		
●	Defines team operating standards and ensures essential procedures are followed based on knowledge of own discipline		</v>
      </c>
      <c r="Z571" s="43" t="str">
        <f>IFERROR(O571&amp;" - "&amp;G571,"--")</f>
        <v>Manager Procurement &amp; Sourcing - 12</v>
      </c>
      <c r="AA571" s="44" t="str">
        <f>_xlfn.XLOOKUP($H571,'[1]SIG Qualifications Input'!$D:$D,'[1]SIG Qualifications Input'!$H:$H)</f>
        <v>University degree or equivalent and 7-10 years of work experience or equivalent
Experience in managing mixed-level team(s) of professionals and subordinate managers</v>
      </c>
    </row>
    <row r="572" spans="1:27" ht="183" thickBot="1" x14ac:dyDescent="0.2">
      <c r="A572" s="34" t="str">
        <f>_xlfn.XLOOKUP(C572,'[1]SIG Job Families &amp; Descriptions'!F:F,'[1]SIG Job Families &amp; Descriptions'!B:B)</f>
        <v>Supply Chain &amp; Logistics</v>
      </c>
      <c r="B572" s="34" t="str">
        <f>_xlfn.XLOOKUP(C572,'[1]SIG Job Families &amp; Descriptions'!F:F,'[1]SIG Job Families &amp; Descriptions'!D:D)</f>
        <v xml:space="preserve">Procurement &amp; Sourcing </v>
      </c>
      <c r="C572" s="34" t="s">
        <v>121</v>
      </c>
      <c r="D572" s="30" t="str">
        <f t="shared" si="16"/>
        <v>ASC</v>
      </c>
      <c r="E572" s="31" t="str">
        <f>_xlfn.XLOOKUP(C572,'[1]SIG Job Families &amp; Descriptions'!F:F,'[1]SIG Job Families &amp; Descriptions'!A:A)</f>
        <v>ASC060</v>
      </c>
      <c r="F572" s="32" t="s">
        <v>29</v>
      </c>
      <c r="G572" s="33" t="s">
        <v>35</v>
      </c>
      <c r="H572" s="34" t="str">
        <f>F572&amp;"-"&amp;G572</f>
        <v>Management-11</v>
      </c>
      <c r="I572" s="35" t="str">
        <f>IF(ISERROR(_xlfn.XLOOKUP(H572,'[1]SIG Level Structure'!D:D,'[1]SIG Level Structure'!D:D)),"0","1")</f>
        <v>1</v>
      </c>
      <c r="J572" s="36" t="str">
        <f>_xlfn.XLOOKUP($H572,'[1]SIG Level Structure'!$D:$D,'[1]SIG Level Structure'!F:F)</f>
        <v>M1</v>
      </c>
      <c r="K572" s="37" t="str">
        <f>E572&amp;"-"&amp;J572&amp;"-"&amp;G572</f>
        <v>ASC060-M1-11</v>
      </c>
      <c r="L572" s="37" t="str">
        <f>IFERROR(D572&amp;"-"&amp;LEFT(J572,1),"--")</f>
        <v>ASC-M</v>
      </c>
      <c r="M572" s="37" t="str">
        <f>VLOOKUP(L572,'[1]Compatible JC'!$A:$A,1,FALSE)</f>
        <v>ASC-M</v>
      </c>
      <c r="N572" s="37" t="str">
        <f>IFERROR(_xlfn.XLOOKUP(H572,'[1]SIG Level Structure'!D:D,'[1]SIG Level Structure'!C:C),"--")</f>
        <v>Supervisor</v>
      </c>
      <c r="O572" s="38" t="str">
        <f>IFERROR(TRIM(N572&amp;" "&amp;C572),"--")</f>
        <v>Supervisor Procurement &amp; Sourcing</v>
      </c>
      <c r="P572" s="22" t="str">
        <f>_xlfn.XLOOKUP(E572,'[1]SIG Job Families &amp; Descriptions'!A:A,'[1]SIG Job Families &amp; Descriptions'!G:G)</f>
        <v>Negotiates favorable terms, volume discounts and long-term contracts with suppliers and prepares and processes requisitions and purchase orders for the procurement of goods, services and supplies for customer-related business processes or for internal use.</v>
      </c>
      <c r="Q572" s="39" t="str">
        <f>_xlfn.XLOOKUP(E572,'[1]2022 GI Position Descriptions'!E:E,'[1]2022 GI Position Descriptions'!G:G)</f>
        <v>Negotiates favorable terms, volume discounts and long-term contracts with suppliers and prepares and processes requisitions and purchase orders for the procurement of goods, services and supplies for customer-related business processes or for internal use as a generalist or in a combination of Purchasing Disciplines</v>
      </c>
      <c r="R572" s="22" t="str">
        <f>IF(LEFT(J572,1)="E","EX",LEFT(J572,1))</f>
        <v>M</v>
      </c>
      <c r="S572" s="22" t="str">
        <f>_xlfn.XLOOKUP($R572,'[1]Career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572" s="22" t="str">
        <f>J572</f>
        <v>M1</v>
      </c>
      <c r="U572" s="40" t="str">
        <f t="shared" si="17"/>
        <v>M1</v>
      </c>
      <c r="V572" s="22" t="str">
        <f>_xlfn.XLOOKUP(T572,'[1]Career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572" s="41" t="str">
        <f>J572&amp;"-"&amp;G572</f>
        <v>M1-11</v>
      </c>
      <c r="X572" s="42" t="str">
        <f>G572</f>
        <v>11</v>
      </c>
      <c r="Y572" s="22" t="str">
        <f>_xlfn.XLOOKUP(W572,'[1]Career Bands &amp; Levels'!A:A,'[1]Career Bands &amp; Levels'!C:C,"No Grade Differentiator")</f>
        <v xml:space="preserve">●	Accountable for the results of a large and/or moderately complex support or production operations team including subordinate work leaders		
●	Applies acquired expertise to analyze and solve problems without clear precedent		
●	Provides input on resource planning and policy development		
●	Coaches team members on performance, completes employee performance evaluations and recommends pay actions		</v>
      </c>
      <c r="Z572" s="43" t="str">
        <f>IFERROR(O572&amp;" - "&amp;G572,"--")</f>
        <v>Supervisor Procurement &amp; Sourcing - 11</v>
      </c>
      <c r="AA572" s="44" t="str">
        <f>_xlfn.XLOOKUP($H572,'[1]SIG Qualifications Input'!$D:$D,'[1]SIG Qualifications Input'!$H:$H)</f>
        <v>University degree or equivalent and 5-7 years of work experience or equivalent
Experienced in application of management techniques
Experience in operationally managing a mixed-level team</v>
      </c>
    </row>
    <row r="573" spans="1:27" ht="183" thickBot="1" x14ac:dyDescent="0.2">
      <c r="A573" s="34" t="str">
        <f>_xlfn.XLOOKUP(C573,'[1]SIG Job Families &amp; Descriptions'!F:F,'[1]SIG Job Families &amp; Descriptions'!B:B)</f>
        <v>Supply Chain &amp; Logistics</v>
      </c>
      <c r="B573" s="34" t="str">
        <f>_xlfn.XLOOKUP(C573,'[1]SIG Job Families &amp; Descriptions'!F:F,'[1]SIG Job Families &amp; Descriptions'!D:D)</f>
        <v xml:space="preserve">Procurement &amp; Sourcing </v>
      </c>
      <c r="C573" s="34" t="s">
        <v>121</v>
      </c>
      <c r="D573" s="30" t="str">
        <f t="shared" si="16"/>
        <v>ASC</v>
      </c>
      <c r="E573" s="31" t="str">
        <f>_xlfn.XLOOKUP(C573,'[1]SIG Job Families &amp; Descriptions'!F:F,'[1]SIG Job Families &amp; Descriptions'!A:A)</f>
        <v>ASC060</v>
      </c>
      <c r="F573" s="32" t="s">
        <v>29</v>
      </c>
      <c r="G573" s="33" t="s">
        <v>36</v>
      </c>
      <c r="H573" s="34" t="str">
        <f>F573&amp;"-"&amp;G573</f>
        <v>Management-10</v>
      </c>
      <c r="I573" s="35" t="str">
        <f>IF(ISERROR(_xlfn.XLOOKUP(H573,'[1]SIG Level Structure'!D:D,'[1]SIG Level Structure'!D:D)),"0","1")</f>
        <v>1</v>
      </c>
      <c r="J573" s="36" t="str">
        <f>_xlfn.XLOOKUP($H573,'[1]SIG Level Structure'!$D:$D,'[1]SIG Level Structure'!F:F)</f>
        <v>M1</v>
      </c>
      <c r="K573" s="37" t="str">
        <f>E573&amp;"-"&amp;J573&amp;"-"&amp;G573</f>
        <v>ASC060-M1-10</v>
      </c>
      <c r="L573" s="37" t="str">
        <f>IFERROR(D573&amp;"-"&amp;LEFT(J573,1),"--")</f>
        <v>ASC-M</v>
      </c>
      <c r="M573" s="37" t="str">
        <f>VLOOKUP(L573,'[1]Compatible JC'!$A:$A,1,FALSE)</f>
        <v>ASC-M</v>
      </c>
      <c r="N573" s="37" t="str">
        <f>IFERROR(_xlfn.XLOOKUP(H573,'[1]SIG Level Structure'!D:D,'[1]SIG Level Structure'!C:C),"--")</f>
        <v>Supervisor</v>
      </c>
      <c r="O573" s="38" t="str">
        <f>IFERROR(TRIM(N573&amp;" "&amp;C573),"--")</f>
        <v>Supervisor Procurement &amp; Sourcing</v>
      </c>
      <c r="P573" s="22" t="str">
        <f>_xlfn.XLOOKUP(E573,'[1]SIG Job Families &amp; Descriptions'!A:A,'[1]SIG Job Families &amp; Descriptions'!G:G)</f>
        <v>Negotiates favorable terms, volume discounts and long-term contracts with suppliers and prepares and processes requisitions and purchase orders for the procurement of goods, services and supplies for customer-related business processes or for internal use.</v>
      </c>
      <c r="Q573" s="39" t="str">
        <f>_xlfn.XLOOKUP(E573,'[1]2022 GI Position Descriptions'!E:E,'[1]2022 GI Position Descriptions'!G:G)</f>
        <v>Negotiates favorable terms, volume discounts and long-term contracts with suppliers and prepares and processes requisitions and purchase orders for the procurement of goods, services and supplies for customer-related business processes or for internal use as a generalist or in a combination of Purchasing Disciplines</v>
      </c>
      <c r="R573" s="22" t="str">
        <f>IF(LEFT(J573,1)="E","EX",LEFT(J573,1))</f>
        <v>M</v>
      </c>
      <c r="S573" s="22" t="str">
        <f>_xlfn.XLOOKUP($R573,'[1]Career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573" s="22" t="str">
        <f>J573</f>
        <v>M1</v>
      </c>
      <c r="U573" s="40" t="str">
        <f t="shared" si="17"/>
        <v>M1</v>
      </c>
      <c r="V573" s="22" t="str">
        <f>_xlfn.XLOOKUP(T573,'[1]Career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573" s="41" t="str">
        <f>J573&amp;"-"&amp;G573</f>
        <v>M1-10</v>
      </c>
      <c r="X573" s="42" t="str">
        <f>G573</f>
        <v>10</v>
      </c>
      <c r="Y573" s="22" t="str">
        <f>_xlfn.XLOOKUP(W573,'[1]Career Bands &amp; Levels'!A:A,'[1]Career Bands &amp; Levels'!C:C,"No Grade Differentiator")</f>
        <v xml:space="preserve">●	Accountable for the results of medium-sized routine support or production operations teams		
●	Solves problems based on practice and precedent		
●	Trains team members and provides input to employee performance evaluations		</v>
      </c>
      <c r="Z573" s="43" t="str">
        <f>IFERROR(O573&amp;" - "&amp;G573,"--")</f>
        <v>Supervisor Procurement &amp; Sourcing - 10</v>
      </c>
      <c r="AA573" s="44" t="str">
        <f>_xlfn.XLOOKUP($H573,'[1]SIG Qualifications Input'!$D:$D,'[1]SIG Qualifications Input'!$H:$H)</f>
        <v>University degree or equivalent and 5-7 years of work experience or equivalent
Experienced in application of management techniques
Experience in operationally managing a mixed-level team</v>
      </c>
    </row>
    <row r="574" spans="1:27" ht="169" thickBot="1" x14ac:dyDescent="0.2">
      <c r="A574" s="34" t="str">
        <f>_xlfn.XLOOKUP(C574,'[1]SIG Job Families &amp; Descriptions'!F:F,'[1]SIG Job Families &amp; Descriptions'!B:B)</f>
        <v>Supply Chain &amp; Logistics</v>
      </c>
      <c r="B574" s="34" t="str">
        <f>_xlfn.XLOOKUP(C574,'[1]SIG Job Families &amp; Descriptions'!F:F,'[1]SIG Job Families &amp; Descriptions'!D:D)</f>
        <v xml:space="preserve">Procurement &amp; Sourcing </v>
      </c>
      <c r="C574" s="34" t="s">
        <v>121</v>
      </c>
      <c r="D574" s="30" t="str">
        <f t="shared" si="16"/>
        <v>ASC</v>
      </c>
      <c r="E574" s="31" t="str">
        <f>_xlfn.XLOOKUP(C574,'[1]SIG Job Families &amp; Descriptions'!F:F,'[1]SIG Job Families &amp; Descriptions'!A:A)</f>
        <v>ASC060</v>
      </c>
      <c r="F574" s="32" t="s">
        <v>32</v>
      </c>
      <c r="G574" s="33" t="s">
        <v>31</v>
      </c>
      <c r="H574" s="34" t="str">
        <f>F574&amp;"-"&amp;G574</f>
        <v>Professional-14</v>
      </c>
      <c r="I574" s="35" t="str">
        <f>IF(ISERROR(_xlfn.XLOOKUP(H574,'[1]SIG Level Structure'!D:D,'[1]SIG Level Structure'!D:D)),"0","1")</f>
        <v>1</v>
      </c>
      <c r="J574" s="36" t="str">
        <f>_xlfn.XLOOKUP($H574,'[1]SIG Level Structure'!$D:$D,'[1]SIG Level Structure'!F:F)</f>
        <v>P4</v>
      </c>
      <c r="K574" s="37" t="str">
        <f>E574&amp;"-"&amp;J574&amp;"-"&amp;G574</f>
        <v>ASC060-P4-14</v>
      </c>
      <c r="L574" s="37" t="str">
        <f>IFERROR(D574&amp;"-"&amp;LEFT(J574,1),"--")</f>
        <v>ASC-P</v>
      </c>
      <c r="M574" s="37" t="str">
        <f>VLOOKUP(L574,'[1]Compatible JC'!$A:$A,1,FALSE)</f>
        <v>ASC-P</v>
      </c>
      <c r="N574" s="37" t="str">
        <f>IFERROR(_xlfn.XLOOKUP(H574,'[1]SIG Level Structure'!D:D,'[1]SIG Level Structure'!C:C),"--")</f>
        <v>Senior Expert</v>
      </c>
      <c r="O574" s="38" t="str">
        <f>IFERROR(TRIM(N574&amp;" "&amp;C574),"--")</f>
        <v>Senior Expert Procurement &amp; Sourcing</v>
      </c>
      <c r="P574" s="22" t="str">
        <f>_xlfn.XLOOKUP(E574,'[1]SIG Job Families &amp; Descriptions'!A:A,'[1]SIG Job Families &amp; Descriptions'!G:G)</f>
        <v>Negotiates favorable terms, volume discounts and long-term contracts with suppliers and prepares and processes requisitions and purchase orders for the procurement of goods, services and supplies for customer-related business processes or for internal use.</v>
      </c>
      <c r="Q574" s="39" t="str">
        <f>_xlfn.XLOOKUP(E574,'[1]2022 GI Position Descriptions'!E:E,'[1]2022 GI Position Descriptions'!G:G)</f>
        <v>Negotiates favorable terms, volume discounts and long-term contracts with suppliers and prepares and processes requisitions and purchase orders for the procurement of goods, services and supplies for customer-related business processes or for internal use as a generalist or in a combination of Purchasing Disciplines</v>
      </c>
      <c r="R574" s="22" t="str">
        <f>IF(LEFT(J574,1)="E","EX",LEFT(J574,1))</f>
        <v>P</v>
      </c>
      <c r="S574" s="22" t="str">
        <f>_xlfn.XLOOKUP($R574,'[1]Career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74" s="22" t="str">
        <f>J574</f>
        <v>P4</v>
      </c>
      <c r="U574" s="40" t="str">
        <f t="shared" si="17"/>
        <v>P4</v>
      </c>
      <c r="V574" s="22" t="str">
        <f>_xlfn.XLOOKUP(T574,'[1]Career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574" s="41" t="str">
        <f>J574&amp;"-"&amp;G574</f>
        <v>P4-14</v>
      </c>
      <c r="X574" s="42" t="str">
        <f>G574</f>
        <v>14</v>
      </c>
      <c r="Y574" s="22" t="str">
        <f>_xlfn.XLOOKUP(W574,'[1]Career Bands &amp; Levels'!A:A,'[1]Career Bands &amp; Levels'!C:C,"No Grade Differentiator")</f>
        <v xml:space="preserve">●	Guides others in resolving complex issues in own specialized area and solves complex problems with implications on cross-functional business processes and outcomes		
●	Serves as an advisor and applies knowledge of strategies that can be deployed within own function and discipline		
●	Applies working knowledge of the theories and concepts in other disciplines		
●	May lead teams or projects with broad visibility		</v>
      </c>
      <c r="Z574" s="43" t="str">
        <f>IFERROR(O574&amp;" - "&amp;G574,"--")</f>
        <v>Senior Expert Procurement &amp; Sourcing - 14</v>
      </c>
      <c r="AA574" s="44" t="str">
        <f>_xlfn.XLOOKUP($H574,'[1]SIG Qualifications Input'!$D:$D,'[1]SIG Qualifications Input'!$H:$H)</f>
        <v>University degree or equivalent and 8-10 years of work experience or equivalent, 
Experience in functionally leading (sub-)projects / teams</v>
      </c>
    </row>
    <row r="575" spans="1:27" ht="169" thickBot="1" x14ac:dyDescent="0.2">
      <c r="A575" s="34" t="str">
        <f>_xlfn.XLOOKUP(C575,'[1]SIG Job Families &amp; Descriptions'!F:F,'[1]SIG Job Families &amp; Descriptions'!B:B)</f>
        <v>Supply Chain &amp; Logistics</v>
      </c>
      <c r="B575" s="34" t="str">
        <f>_xlfn.XLOOKUP(C575,'[1]SIG Job Families &amp; Descriptions'!F:F,'[1]SIG Job Families &amp; Descriptions'!D:D)</f>
        <v xml:space="preserve">Procurement &amp; Sourcing </v>
      </c>
      <c r="C575" s="34" t="s">
        <v>121</v>
      </c>
      <c r="D575" s="30" t="str">
        <f t="shared" si="16"/>
        <v>ASC</v>
      </c>
      <c r="E575" s="31" t="str">
        <f>_xlfn.XLOOKUP(C575,'[1]SIG Job Families &amp; Descriptions'!F:F,'[1]SIG Job Families &amp; Descriptions'!A:A)</f>
        <v>ASC060</v>
      </c>
      <c r="F575" s="32" t="s">
        <v>32</v>
      </c>
      <c r="G575" s="33" t="s">
        <v>33</v>
      </c>
      <c r="H575" s="34" t="str">
        <f>F575&amp;"-"&amp;G575</f>
        <v>Professional-13</v>
      </c>
      <c r="I575" s="35" t="str">
        <f>IF(ISERROR(_xlfn.XLOOKUP(H575,'[1]SIG Level Structure'!D:D,'[1]SIG Level Structure'!D:D)),"0","1")</f>
        <v>1</v>
      </c>
      <c r="J575" s="36" t="str">
        <f>_xlfn.XLOOKUP($H575,'[1]SIG Level Structure'!$D:$D,'[1]SIG Level Structure'!F:F)</f>
        <v>P4</v>
      </c>
      <c r="K575" s="37" t="str">
        <f>E575&amp;"-"&amp;J575&amp;"-"&amp;G575</f>
        <v>ASC060-P4-13</v>
      </c>
      <c r="L575" s="37" t="str">
        <f>IFERROR(D575&amp;"-"&amp;LEFT(J575,1),"--")</f>
        <v>ASC-P</v>
      </c>
      <c r="M575" s="37" t="str">
        <f>VLOOKUP(L575,'[1]Compatible JC'!$A:$A,1,FALSE)</f>
        <v>ASC-P</v>
      </c>
      <c r="N575" s="37" t="str">
        <f>IFERROR(_xlfn.XLOOKUP(H575,'[1]SIG Level Structure'!D:D,'[1]SIG Level Structure'!C:C),"--")</f>
        <v>Senior Expert</v>
      </c>
      <c r="O575" s="38" t="str">
        <f>IFERROR(TRIM(N575&amp;" "&amp;C575),"--")</f>
        <v>Senior Expert Procurement &amp; Sourcing</v>
      </c>
      <c r="P575" s="22" t="str">
        <f>_xlfn.XLOOKUP(E575,'[1]SIG Job Families &amp; Descriptions'!A:A,'[1]SIG Job Families &amp; Descriptions'!G:G)</f>
        <v>Negotiates favorable terms, volume discounts and long-term contracts with suppliers and prepares and processes requisitions and purchase orders for the procurement of goods, services and supplies for customer-related business processes or for internal use.</v>
      </c>
      <c r="Q575" s="39" t="str">
        <f>_xlfn.XLOOKUP(E575,'[1]2022 GI Position Descriptions'!E:E,'[1]2022 GI Position Descriptions'!G:G)</f>
        <v>Negotiates favorable terms, volume discounts and long-term contracts with suppliers and prepares and processes requisitions and purchase orders for the procurement of goods, services and supplies for customer-related business processes or for internal use as a generalist or in a combination of Purchasing Disciplines</v>
      </c>
      <c r="R575" s="22" t="str">
        <f>IF(LEFT(J575,1)="E","EX",LEFT(J575,1))</f>
        <v>P</v>
      </c>
      <c r="S575" s="22" t="str">
        <f>_xlfn.XLOOKUP($R575,'[1]Career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75" s="22" t="str">
        <f>J575</f>
        <v>P4</v>
      </c>
      <c r="U575" s="40" t="str">
        <f t="shared" si="17"/>
        <v>P4</v>
      </c>
      <c r="V575" s="22" t="str">
        <f>_xlfn.XLOOKUP(T575,'[1]Career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575" s="41" t="str">
        <f>J575&amp;"-"&amp;G575</f>
        <v>P4-13</v>
      </c>
      <c r="X575" s="42" t="str">
        <f>G575</f>
        <v>13</v>
      </c>
      <c r="Y575" s="22" t="str">
        <f>_xlfn.XLOOKUP(W575,'[1]Career Bands &amp; Levels'!A:A,'[1]Career Bands &amp; Levels'!C:C,"No Grade Differentiator")</f>
        <v xml:space="preserve">●	Guides others in resolving complex issues in specialized area based on existing solutions and procedures		
●	Serves as an expert within own discipline		
●	May lead function teams or projects and serves as a best practices/quality resource		
●	Trains/mentors junior staff		</v>
      </c>
      <c r="Z575" s="43" t="str">
        <f>IFERROR(O575&amp;" - "&amp;G575,"--")</f>
        <v>Senior Expert Procurement &amp; Sourcing - 13</v>
      </c>
      <c r="AA575" s="44" t="str">
        <f>_xlfn.XLOOKUP($H575,'[1]SIG Qualifications Input'!$D:$D,'[1]SIG Qualifications Input'!$H:$H)</f>
        <v>University degree or equivalent and 8-10 years of work experience or equivalent, 
Experience in functionally leading (sub-)projects / teams</v>
      </c>
    </row>
    <row r="576" spans="1:27" ht="169" thickBot="1" x14ac:dyDescent="0.2">
      <c r="A576" s="34" t="str">
        <f>_xlfn.XLOOKUP(C576,'[1]SIG Job Families &amp; Descriptions'!F:F,'[1]SIG Job Families &amp; Descriptions'!B:B)</f>
        <v>Supply Chain &amp; Logistics</v>
      </c>
      <c r="B576" s="34" t="str">
        <f>_xlfn.XLOOKUP(C576,'[1]SIG Job Families &amp; Descriptions'!F:F,'[1]SIG Job Families &amp; Descriptions'!D:D)</f>
        <v xml:space="preserve">Procurement &amp; Sourcing </v>
      </c>
      <c r="C576" s="34" t="s">
        <v>121</v>
      </c>
      <c r="D576" s="30" t="str">
        <f t="shared" si="16"/>
        <v>ASC</v>
      </c>
      <c r="E576" s="31" t="str">
        <f>_xlfn.XLOOKUP(C576,'[1]SIG Job Families &amp; Descriptions'!F:F,'[1]SIG Job Families &amp; Descriptions'!A:A)</f>
        <v>ASC060</v>
      </c>
      <c r="F576" s="32" t="s">
        <v>32</v>
      </c>
      <c r="G576" s="33" t="s">
        <v>36</v>
      </c>
      <c r="H576" s="34" t="str">
        <f>F576&amp;"-"&amp;G576</f>
        <v>Professional-10</v>
      </c>
      <c r="I576" s="35" t="str">
        <f>IF(ISERROR(_xlfn.XLOOKUP(H576,'[1]SIG Level Structure'!D:D,'[1]SIG Level Structure'!D:D)),"0","1")</f>
        <v>1</v>
      </c>
      <c r="J576" s="36" t="str">
        <f>_xlfn.XLOOKUP($H576,'[1]SIG Level Structure'!$D:$D,'[1]SIG Level Structure'!F:F)</f>
        <v>P2</v>
      </c>
      <c r="K576" s="37" t="str">
        <f>E576&amp;"-"&amp;J576&amp;"-"&amp;G576</f>
        <v>ASC060-P2-10</v>
      </c>
      <c r="L576" s="37" t="str">
        <f>IFERROR(D576&amp;"-"&amp;LEFT(J576,1),"--")</f>
        <v>ASC-P</v>
      </c>
      <c r="M576" s="37" t="str">
        <f>VLOOKUP(L576,'[1]Compatible JC'!$A:$A,1,FALSE)</f>
        <v>ASC-P</v>
      </c>
      <c r="N576" s="37" t="str">
        <f>IFERROR(_xlfn.XLOOKUP(H576,'[1]SIG Level Structure'!D:D,'[1]SIG Level Structure'!C:C),"--")</f>
        <v>Senior Specialist</v>
      </c>
      <c r="O576" s="38" t="str">
        <f>IFERROR(TRIM(N576&amp;" "&amp;C576),"--")</f>
        <v>Senior Specialist Procurement &amp; Sourcing</v>
      </c>
      <c r="P576" s="22" t="str">
        <f>_xlfn.XLOOKUP(E576,'[1]SIG Job Families &amp; Descriptions'!A:A,'[1]SIG Job Families &amp; Descriptions'!G:G)</f>
        <v>Negotiates favorable terms, volume discounts and long-term contracts with suppliers and prepares and processes requisitions and purchase orders for the procurement of goods, services and supplies for customer-related business processes or for internal use.</v>
      </c>
      <c r="Q576" s="39" t="str">
        <f>_xlfn.XLOOKUP(E576,'[1]2022 GI Position Descriptions'!E:E,'[1]2022 GI Position Descriptions'!G:G)</f>
        <v>Negotiates favorable terms, volume discounts and long-term contracts with suppliers and prepares and processes requisitions and purchase orders for the procurement of goods, services and supplies for customer-related business processes or for internal use as a generalist or in a combination of Purchasing Disciplines</v>
      </c>
      <c r="R576" s="22" t="str">
        <f>IF(LEFT(J576,1)="E","EX",LEFT(J576,1))</f>
        <v>P</v>
      </c>
      <c r="S576" s="22" t="str">
        <f>_xlfn.XLOOKUP($R576,'[1]Career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76" s="22" t="str">
        <f>J576</f>
        <v>P2</v>
      </c>
      <c r="U576" s="40" t="str">
        <f t="shared" si="17"/>
        <v>P2</v>
      </c>
      <c r="V576" s="22" t="str">
        <f>_xlfn.XLOOKUP(T576,'[1]Career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576" s="41" t="str">
        <f>J576&amp;"-"&amp;G576</f>
        <v>P2-10</v>
      </c>
      <c r="X576" s="42" t="str">
        <f>G576</f>
        <v>10</v>
      </c>
      <c r="Y576" s="22" t="str">
        <f>_xlfn.XLOOKUP(W576,'[1]Career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576" s="43" t="str">
        <f>IFERROR(O576&amp;" - "&amp;G576,"--")</f>
        <v>Senior Specialist Procurement &amp; Sourcing - 10</v>
      </c>
      <c r="AA576" s="44" t="str">
        <f>_xlfn.XLOOKUP($H576,'[1]SIG Qualifications Input'!$D:$D,'[1]SIG Qualifications Input'!$H:$H)</f>
        <v>University degree or equivalent and 2-4 years of work experience or equivalent</v>
      </c>
    </row>
    <row r="577" spans="1:27" ht="169" thickBot="1" x14ac:dyDescent="0.2">
      <c r="A577" s="34" t="str">
        <f>_xlfn.XLOOKUP(C577,'[1]SIG Job Families &amp; Descriptions'!F:F,'[1]SIG Job Families &amp; Descriptions'!B:B)</f>
        <v>Supply Chain &amp; Logistics</v>
      </c>
      <c r="B577" s="34" t="str">
        <f>_xlfn.XLOOKUP(C577,'[1]SIG Job Families &amp; Descriptions'!F:F,'[1]SIG Job Families &amp; Descriptions'!D:D)</f>
        <v xml:space="preserve">Procurement &amp; Sourcing </v>
      </c>
      <c r="C577" s="34" t="s">
        <v>121</v>
      </c>
      <c r="D577" s="30" t="str">
        <f t="shared" si="16"/>
        <v>ASC</v>
      </c>
      <c r="E577" s="31" t="str">
        <f>_xlfn.XLOOKUP(C577,'[1]SIG Job Families &amp; Descriptions'!F:F,'[1]SIG Job Families &amp; Descriptions'!A:A)</f>
        <v>ASC060</v>
      </c>
      <c r="F577" s="32" t="s">
        <v>32</v>
      </c>
      <c r="G577" s="33" t="s">
        <v>37</v>
      </c>
      <c r="H577" s="34" t="str">
        <f>F577&amp;"-"&amp;G577</f>
        <v>Professional-09</v>
      </c>
      <c r="I577" s="35" t="str">
        <f>IF(ISERROR(_xlfn.XLOOKUP(H577,'[1]SIG Level Structure'!D:D,'[1]SIG Level Structure'!D:D)),"0","1")</f>
        <v>1</v>
      </c>
      <c r="J577" s="36" t="str">
        <f>_xlfn.XLOOKUP($H577,'[1]SIG Level Structure'!$D:$D,'[1]SIG Level Structure'!F:F)</f>
        <v>P2</v>
      </c>
      <c r="K577" s="37" t="str">
        <f>E577&amp;"-"&amp;J577&amp;"-"&amp;G577</f>
        <v>ASC060-P2-09</v>
      </c>
      <c r="L577" s="37" t="str">
        <f>IFERROR(D577&amp;"-"&amp;LEFT(J577,1),"--")</f>
        <v>ASC-P</v>
      </c>
      <c r="M577" s="37" t="str">
        <f>VLOOKUP(L577,'[1]Compatible JC'!$A:$A,1,FALSE)</f>
        <v>ASC-P</v>
      </c>
      <c r="N577" s="37" t="str">
        <f>IFERROR(_xlfn.XLOOKUP(H577,'[1]SIG Level Structure'!D:D,'[1]SIG Level Structure'!C:C),"--")</f>
        <v>Senior Specialist</v>
      </c>
      <c r="O577" s="38" t="str">
        <f>IFERROR(TRIM(N577&amp;" "&amp;C577),"--")</f>
        <v>Senior Specialist Procurement &amp; Sourcing</v>
      </c>
      <c r="P577" s="22" t="str">
        <f>_xlfn.XLOOKUP(E577,'[1]SIG Job Families &amp; Descriptions'!A:A,'[1]SIG Job Families &amp; Descriptions'!G:G)</f>
        <v>Negotiates favorable terms, volume discounts and long-term contracts with suppliers and prepares and processes requisitions and purchase orders for the procurement of goods, services and supplies for customer-related business processes or for internal use.</v>
      </c>
      <c r="Q577" s="39" t="str">
        <f>_xlfn.XLOOKUP(E577,'[1]2022 GI Position Descriptions'!E:E,'[1]2022 GI Position Descriptions'!G:G)</f>
        <v>Negotiates favorable terms, volume discounts and long-term contracts with suppliers and prepares and processes requisitions and purchase orders for the procurement of goods, services and supplies for customer-related business processes or for internal use as a generalist or in a combination of Purchasing Disciplines</v>
      </c>
      <c r="R577" s="22" t="str">
        <f>IF(LEFT(J577,1)="E","EX",LEFT(J577,1))</f>
        <v>P</v>
      </c>
      <c r="S577" s="22" t="str">
        <f>_xlfn.XLOOKUP($R577,'[1]Career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77" s="22" t="str">
        <f>J577</f>
        <v>P2</v>
      </c>
      <c r="U577" s="40" t="str">
        <f t="shared" si="17"/>
        <v>P2</v>
      </c>
      <c r="V577" s="22" t="str">
        <f>_xlfn.XLOOKUP(T577,'[1]Career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577" s="41" t="str">
        <f>J577&amp;"-"&amp;G577</f>
        <v>P2-09</v>
      </c>
      <c r="X577" s="42" t="str">
        <f>G577</f>
        <v>09</v>
      </c>
      <c r="Y577" s="22" t="str">
        <f>_xlfn.XLOOKUP(W577,'[1]Career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577" s="43" t="str">
        <f>IFERROR(O577&amp;" - "&amp;G577,"--")</f>
        <v>Senior Specialist Procurement &amp; Sourcing - 09</v>
      </c>
      <c r="AA577" s="44" t="str">
        <f>_xlfn.XLOOKUP($H577,'[1]SIG Qualifications Input'!$D:$D,'[1]SIG Qualifications Input'!$H:$H)</f>
        <v>University degree or equivalent and 2-4 years of work experience or equivalent</v>
      </c>
    </row>
    <row r="578" spans="1:27" ht="169" thickBot="1" x14ac:dyDescent="0.2">
      <c r="A578" s="34" t="str">
        <f>_xlfn.XLOOKUP(C578,'[1]SIG Job Families &amp; Descriptions'!F:F,'[1]SIG Job Families &amp; Descriptions'!B:B)</f>
        <v>Supply Chain &amp; Logistics</v>
      </c>
      <c r="B578" s="34" t="str">
        <f>_xlfn.XLOOKUP(C578,'[1]SIG Job Families &amp; Descriptions'!F:F,'[1]SIG Job Families &amp; Descriptions'!D:D)</f>
        <v xml:space="preserve">Procurement &amp; Sourcing </v>
      </c>
      <c r="C578" s="34" t="s">
        <v>121</v>
      </c>
      <c r="D578" s="30" t="str">
        <f t="shared" si="16"/>
        <v>ASC</v>
      </c>
      <c r="E578" s="31" t="str">
        <f>_xlfn.XLOOKUP(C578,'[1]SIG Job Families &amp; Descriptions'!F:F,'[1]SIG Job Families &amp; Descriptions'!A:A)</f>
        <v>ASC060</v>
      </c>
      <c r="F578" s="32" t="s">
        <v>32</v>
      </c>
      <c r="G578" s="33" t="s">
        <v>43</v>
      </c>
      <c r="H578" s="34" t="str">
        <f>F578&amp;"-"&amp;G578</f>
        <v>Professional-08</v>
      </c>
      <c r="I578" s="35" t="str">
        <f>IF(ISERROR(_xlfn.XLOOKUP(H578,'[1]SIG Level Structure'!D:D,'[1]SIG Level Structure'!D:D)),"0","1")</f>
        <v>1</v>
      </c>
      <c r="J578" s="36" t="str">
        <f>_xlfn.XLOOKUP($H578,'[1]SIG Level Structure'!$D:$D,'[1]SIG Level Structure'!F:F)</f>
        <v>P1</v>
      </c>
      <c r="K578" s="37" t="str">
        <f>E578&amp;"-"&amp;J578&amp;"-"&amp;G578</f>
        <v>ASC060-P1-08</v>
      </c>
      <c r="L578" s="37" t="str">
        <f>IFERROR(D578&amp;"-"&amp;LEFT(J578,1),"--")</f>
        <v>ASC-P</v>
      </c>
      <c r="M578" s="37" t="str">
        <f>VLOOKUP(L578,'[1]Compatible JC'!$A:$A,1,FALSE)</f>
        <v>ASC-P</v>
      </c>
      <c r="N578" s="37" t="str">
        <f>IFERROR(_xlfn.XLOOKUP(H578,'[1]SIG Level Structure'!D:D,'[1]SIG Level Structure'!C:C),"--")</f>
        <v>Specialist</v>
      </c>
      <c r="O578" s="38" t="str">
        <f>IFERROR(TRIM(N578&amp;" "&amp;C578),"--")</f>
        <v>Specialist Procurement &amp; Sourcing</v>
      </c>
      <c r="P578" s="22" t="str">
        <f>_xlfn.XLOOKUP(E578,'[1]SIG Job Families &amp; Descriptions'!A:A,'[1]SIG Job Families &amp; Descriptions'!G:G)</f>
        <v>Negotiates favorable terms, volume discounts and long-term contracts with suppliers and prepares and processes requisitions and purchase orders for the procurement of goods, services and supplies for customer-related business processes or for internal use.</v>
      </c>
      <c r="Q578" s="39" t="str">
        <f>_xlfn.XLOOKUP(E578,'[1]2022 GI Position Descriptions'!E:E,'[1]2022 GI Position Descriptions'!G:G)</f>
        <v>Negotiates favorable terms, volume discounts and long-term contracts with suppliers and prepares and processes requisitions and purchase orders for the procurement of goods, services and supplies for customer-related business processes or for internal use as a generalist or in a combination of Purchasing Disciplines</v>
      </c>
      <c r="R578" s="22" t="str">
        <f>IF(LEFT(J578,1)="E","EX",LEFT(J578,1))</f>
        <v>P</v>
      </c>
      <c r="S578" s="22" t="str">
        <f>_xlfn.XLOOKUP($R578,'[1]Career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78" s="22" t="str">
        <f>J578</f>
        <v>P1</v>
      </c>
      <c r="U578" s="40" t="str">
        <f t="shared" si="17"/>
        <v>P1</v>
      </c>
      <c r="V578" s="22" t="str">
        <f>_xlfn.XLOOKUP(T578,'[1]Career Bands &amp; Levels'!A:A,'[1]Career Bands &amp; Levels'!C:C)</f>
        <v xml:space="preserve">●	Performs routine assignments in the entry level of the Professional Career Band		
●	Typically requires a college or university degree or the equivalent work experience and has conceptual knowledge of fundamental theories, principles and practices 		
●	Has no discretion to vary from established procedures by performing structured work assignments		
●	Uses existing procedures to solve routine or standard problems		
●	Receives instruction, guidance and direction from more senior level roles		</v>
      </c>
      <c r="W578" s="41" t="str">
        <f>J578&amp;"-"&amp;G578</f>
        <v>P1-08</v>
      </c>
      <c r="X578" s="42" t="str">
        <f>G578</f>
        <v>08</v>
      </c>
      <c r="Y578" s="22" t="str">
        <f>_xlfn.XLOOKUP(W578,'[1]Career Bands &amp; Levels'!A:A,'[1]Career Bands &amp; Levels'!C:C,"No Grade Differentiator")</f>
        <v>No Grade Differentiator</v>
      </c>
      <c r="Z578" s="43" t="str">
        <f>IFERROR(O578&amp;" - "&amp;G578,"--")</f>
        <v>Specialist Procurement &amp; Sourcing - 08</v>
      </c>
      <c r="AA578" s="44" t="str">
        <f>_xlfn.XLOOKUP($H578,'[1]SIG Qualifications Input'!$D:$D,'[1]SIG Qualifications Input'!$H:$H)</f>
        <v>University degree or equivalent and 0-1 year of work experience or equivalent</v>
      </c>
    </row>
    <row r="579" spans="1:27" ht="183" thickBot="1" x14ac:dyDescent="0.2">
      <c r="A579" s="34" t="str">
        <f>_xlfn.XLOOKUP(C579,'[1]SIG Job Families &amp; Descriptions'!F:F,'[1]SIG Job Families &amp; Descriptions'!B:B)</f>
        <v>Supply Chain &amp; Logistics</v>
      </c>
      <c r="B579" s="34" t="str">
        <f>_xlfn.XLOOKUP(C579,'[1]SIG Job Families &amp; Descriptions'!F:F,'[1]SIG Job Families &amp; Descriptions'!D:D)</f>
        <v>Materials Planning/Management</v>
      </c>
      <c r="C579" s="34" t="s">
        <v>122</v>
      </c>
      <c r="D579" s="30" t="str">
        <f t="shared" ref="D579:D639" si="18">LEFT(E579,3)</f>
        <v>ASC</v>
      </c>
      <c r="E579" s="31" t="str">
        <f>_xlfn.XLOOKUP(C579,'[1]SIG Job Families &amp; Descriptions'!F:F,'[1]SIG Job Families &amp; Descriptions'!A:A)</f>
        <v>ASC015</v>
      </c>
      <c r="F579" s="32" t="s">
        <v>29</v>
      </c>
      <c r="G579" s="33" t="s">
        <v>33</v>
      </c>
      <c r="H579" s="34" t="str">
        <f>F579&amp;"-"&amp;G579</f>
        <v>Management-13</v>
      </c>
      <c r="I579" s="35" t="str">
        <f>IF(ISERROR(_xlfn.XLOOKUP(H579,'[1]SIG Level Structure'!D:D,'[1]SIG Level Structure'!D:D)),"0","1")</f>
        <v>1</v>
      </c>
      <c r="J579" s="36" t="str">
        <f>_xlfn.XLOOKUP($H579,'[1]SIG Level Structure'!$D:$D,'[1]SIG Level Structure'!F:F)</f>
        <v>M2</v>
      </c>
      <c r="K579" s="37" t="str">
        <f>E579&amp;"-"&amp;J579&amp;"-"&amp;G579</f>
        <v>ASC015-M2-13</v>
      </c>
      <c r="L579" s="37" t="str">
        <f>IFERROR(D579&amp;"-"&amp;LEFT(J579,1),"--")</f>
        <v>ASC-M</v>
      </c>
      <c r="M579" s="37" t="str">
        <f>VLOOKUP(L579,'[1]Compatible JC'!$A:$A,1,FALSE)</f>
        <v>ASC-M</v>
      </c>
      <c r="N579" s="37" t="str">
        <f>IFERROR(_xlfn.XLOOKUP(H579,'[1]SIG Level Structure'!D:D,'[1]SIG Level Structure'!C:C),"--")</f>
        <v>Manager</v>
      </c>
      <c r="O579" s="38" t="str">
        <f>IFERROR(TRIM(N579&amp;" "&amp;C579),"--")</f>
        <v>Manager Materials Planning/Management</v>
      </c>
      <c r="P579" s="22" t="str">
        <f>_xlfn.XLOOKUP(E579,'[1]SIG Job Families &amp; Descriptions'!A:A,'[1]SIG Job Families &amp; Descriptions'!G:G)</f>
        <v>Determines material requirements and plans, schedules and coordinates the efficient movement of materials from suppliers as well as product and material movement through production. Prepares and maintains volume and demand planning analyses/ supply and production schedules based on internal and external information to establish and effectively manage an order backlog.</v>
      </c>
      <c r="Q579" s="39" t="str">
        <f>_xlfn.XLOOKUP(E579,'[1]2022 GI Position Descriptions'!E:E,'[1]2022 GI Position Descriptions'!G:G)</f>
        <v>Plans, schedules and monitors inbound movement of materials from suppliers | Determines material requirements and coordinates the efficient movement of materials with purchasing, production and engineering | Develops specifications for new contract orders</v>
      </c>
      <c r="R579" s="22" t="str">
        <f>IF(LEFT(J579,1)="E","EX",LEFT(J579,1))</f>
        <v>M</v>
      </c>
      <c r="S579" s="22" t="str">
        <f>_xlfn.XLOOKUP($R579,'[1]Career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579" s="22" t="str">
        <f>J579</f>
        <v>M2</v>
      </c>
      <c r="U579" s="40" t="str">
        <f t="shared" ref="U579:U639" si="19">T579</f>
        <v>M2</v>
      </c>
      <c r="V579" s="22" t="str">
        <f>_xlfn.XLOOKUP(T579,'[1]Career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579" s="41" t="str">
        <f>J579&amp;"-"&amp;G579</f>
        <v>M2-13</v>
      </c>
      <c r="X579" s="42" t="str">
        <f>G579</f>
        <v>13</v>
      </c>
      <c r="Y579" s="22" t="str">
        <f>_xlfn.XLOOKUP(W579,'[1]Career Bands &amp; Levels'!A:A,'[1]Career Bands &amp; Levels'!C:C,"No Grade Differentiator")</f>
        <v>●	Accountable for the budget, performance and results of a medium-sized team or multiple small teams of employees		
●	Exercises full management authority, including performance reviews, pay decisions, recruitment, discipline, termination and other personnel actions		
●	Addresses issues with impact beyond own team based on knowledge of related disciplines</v>
      </c>
      <c r="Z579" s="43" t="str">
        <f>IFERROR(O579&amp;" - "&amp;G579,"--")</f>
        <v>Manager Materials Planning/Management - 13</v>
      </c>
      <c r="AA579" s="44" t="str">
        <f>_xlfn.XLOOKUP($H579,'[1]SIG Qualifications Input'!$D:$D,'[1]SIG Qualifications Input'!$H:$H)</f>
        <v>University degree or equivalent and 7-10 years of work experience or equivalent
Experience in managing mixed-level team(s) of professionals and subordinate managers</v>
      </c>
    </row>
    <row r="580" spans="1:27" ht="183" thickBot="1" x14ac:dyDescent="0.2">
      <c r="A580" s="34" t="str">
        <f>_xlfn.XLOOKUP(C580,'[1]SIG Job Families &amp; Descriptions'!F:F,'[1]SIG Job Families &amp; Descriptions'!B:B)</f>
        <v>Supply Chain &amp; Logistics</v>
      </c>
      <c r="B580" s="34" t="str">
        <f>_xlfn.XLOOKUP(C580,'[1]SIG Job Families &amp; Descriptions'!F:F,'[1]SIG Job Families &amp; Descriptions'!D:D)</f>
        <v>Materials Planning/Management</v>
      </c>
      <c r="C580" s="34" t="s">
        <v>122</v>
      </c>
      <c r="D580" s="30" t="str">
        <f t="shared" si="18"/>
        <v>ASC</v>
      </c>
      <c r="E580" s="31" t="str">
        <f>_xlfn.XLOOKUP(C580,'[1]SIG Job Families &amp; Descriptions'!F:F,'[1]SIG Job Families &amp; Descriptions'!A:A)</f>
        <v>ASC015</v>
      </c>
      <c r="F580" s="32" t="s">
        <v>29</v>
      </c>
      <c r="G580" s="33" t="s">
        <v>34</v>
      </c>
      <c r="H580" s="34" t="str">
        <f>F580&amp;"-"&amp;G580</f>
        <v>Management-12</v>
      </c>
      <c r="I580" s="35" t="str">
        <f>IF(ISERROR(_xlfn.XLOOKUP(H580,'[1]SIG Level Structure'!D:D,'[1]SIG Level Structure'!D:D)),"0","1")</f>
        <v>1</v>
      </c>
      <c r="J580" s="36" t="str">
        <f>_xlfn.XLOOKUP($H580,'[1]SIG Level Structure'!$D:$D,'[1]SIG Level Structure'!F:F)</f>
        <v>M2</v>
      </c>
      <c r="K580" s="37" t="str">
        <f>E580&amp;"-"&amp;J580&amp;"-"&amp;G580</f>
        <v>ASC015-M2-12</v>
      </c>
      <c r="L580" s="37" t="str">
        <f>IFERROR(D580&amp;"-"&amp;LEFT(J580,1),"--")</f>
        <v>ASC-M</v>
      </c>
      <c r="M580" s="37" t="str">
        <f>VLOOKUP(L580,'[1]Compatible JC'!$A:$A,1,FALSE)</f>
        <v>ASC-M</v>
      </c>
      <c r="N580" s="37" t="str">
        <f>IFERROR(_xlfn.XLOOKUP(H580,'[1]SIG Level Structure'!D:D,'[1]SIG Level Structure'!C:C),"--")</f>
        <v>Manager</v>
      </c>
      <c r="O580" s="38" t="str">
        <f>IFERROR(TRIM(N580&amp;" "&amp;C580),"--")</f>
        <v>Manager Materials Planning/Management</v>
      </c>
      <c r="P580" s="22" t="str">
        <f>_xlfn.XLOOKUP(E580,'[1]SIG Job Families &amp; Descriptions'!A:A,'[1]SIG Job Families &amp; Descriptions'!G:G)</f>
        <v>Determines material requirements and plans, schedules and coordinates the efficient movement of materials from suppliers as well as product and material movement through production. Prepares and maintains volume and demand planning analyses/ supply and production schedules based on internal and external information to establish and effectively manage an order backlog.</v>
      </c>
      <c r="Q580" s="39" t="str">
        <f>_xlfn.XLOOKUP(E580,'[1]2022 GI Position Descriptions'!E:E,'[1]2022 GI Position Descriptions'!G:G)</f>
        <v>Plans, schedules and monitors inbound movement of materials from suppliers | Determines material requirements and coordinates the efficient movement of materials with purchasing, production and engineering | Develops specifications for new contract orders</v>
      </c>
      <c r="R580" s="22" t="str">
        <f>IF(LEFT(J580,1)="E","EX",LEFT(J580,1))</f>
        <v>M</v>
      </c>
      <c r="S580" s="22" t="str">
        <f>_xlfn.XLOOKUP($R580,'[1]Career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580" s="22" t="str">
        <f>J580</f>
        <v>M2</v>
      </c>
      <c r="U580" s="40" t="str">
        <f t="shared" si="19"/>
        <v>M2</v>
      </c>
      <c r="V580" s="22" t="str">
        <f>_xlfn.XLOOKUP(T580,'[1]Career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580" s="41" t="str">
        <f>J580&amp;"-"&amp;G580</f>
        <v>M2-12</v>
      </c>
      <c r="X580" s="42" t="str">
        <f>G580</f>
        <v>12</v>
      </c>
      <c r="Y580" s="22" t="str">
        <f>_xlfn.XLOOKUP(W580,'[1]Career Bands &amp; Levels'!A:A,'[1]Career Bands &amp; Levels'!C:C,"No Grade Differentiator")</f>
        <v xml:space="preserve">●	Accountable for results of a small team of employees		
●	Exercises limited management authority; sets employee performance objectives, conducts performance reviews and recommends pay actions		
●	Defines team operating standards and ensures essential procedures are followed based on knowledge of own discipline		</v>
      </c>
      <c r="Z580" s="43" t="str">
        <f>IFERROR(O580&amp;" - "&amp;G580,"--")</f>
        <v>Manager Materials Planning/Management - 12</v>
      </c>
      <c r="AA580" s="44" t="str">
        <f>_xlfn.XLOOKUP($H580,'[1]SIG Qualifications Input'!$D:$D,'[1]SIG Qualifications Input'!$H:$H)</f>
        <v>University degree or equivalent and 7-10 years of work experience or equivalent
Experience in managing mixed-level team(s) of professionals and subordinate managers</v>
      </c>
    </row>
    <row r="581" spans="1:27" ht="183" thickBot="1" x14ac:dyDescent="0.2">
      <c r="A581" s="34" t="str">
        <f>_xlfn.XLOOKUP(C581,'[1]SIG Job Families &amp; Descriptions'!F:F,'[1]SIG Job Families &amp; Descriptions'!B:B)</f>
        <v>Supply Chain &amp; Logistics</v>
      </c>
      <c r="B581" s="34" t="str">
        <f>_xlfn.XLOOKUP(C581,'[1]SIG Job Families &amp; Descriptions'!F:F,'[1]SIG Job Families &amp; Descriptions'!D:D)</f>
        <v>Materials Planning/Management</v>
      </c>
      <c r="C581" s="34" t="s">
        <v>122</v>
      </c>
      <c r="D581" s="30" t="str">
        <f t="shared" si="18"/>
        <v>ASC</v>
      </c>
      <c r="E581" s="31" t="str">
        <f>_xlfn.XLOOKUP(C581,'[1]SIG Job Families &amp; Descriptions'!F:F,'[1]SIG Job Families &amp; Descriptions'!A:A)</f>
        <v>ASC015</v>
      </c>
      <c r="F581" s="32" t="s">
        <v>29</v>
      </c>
      <c r="G581" s="33" t="s">
        <v>35</v>
      </c>
      <c r="H581" s="34" t="str">
        <f>F581&amp;"-"&amp;G581</f>
        <v>Management-11</v>
      </c>
      <c r="I581" s="35" t="str">
        <f>IF(ISERROR(_xlfn.XLOOKUP(H581,'[1]SIG Level Structure'!D:D,'[1]SIG Level Structure'!D:D)),"0","1")</f>
        <v>1</v>
      </c>
      <c r="J581" s="36" t="str">
        <f>_xlfn.XLOOKUP($H581,'[1]SIG Level Structure'!$D:$D,'[1]SIG Level Structure'!F:F)</f>
        <v>M1</v>
      </c>
      <c r="K581" s="37" t="str">
        <f>E581&amp;"-"&amp;J581&amp;"-"&amp;G581</f>
        <v>ASC015-M1-11</v>
      </c>
      <c r="L581" s="37" t="str">
        <f>IFERROR(D581&amp;"-"&amp;LEFT(J581,1),"--")</f>
        <v>ASC-M</v>
      </c>
      <c r="M581" s="37" t="str">
        <f>VLOOKUP(L581,'[1]Compatible JC'!$A:$A,1,FALSE)</f>
        <v>ASC-M</v>
      </c>
      <c r="N581" s="37" t="str">
        <f>IFERROR(_xlfn.XLOOKUP(H581,'[1]SIG Level Structure'!D:D,'[1]SIG Level Structure'!C:C),"--")</f>
        <v>Supervisor</v>
      </c>
      <c r="O581" s="38" t="str">
        <f>IFERROR(TRIM(N581&amp;" "&amp;C581),"--")</f>
        <v>Supervisor Materials Planning/Management</v>
      </c>
      <c r="P581" s="22" t="str">
        <f>_xlfn.XLOOKUP(E581,'[1]SIG Job Families &amp; Descriptions'!A:A,'[1]SIG Job Families &amp; Descriptions'!G:G)</f>
        <v>Determines material requirements and plans, schedules and coordinates the efficient movement of materials from suppliers as well as product and material movement through production. Prepares and maintains volume and demand planning analyses/ supply and production schedules based on internal and external information to establish and effectively manage an order backlog.</v>
      </c>
      <c r="Q581" s="39" t="str">
        <f>_xlfn.XLOOKUP(E581,'[1]2022 GI Position Descriptions'!E:E,'[1]2022 GI Position Descriptions'!G:G)</f>
        <v>Plans, schedules and monitors inbound movement of materials from suppliers | Determines material requirements and coordinates the efficient movement of materials with purchasing, production and engineering | Develops specifications for new contract orders</v>
      </c>
      <c r="R581" s="22" t="str">
        <f>IF(LEFT(J581,1)="E","EX",LEFT(J581,1))</f>
        <v>M</v>
      </c>
      <c r="S581" s="22" t="str">
        <f>_xlfn.XLOOKUP($R581,'[1]Career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581" s="22" t="str">
        <f>J581</f>
        <v>M1</v>
      </c>
      <c r="U581" s="40" t="str">
        <f t="shared" si="19"/>
        <v>M1</v>
      </c>
      <c r="V581" s="22" t="str">
        <f>_xlfn.XLOOKUP(T581,'[1]Career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581" s="41" t="str">
        <f>J581&amp;"-"&amp;G581</f>
        <v>M1-11</v>
      </c>
      <c r="X581" s="42" t="str">
        <f>G581</f>
        <v>11</v>
      </c>
      <c r="Y581" s="22" t="str">
        <f>_xlfn.XLOOKUP(W581,'[1]Career Bands &amp; Levels'!A:A,'[1]Career Bands &amp; Levels'!C:C,"No Grade Differentiator")</f>
        <v xml:space="preserve">●	Accountable for the results of a large and/or moderately complex support or production operations team including subordinate work leaders		
●	Applies acquired expertise to analyze and solve problems without clear precedent		
●	Provides input on resource planning and policy development		
●	Coaches team members on performance, completes employee performance evaluations and recommends pay actions		</v>
      </c>
      <c r="Z581" s="43" t="str">
        <f>IFERROR(O581&amp;" - "&amp;G581,"--")</f>
        <v>Supervisor Materials Planning/Management - 11</v>
      </c>
      <c r="AA581" s="44" t="str">
        <f>_xlfn.XLOOKUP($H581,'[1]SIG Qualifications Input'!$D:$D,'[1]SIG Qualifications Input'!$H:$H)</f>
        <v>University degree or equivalent and 5-7 years of work experience or equivalent
Experienced in application of management techniques
Experience in operationally managing a mixed-level team</v>
      </c>
    </row>
    <row r="582" spans="1:27" ht="183" thickBot="1" x14ac:dyDescent="0.2">
      <c r="A582" s="34" t="str">
        <f>_xlfn.XLOOKUP(C582,'[1]SIG Job Families &amp; Descriptions'!F:F,'[1]SIG Job Families &amp; Descriptions'!B:B)</f>
        <v>Supply Chain &amp; Logistics</v>
      </c>
      <c r="B582" s="34" t="str">
        <f>_xlfn.XLOOKUP(C582,'[1]SIG Job Families &amp; Descriptions'!F:F,'[1]SIG Job Families &amp; Descriptions'!D:D)</f>
        <v>Materials Planning/Management</v>
      </c>
      <c r="C582" s="34" t="s">
        <v>122</v>
      </c>
      <c r="D582" s="30" t="str">
        <f t="shared" si="18"/>
        <v>ASC</v>
      </c>
      <c r="E582" s="31" t="str">
        <f>_xlfn.XLOOKUP(C582,'[1]SIG Job Families &amp; Descriptions'!F:F,'[1]SIG Job Families &amp; Descriptions'!A:A)</f>
        <v>ASC015</v>
      </c>
      <c r="F582" s="32" t="s">
        <v>29</v>
      </c>
      <c r="G582" s="33" t="s">
        <v>36</v>
      </c>
      <c r="H582" s="34" t="str">
        <f>F582&amp;"-"&amp;G582</f>
        <v>Management-10</v>
      </c>
      <c r="I582" s="35" t="str">
        <f>IF(ISERROR(_xlfn.XLOOKUP(H582,'[1]SIG Level Structure'!D:D,'[1]SIG Level Structure'!D:D)),"0","1")</f>
        <v>1</v>
      </c>
      <c r="J582" s="36" t="str">
        <f>_xlfn.XLOOKUP($H582,'[1]SIG Level Structure'!$D:$D,'[1]SIG Level Structure'!F:F)</f>
        <v>M1</v>
      </c>
      <c r="K582" s="37" t="str">
        <f>E582&amp;"-"&amp;J582&amp;"-"&amp;G582</f>
        <v>ASC015-M1-10</v>
      </c>
      <c r="L582" s="37" t="str">
        <f>IFERROR(D582&amp;"-"&amp;LEFT(J582,1),"--")</f>
        <v>ASC-M</v>
      </c>
      <c r="M582" s="37" t="str">
        <f>VLOOKUP(L582,'[1]Compatible JC'!$A:$A,1,FALSE)</f>
        <v>ASC-M</v>
      </c>
      <c r="N582" s="37" t="str">
        <f>IFERROR(_xlfn.XLOOKUP(H582,'[1]SIG Level Structure'!D:D,'[1]SIG Level Structure'!C:C),"--")</f>
        <v>Supervisor</v>
      </c>
      <c r="O582" s="38" t="str">
        <f>IFERROR(TRIM(N582&amp;" "&amp;C582),"--")</f>
        <v>Supervisor Materials Planning/Management</v>
      </c>
      <c r="P582" s="22" t="str">
        <f>_xlfn.XLOOKUP(E582,'[1]SIG Job Families &amp; Descriptions'!A:A,'[1]SIG Job Families &amp; Descriptions'!G:G)</f>
        <v>Determines material requirements and plans, schedules and coordinates the efficient movement of materials from suppliers as well as product and material movement through production. Prepares and maintains volume and demand planning analyses/ supply and production schedules based on internal and external information to establish and effectively manage an order backlog.</v>
      </c>
      <c r="Q582" s="39" t="str">
        <f>_xlfn.XLOOKUP(E582,'[1]2022 GI Position Descriptions'!E:E,'[1]2022 GI Position Descriptions'!G:G)</f>
        <v>Plans, schedules and monitors inbound movement of materials from suppliers | Determines material requirements and coordinates the efficient movement of materials with purchasing, production and engineering | Develops specifications for new contract orders</v>
      </c>
      <c r="R582" s="22" t="str">
        <f>IF(LEFT(J582,1)="E","EX",LEFT(J582,1))</f>
        <v>M</v>
      </c>
      <c r="S582" s="22" t="str">
        <f>_xlfn.XLOOKUP($R582,'[1]Career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582" s="22" t="str">
        <f>J582</f>
        <v>M1</v>
      </c>
      <c r="U582" s="40" t="str">
        <f t="shared" si="19"/>
        <v>M1</v>
      </c>
      <c r="V582" s="22" t="str">
        <f>_xlfn.XLOOKUP(T582,'[1]Career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582" s="41" t="str">
        <f>J582&amp;"-"&amp;G582</f>
        <v>M1-10</v>
      </c>
      <c r="X582" s="42" t="str">
        <f>G582</f>
        <v>10</v>
      </c>
      <c r="Y582" s="22" t="str">
        <f>_xlfn.XLOOKUP(W582,'[1]Career Bands &amp; Levels'!A:A,'[1]Career Bands &amp; Levels'!C:C,"No Grade Differentiator")</f>
        <v xml:space="preserve">●	Accountable for the results of medium-sized routine support or production operations teams		
●	Solves problems based on practice and precedent		
●	Trains team members and provides input to employee performance evaluations		</v>
      </c>
      <c r="Z582" s="43" t="str">
        <f>IFERROR(O582&amp;" - "&amp;G582,"--")</f>
        <v>Supervisor Materials Planning/Management - 10</v>
      </c>
      <c r="AA582" s="44" t="str">
        <f>_xlfn.XLOOKUP($H582,'[1]SIG Qualifications Input'!$D:$D,'[1]SIG Qualifications Input'!$H:$H)</f>
        <v>University degree or equivalent and 5-7 years of work experience or equivalent
Experienced in application of management techniques
Experience in operationally managing a mixed-level team</v>
      </c>
    </row>
    <row r="583" spans="1:27" ht="169" thickBot="1" x14ac:dyDescent="0.2">
      <c r="A583" s="34" t="str">
        <f>_xlfn.XLOOKUP(C583,'[1]SIG Job Families &amp; Descriptions'!F:F,'[1]SIG Job Families &amp; Descriptions'!B:B)</f>
        <v>Supply Chain &amp; Logistics</v>
      </c>
      <c r="B583" s="34" t="str">
        <f>_xlfn.XLOOKUP(C583,'[1]SIG Job Families &amp; Descriptions'!F:F,'[1]SIG Job Families &amp; Descriptions'!D:D)</f>
        <v>Materials Planning/Management</v>
      </c>
      <c r="C583" s="34" t="s">
        <v>122</v>
      </c>
      <c r="D583" s="30" t="str">
        <f t="shared" si="18"/>
        <v>ASC</v>
      </c>
      <c r="E583" s="31" t="str">
        <f>_xlfn.XLOOKUP(C583,'[1]SIG Job Families &amp; Descriptions'!F:F,'[1]SIG Job Families &amp; Descriptions'!A:A)</f>
        <v>ASC015</v>
      </c>
      <c r="F583" s="32" t="s">
        <v>32</v>
      </c>
      <c r="G583" s="33" t="s">
        <v>34</v>
      </c>
      <c r="H583" s="34" t="str">
        <f>F583&amp;"-"&amp;G583</f>
        <v>Professional-12</v>
      </c>
      <c r="I583" s="35" t="str">
        <f>IF(ISERROR(_xlfn.XLOOKUP(H583,'[1]SIG Level Structure'!D:D,'[1]SIG Level Structure'!D:D)),"0","1")</f>
        <v>1</v>
      </c>
      <c r="J583" s="36" t="str">
        <f>_xlfn.XLOOKUP($H583,'[1]SIG Level Structure'!$D:$D,'[1]SIG Level Structure'!F:F)</f>
        <v>P3</v>
      </c>
      <c r="K583" s="37" t="str">
        <f>E583&amp;"-"&amp;J583&amp;"-"&amp;G583</f>
        <v>ASC015-P3-12</v>
      </c>
      <c r="L583" s="37" t="str">
        <f>IFERROR(D583&amp;"-"&amp;LEFT(J583,1),"--")</f>
        <v>ASC-P</v>
      </c>
      <c r="M583" s="37" t="str">
        <f>VLOOKUP(L583,'[1]Compatible JC'!$A:$A,1,FALSE)</f>
        <v>ASC-P</v>
      </c>
      <c r="N583" s="37" t="str">
        <f>IFERROR(_xlfn.XLOOKUP(H583,'[1]SIG Level Structure'!D:D,'[1]SIG Level Structure'!C:C),"--")</f>
        <v>Expert</v>
      </c>
      <c r="O583" s="38" t="str">
        <f>IFERROR(TRIM(N583&amp;" "&amp;C583),"--")</f>
        <v>Expert Materials Planning/Management</v>
      </c>
      <c r="P583" s="22" t="str">
        <f>_xlfn.XLOOKUP(E583,'[1]SIG Job Families &amp; Descriptions'!A:A,'[1]SIG Job Families &amp; Descriptions'!G:G)</f>
        <v>Determines material requirements and plans, schedules and coordinates the efficient movement of materials from suppliers as well as product and material movement through production. Prepares and maintains volume and demand planning analyses/ supply and production schedules based on internal and external information to establish and effectively manage an order backlog.</v>
      </c>
      <c r="Q583" s="39" t="str">
        <f>_xlfn.XLOOKUP(E583,'[1]2022 GI Position Descriptions'!E:E,'[1]2022 GI Position Descriptions'!G:G)</f>
        <v>Plans, schedules and monitors inbound movement of materials from suppliers | Determines material requirements and coordinates the efficient movement of materials with purchasing, production and engineering | Develops specifications for new contract orders</v>
      </c>
      <c r="R583" s="22" t="str">
        <f>IF(LEFT(J583,1)="E","EX",LEFT(J583,1))</f>
        <v>P</v>
      </c>
      <c r="S583" s="22" t="str">
        <f>_xlfn.XLOOKUP($R583,'[1]Career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83" s="22" t="str">
        <f>J583</f>
        <v>P3</v>
      </c>
      <c r="U583" s="40" t="str">
        <f t="shared" si="19"/>
        <v>P3</v>
      </c>
      <c r="V583" s="22" t="str">
        <f>_xlfn.XLOOKUP(T583,'[1]Career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583" s="41" t="str">
        <f>J583&amp;"-"&amp;G583</f>
        <v>P3-12</v>
      </c>
      <c r="X583" s="42" t="str">
        <f>G583</f>
        <v>12</v>
      </c>
      <c r="Y583" s="22" t="str">
        <f>_xlfn.XLOOKUP(W583,'[1]Career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583" s="43" t="str">
        <f>IFERROR(O583&amp;" - "&amp;G583,"--")</f>
        <v>Expert Materials Planning/Management - 12</v>
      </c>
      <c r="AA583" s="44" t="str">
        <f>_xlfn.XLOOKUP($H583,'[1]SIG Qualifications Input'!$D:$D,'[1]SIG Qualifications Input'!$H:$H)</f>
        <v>University degree or equivalent and 4-8 years of work experience or equivalent, 
Initial experience in functionally leading (sub-) projects</v>
      </c>
    </row>
    <row r="584" spans="1:27" ht="169" thickBot="1" x14ac:dyDescent="0.2">
      <c r="A584" s="34" t="str">
        <f>_xlfn.XLOOKUP(C584,'[1]SIG Job Families &amp; Descriptions'!F:F,'[1]SIG Job Families &amp; Descriptions'!B:B)</f>
        <v>Supply Chain &amp; Logistics</v>
      </c>
      <c r="B584" s="34" t="str">
        <f>_xlfn.XLOOKUP(C584,'[1]SIG Job Families &amp; Descriptions'!F:F,'[1]SIG Job Families &amp; Descriptions'!D:D)</f>
        <v>Materials Planning/Management</v>
      </c>
      <c r="C584" s="34" t="s">
        <v>122</v>
      </c>
      <c r="D584" s="30" t="str">
        <f t="shared" si="18"/>
        <v>ASC</v>
      </c>
      <c r="E584" s="31" t="str">
        <f>_xlfn.XLOOKUP(C584,'[1]SIG Job Families &amp; Descriptions'!F:F,'[1]SIG Job Families &amp; Descriptions'!A:A)</f>
        <v>ASC015</v>
      </c>
      <c r="F584" s="32" t="s">
        <v>32</v>
      </c>
      <c r="G584" s="33" t="s">
        <v>35</v>
      </c>
      <c r="H584" s="34" t="str">
        <f>F584&amp;"-"&amp;G584</f>
        <v>Professional-11</v>
      </c>
      <c r="I584" s="35" t="str">
        <f>IF(ISERROR(_xlfn.XLOOKUP(H584,'[1]SIG Level Structure'!D:D,'[1]SIG Level Structure'!D:D)),"0","1")</f>
        <v>1</v>
      </c>
      <c r="J584" s="36" t="str">
        <f>_xlfn.XLOOKUP($H584,'[1]SIG Level Structure'!$D:$D,'[1]SIG Level Structure'!F:F)</f>
        <v>P3</v>
      </c>
      <c r="K584" s="37" t="str">
        <f>E584&amp;"-"&amp;J584&amp;"-"&amp;G584</f>
        <v>ASC015-P3-11</v>
      </c>
      <c r="L584" s="37" t="str">
        <f>IFERROR(D584&amp;"-"&amp;LEFT(J584,1),"--")</f>
        <v>ASC-P</v>
      </c>
      <c r="M584" s="37" t="str">
        <f>VLOOKUP(L584,'[1]Compatible JC'!$A:$A,1,FALSE)</f>
        <v>ASC-P</v>
      </c>
      <c r="N584" s="37" t="str">
        <f>IFERROR(_xlfn.XLOOKUP(H584,'[1]SIG Level Structure'!D:D,'[1]SIG Level Structure'!C:C),"--")</f>
        <v>Expert</v>
      </c>
      <c r="O584" s="38" t="str">
        <f>IFERROR(TRIM(N584&amp;" "&amp;C584),"--")</f>
        <v>Expert Materials Planning/Management</v>
      </c>
      <c r="P584" s="22" t="str">
        <f>_xlfn.XLOOKUP(E584,'[1]SIG Job Families &amp; Descriptions'!A:A,'[1]SIG Job Families &amp; Descriptions'!G:G)</f>
        <v>Determines material requirements and plans, schedules and coordinates the efficient movement of materials from suppliers as well as product and material movement through production. Prepares and maintains volume and demand planning analyses/ supply and production schedules based on internal and external information to establish and effectively manage an order backlog.</v>
      </c>
      <c r="Q584" s="39" t="str">
        <f>_xlfn.XLOOKUP(E584,'[1]2022 GI Position Descriptions'!E:E,'[1]2022 GI Position Descriptions'!G:G)</f>
        <v>Plans, schedules and monitors inbound movement of materials from suppliers | Determines material requirements and coordinates the efficient movement of materials with purchasing, production and engineering | Develops specifications for new contract orders</v>
      </c>
      <c r="R584" s="22" t="str">
        <f>IF(LEFT(J584,1)="E","EX",LEFT(J584,1))</f>
        <v>P</v>
      </c>
      <c r="S584" s="22" t="str">
        <f>_xlfn.XLOOKUP($R584,'[1]Career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84" s="22" t="str">
        <f>J584</f>
        <v>P3</v>
      </c>
      <c r="U584" s="40" t="str">
        <f t="shared" si="19"/>
        <v>P3</v>
      </c>
      <c r="V584" s="22" t="str">
        <f>_xlfn.XLOOKUP(T584,'[1]Career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584" s="41" t="str">
        <f>J584&amp;"-"&amp;G584</f>
        <v>P3-11</v>
      </c>
      <c r="X584" s="42" t="str">
        <f>G584</f>
        <v>11</v>
      </c>
      <c r="Y584" s="22" t="str">
        <f>_xlfn.XLOOKUP(W584,'[1]Career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584" s="43" t="str">
        <f>IFERROR(O584&amp;" - "&amp;G584,"--")</f>
        <v>Expert Materials Planning/Management - 11</v>
      </c>
      <c r="AA584" s="44" t="str">
        <f>_xlfn.XLOOKUP($H584,'[1]SIG Qualifications Input'!$D:$D,'[1]SIG Qualifications Input'!$H:$H)</f>
        <v>University degree or equivalent and 4-8 years of work experience or equivalent, 
Initial experience in functionally leading (sub-) projects</v>
      </c>
    </row>
    <row r="585" spans="1:27" ht="169" thickBot="1" x14ac:dyDescent="0.2">
      <c r="A585" s="34" t="str">
        <f>_xlfn.XLOOKUP(C585,'[1]SIG Job Families &amp; Descriptions'!F:F,'[1]SIG Job Families &amp; Descriptions'!B:B)</f>
        <v>Supply Chain &amp; Logistics</v>
      </c>
      <c r="B585" s="34" t="str">
        <f>_xlfn.XLOOKUP(C585,'[1]SIG Job Families &amp; Descriptions'!F:F,'[1]SIG Job Families &amp; Descriptions'!D:D)</f>
        <v>Materials Planning/Management</v>
      </c>
      <c r="C585" s="34" t="s">
        <v>122</v>
      </c>
      <c r="D585" s="30" t="str">
        <f t="shared" si="18"/>
        <v>ASC</v>
      </c>
      <c r="E585" s="31" t="str">
        <f>_xlfn.XLOOKUP(C585,'[1]SIG Job Families &amp; Descriptions'!F:F,'[1]SIG Job Families &amp; Descriptions'!A:A)</f>
        <v>ASC015</v>
      </c>
      <c r="F585" s="32" t="s">
        <v>32</v>
      </c>
      <c r="G585" s="33" t="s">
        <v>36</v>
      </c>
      <c r="H585" s="34" t="str">
        <f>F585&amp;"-"&amp;G585</f>
        <v>Professional-10</v>
      </c>
      <c r="I585" s="35" t="str">
        <f>IF(ISERROR(_xlfn.XLOOKUP(H585,'[1]SIG Level Structure'!D:D,'[1]SIG Level Structure'!D:D)),"0","1")</f>
        <v>1</v>
      </c>
      <c r="J585" s="36" t="str">
        <f>_xlfn.XLOOKUP($H585,'[1]SIG Level Structure'!$D:$D,'[1]SIG Level Structure'!F:F)</f>
        <v>P2</v>
      </c>
      <c r="K585" s="37" t="str">
        <f>E585&amp;"-"&amp;J585&amp;"-"&amp;G585</f>
        <v>ASC015-P2-10</v>
      </c>
      <c r="L585" s="37" t="str">
        <f>IFERROR(D585&amp;"-"&amp;LEFT(J585,1),"--")</f>
        <v>ASC-P</v>
      </c>
      <c r="M585" s="37" t="str">
        <f>VLOOKUP(L585,'[1]Compatible JC'!$A:$A,1,FALSE)</f>
        <v>ASC-P</v>
      </c>
      <c r="N585" s="37" t="str">
        <f>IFERROR(_xlfn.XLOOKUP(H585,'[1]SIG Level Structure'!D:D,'[1]SIG Level Structure'!C:C),"--")</f>
        <v>Senior Specialist</v>
      </c>
      <c r="O585" s="38" t="str">
        <f>IFERROR(TRIM(N585&amp;" "&amp;C585),"--")</f>
        <v>Senior Specialist Materials Planning/Management</v>
      </c>
      <c r="P585" s="22" t="str">
        <f>_xlfn.XLOOKUP(E585,'[1]SIG Job Families &amp; Descriptions'!A:A,'[1]SIG Job Families &amp; Descriptions'!G:G)</f>
        <v>Determines material requirements and plans, schedules and coordinates the efficient movement of materials from suppliers as well as product and material movement through production. Prepares and maintains volume and demand planning analyses/ supply and production schedules based on internal and external information to establish and effectively manage an order backlog.</v>
      </c>
      <c r="Q585" s="39" t="str">
        <f>_xlfn.XLOOKUP(E585,'[1]2022 GI Position Descriptions'!E:E,'[1]2022 GI Position Descriptions'!G:G)</f>
        <v>Plans, schedules and monitors inbound movement of materials from suppliers | Determines material requirements and coordinates the efficient movement of materials with purchasing, production and engineering | Develops specifications for new contract orders</v>
      </c>
      <c r="R585" s="22" t="str">
        <f>IF(LEFT(J585,1)="E","EX",LEFT(J585,1))</f>
        <v>P</v>
      </c>
      <c r="S585" s="22" t="str">
        <f>_xlfn.XLOOKUP($R585,'[1]Career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85" s="22" t="str">
        <f>J585</f>
        <v>P2</v>
      </c>
      <c r="U585" s="40" t="str">
        <f t="shared" si="19"/>
        <v>P2</v>
      </c>
      <c r="V585" s="22" t="str">
        <f>_xlfn.XLOOKUP(T585,'[1]Career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585" s="41" t="str">
        <f>J585&amp;"-"&amp;G585</f>
        <v>P2-10</v>
      </c>
      <c r="X585" s="42" t="str">
        <f>G585</f>
        <v>10</v>
      </c>
      <c r="Y585" s="22" t="str">
        <f>_xlfn.XLOOKUP(W585,'[1]Career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585" s="43" t="str">
        <f>IFERROR(O585&amp;" - "&amp;G585,"--")</f>
        <v>Senior Specialist Materials Planning/Management - 10</v>
      </c>
      <c r="AA585" s="44" t="str">
        <f>_xlfn.XLOOKUP($H585,'[1]SIG Qualifications Input'!$D:$D,'[1]SIG Qualifications Input'!$H:$H)</f>
        <v>University degree or equivalent and 2-4 years of work experience or equivalent</v>
      </c>
    </row>
    <row r="586" spans="1:27" ht="169" thickBot="1" x14ac:dyDescent="0.2">
      <c r="A586" s="34" t="str">
        <f>_xlfn.XLOOKUP(C586,'[1]SIG Job Families &amp; Descriptions'!F:F,'[1]SIG Job Families &amp; Descriptions'!B:B)</f>
        <v>Supply Chain &amp; Logistics</v>
      </c>
      <c r="B586" s="34" t="str">
        <f>_xlfn.XLOOKUP(C586,'[1]SIG Job Families &amp; Descriptions'!F:F,'[1]SIG Job Families &amp; Descriptions'!D:D)</f>
        <v>Materials Planning/Management</v>
      </c>
      <c r="C586" s="34" t="s">
        <v>122</v>
      </c>
      <c r="D586" s="30" t="str">
        <f t="shared" si="18"/>
        <v>ASC</v>
      </c>
      <c r="E586" s="31" t="str">
        <f>_xlfn.XLOOKUP(C586,'[1]SIG Job Families &amp; Descriptions'!F:F,'[1]SIG Job Families &amp; Descriptions'!A:A)</f>
        <v>ASC015</v>
      </c>
      <c r="F586" s="32" t="s">
        <v>32</v>
      </c>
      <c r="G586" s="33" t="s">
        <v>37</v>
      </c>
      <c r="H586" s="34" t="str">
        <f>F586&amp;"-"&amp;G586</f>
        <v>Professional-09</v>
      </c>
      <c r="I586" s="35" t="str">
        <f>IF(ISERROR(_xlfn.XLOOKUP(H586,'[1]SIG Level Structure'!D:D,'[1]SIG Level Structure'!D:D)),"0","1")</f>
        <v>1</v>
      </c>
      <c r="J586" s="36" t="str">
        <f>_xlfn.XLOOKUP($H586,'[1]SIG Level Structure'!$D:$D,'[1]SIG Level Structure'!F:F)</f>
        <v>P2</v>
      </c>
      <c r="K586" s="37" t="str">
        <f>E586&amp;"-"&amp;J586&amp;"-"&amp;G586</f>
        <v>ASC015-P2-09</v>
      </c>
      <c r="L586" s="37" t="str">
        <f>IFERROR(D586&amp;"-"&amp;LEFT(J586,1),"--")</f>
        <v>ASC-P</v>
      </c>
      <c r="M586" s="37" t="str">
        <f>VLOOKUP(L586,'[1]Compatible JC'!$A:$A,1,FALSE)</f>
        <v>ASC-P</v>
      </c>
      <c r="N586" s="37" t="str">
        <f>IFERROR(_xlfn.XLOOKUP(H586,'[1]SIG Level Structure'!D:D,'[1]SIG Level Structure'!C:C),"--")</f>
        <v>Senior Specialist</v>
      </c>
      <c r="O586" s="38" t="str">
        <f>IFERROR(TRIM(N586&amp;" "&amp;C586),"--")</f>
        <v>Senior Specialist Materials Planning/Management</v>
      </c>
      <c r="P586" s="22" t="str">
        <f>_xlfn.XLOOKUP(E586,'[1]SIG Job Families &amp; Descriptions'!A:A,'[1]SIG Job Families &amp; Descriptions'!G:G)</f>
        <v>Determines material requirements and plans, schedules and coordinates the efficient movement of materials from suppliers as well as product and material movement through production. Prepares and maintains volume and demand planning analyses/ supply and production schedules based on internal and external information to establish and effectively manage an order backlog.</v>
      </c>
      <c r="Q586" s="39" t="str">
        <f>_xlfn.XLOOKUP(E586,'[1]2022 GI Position Descriptions'!E:E,'[1]2022 GI Position Descriptions'!G:G)</f>
        <v>Plans, schedules and monitors inbound movement of materials from suppliers | Determines material requirements and coordinates the efficient movement of materials with purchasing, production and engineering | Develops specifications for new contract orders</v>
      </c>
      <c r="R586" s="22" t="str">
        <f>IF(LEFT(J586,1)="E","EX",LEFT(J586,1))</f>
        <v>P</v>
      </c>
      <c r="S586" s="22" t="str">
        <f>_xlfn.XLOOKUP($R586,'[1]Career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86" s="22" t="str">
        <f>J586</f>
        <v>P2</v>
      </c>
      <c r="U586" s="40" t="str">
        <f t="shared" si="19"/>
        <v>P2</v>
      </c>
      <c r="V586" s="22" t="str">
        <f>_xlfn.XLOOKUP(T586,'[1]Career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586" s="41" t="str">
        <f>J586&amp;"-"&amp;G586</f>
        <v>P2-09</v>
      </c>
      <c r="X586" s="42" t="str">
        <f>G586</f>
        <v>09</v>
      </c>
      <c r="Y586" s="22" t="str">
        <f>_xlfn.XLOOKUP(W586,'[1]Career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586" s="43" t="str">
        <f>IFERROR(O586&amp;" - "&amp;G586,"--")</f>
        <v>Senior Specialist Materials Planning/Management - 09</v>
      </c>
      <c r="AA586" s="44" t="str">
        <f>_xlfn.XLOOKUP($H586,'[1]SIG Qualifications Input'!$D:$D,'[1]SIG Qualifications Input'!$H:$H)</f>
        <v>University degree or equivalent and 2-4 years of work experience or equivalent</v>
      </c>
    </row>
    <row r="587" spans="1:27" ht="169" thickBot="1" x14ac:dyDescent="0.2">
      <c r="A587" s="34" t="str">
        <f>_xlfn.XLOOKUP(C587,'[1]SIG Job Families &amp; Descriptions'!F:F,'[1]SIG Job Families &amp; Descriptions'!B:B)</f>
        <v>Supply Chain &amp; Logistics</v>
      </c>
      <c r="B587" s="34" t="str">
        <f>_xlfn.XLOOKUP(C587,'[1]SIG Job Families &amp; Descriptions'!F:F,'[1]SIG Job Families &amp; Descriptions'!D:D)</f>
        <v>Materials Planning/Management</v>
      </c>
      <c r="C587" s="34" t="s">
        <v>122</v>
      </c>
      <c r="D587" s="30" t="str">
        <f t="shared" si="18"/>
        <v>ASC</v>
      </c>
      <c r="E587" s="31" t="str">
        <f>_xlfn.XLOOKUP(C587,'[1]SIG Job Families &amp; Descriptions'!F:F,'[1]SIG Job Families &amp; Descriptions'!A:A)</f>
        <v>ASC015</v>
      </c>
      <c r="F587" s="32" t="s">
        <v>32</v>
      </c>
      <c r="G587" s="33" t="s">
        <v>43</v>
      </c>
      <c r="H587" s="34" t="str">
        <f>F587&amp;"-"&amp;G587</f>
        <v>Professional-08</v>
      </c>
      <c r="I587" s="35" t="str">
        <f>IF(ISERROR(_xlfn.XLOOKUP(H587,'[1]SIG Level Structure'!D:D,'[1]SIG Level Structure'!D:D)),"0","1")</f>
        <v>1</v>
      </c>
      <c r="J587" s="36" t="str">
        <f>_xlfn.XLOOKUP($H587,'[1]SIG Level Structure'!$D:$D,'[1]SIG Level Structure'!F:F)</f>
        <v>P1</v>
      </c>
      <c r="K587" s="37" t="str">
        <f>E587&amp;"-"&amp;J587&amp;"-"&amp;G587</f>
        <v>ASC015-P1-08</v>
      </c>
      <c r="L587" s="37" t="str">
        <f>IFERROR(D587&amp;"-"&amp;LEFT(J587,1),"--")</f>
        <v>ASC-P</v>
      </c>
      <c r="M587" s="37" t="str">
        <f>VLOOKUP(L587,'[1]Compatible JC'!$A:$A,1,FALSE)</f>
        <v>ASC-P</v>
      </c>
      <c r="N587" s="37" t="str">
        <f>IFERROR(_xlfn.XLOOKUP(H587,'[1]SIG Level Structure'!D:D,'[1]SIG Level Structure'!C:C),"--")</f>
        <v>Specialist</v>
      </c>
      <c r="O587" s="38" t="str">
        <f>IFERROR(TRIM(N587&amp;" "&amp;C587),"--")</f>
        <v>Specialist Materials Planning/Management</v>
      </c>
      <c r="P587" s="22" t="str">
        <f>_xlfn.XLOOKUP(E587,'[1]SIG Job Families &amp; Descriptions'!A:A,'[1]SIG Job Families &amp; Descriptions'!G:G)</f>
        <v>Determines material requirements and plans, schedules and coordinates the efficient movement of materials from suppliers as well as product and material movement through production. Prepares and maintains volume and demand planning analyses/ supply and production schedules based on internal and external information to establish and effectively manage an order backlog.</v>
      </c>
      <c r="Q587" s="39" t="str">
        <f>_xlfn.XLOOKUP(E587,'[1]2022 GI Position Descriptions'!E:E,'[1]2022 GI Position Descriptions'!G:G)</f>
        <v>Plans, schedules and monitors inbound movement of materials from suppliers | Determines material requirements and coordinates the efficient movement of materials with purchasing, production and engineering | Develops specifications for new contract orders</v>
      </c>
      <c r="R587" s="22" t="str">
        <f>IF(LEFT(J587,1)="E","EX",LEFT(J587,1))</f>
        <v>P</v>
      </c>
      <c r="S587" s="22" t="str">
        <f>_xlfn.XLOOKUP($R587,'[1]Career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87" s="22" t="str">
        <f>J587</f>
        <v>P1</v>
      </c>
      <c r="U587" s="40" t="str">
        <f t="shared" si="19"/>
        <v>P1</v>
      </c>
      <c r="V587" s="22" t="str">
        <f>_xlfn.XLOOKUP(T587,'[1]Career Bands &amp; Levels'!A:A,'[1]Career Bands &amp; Levels'!C:C)</f>
        <v xml:space="preserve">●	Performs routine assignments in the entry level of the Professional Career Band		
●	Typically requires a college or university degree or the equivalent work experience and has conceptual knowledge of fundamental theories, principles and practices 		
●	Has no discretion to vary from established procedures by performing structured work assignments		
●	Uses existing procedures to solve routine or standard problems		
●	Receives instruction, guidance and direction from more senior level roles		</v>
      </c>
      <c r="W587" s="41" t="str">
        <f>J587&amp;"-"&amp;G587</f>
        <v>P1-08</v>
      </c>
      <c r="X587" s="42" t="str">
        <f>G587</f>
        <v>08</v>
      </c>
      <c r="Y587" s="22" t="str">
        <f>_xlfn.XLOOKUP(W587,'[1]Career Bands &amp; Levels'!A:A,'[1]Career Bands &amp; Levels'!C:C,"No Grade Differentiator")</f>
        <v>No Grade Differentiator</v>
      </c>
      <c r="Z587" s="43" t="str">
        <f>IFERROR(O587&amp;" - "&amp;G587,"--")</f>
        <v>Specialist Materials Planning/Management - 08</v>
      </c>
      <c r="AA587" s="44" t="str">
        <f>_xlfn.XLOOKUP($H587,'[1]SIG Qualifications Input'!$D:$D,'[1]SIG Qualifications Input'!$H:$H)</f>
        <v>University degree or equivalent and 0-1 year of work experience or equivalent</v>
      </c>
    </row>
    <row r="588" spans="1:27" ht="385" thickBot="1" x14ac:dyDescent="0.2">
      <c r="A588" s="34" t="str">
        <f>_xlfn.XLOOKUP(C588,'[1]SIG Job Families &amp; Descriptions'!F:F,'[1]SIG Job Families &amp; Descriptions'!B:B)</f>
        <v>Supply Chain &amp; Logistics</v>
      </c>
      <c r="B588" s="34" t="str">
        <f>_xlfn.XLOOKUP(C588,'[1]SIG Job Families &amp; Descriptions'!F:F,'[1]SIG Job Families &amp; Descriptions'!D:D)</f>
        <v xml:space="preserve">Warehouse/Fulfillment </v>
      </c>
      <c r="C588" s="34" t="s">
        <v>123</v>
      </c>
      <c r="D588" s="30" t="str">
        <f t="shared" si="18"/>
        <v>ASC</v>
      </c>
      <c r="E588" s="31" t="str">
        <f>_xlfn.XLOOKUP(C588,'[1]SIG Job Families &amp; Descriptions'!F:F,'[1]SIG Job Families &amp; Descriptions'!A:A)</f>
        <v>ASC040</v>
      </c>
      <c r="F588" s="32" t="s">
        <v>29</v>
      </c>
      <c r="G588" s="33" t="s">
        <v>35</v>
      </c>
      <c r="H588" s="34" t="str">
        <f>F588&amp;"-"&amp;G588</f>
        <v>Management-11</v>
      </c>
      <c r="I588" s="35" t="str">
        <f>IF(ISERROR(_xlfn.XLOOKUP(H588,'[1]SIG Level Structure'!D:D,'[1]SIG Level Structure'!D:D)),"0","1")</f>
        <v>1</v>
      </c>
      <c r="J588" s="36" t="str">
        <f>_xlfn.XLOOKUP($H588,'[1]SIG Level Structure'!$D:$D,'[1]SIG Level Structure'!F:F)</f>
        <v>M1</v>
      </c>
      <c r="K588" s="37" t="str">
        <f>E588&amp;"-"&amp;J588&amp;"-"&amp;G588</f>
        <v>ASC040-M1-11</v>
      </c>
      <c r="L588" s="37" t="str">
        <f>IFERROR(D588&amp;"-"&amp;LEFT(J588,1),"--")</f>
        <v>ASC-M</v>
      </c>
      <c r="M588" s="37" t="str">
        <f>VLOOKUP(L588,'[1]Compatible JC'!$A:$A,1,FALSE)</f>
        <v>ASC-M</v>
      </c>
      <c r="N588" s="37" t="str">
        <f>IFERROR(_xlfn.XLOOKUP(H588,'[1]SIG Level Structure'!D:D,'[1]SIG Level Structure'!C:C),"--")</f>
        <v>Supervisor</v>
      </c>
      <c r="O588" s="38" t="str">
        <f>IFERROR(TRIM(N588&amp;" "&amp;C588),"--")</f>
        <v>Supervisor Warehouse/Fulfillment</v>
      </c>
      <c r="P588" s="22" t="str">
        <f>_xlfn.XLOOKUP(E588,'[1]SIG Job Families &amp; Descriptions'!A:A,'[1]SIG Job Families &amp; Descriptions'!G:G)</f>
        <v xml:space="preserve">Warehouse: Administers and operates the organization's warehouses, including processing, packaging and storage of supplies, materials and equipment. Accounts for all materials and supplies in the stores facilities; audits goods received into warehouse. Oversees receipt, storage and shipment of materials, and related reporting in accordance with established procedures. Prepares and coordinates schedules for shipping and receiving materials to control the flow of goods and regulate warehouse space
Fulfillment: Fulfills orders, including order entry, administration and shipping. Processes orders and oversees related activities of third-party vendors to ensure orders flow effectively through systems and processes in accordance with the organization's customer service standards. Develops capacity plans to support build-to-stock and/or build-to-order environments. Ensures adequate inventory levels are maintained to maximize customer satisfaction and minimize cost. Prepares and maintains volume and demand planning analyses and supply and production schedules based on internal and external information to establish and effectively manage an order backlog
</v>
      </c>
      <c r="Q588" s="39" t="str">
        <f>_xlfn.XLOOKUP(E588,'[1]2022 GI Position Descriptions'!E:E,'[1]2022 GI Position Descriptions'!G:G)</f>
        <v>Administers and operates the organization's warehouses, including processing, packaging and storage of supplies, materials and equipment | Accounts for all materials and supplies in the stores facilities; audits goods received into warehouse | Oversees receipt, storage and shipment of materials, and related reporting in accordance with established procedures | Prepares and coordinates schedules for shipping and receiving materials to control the flow of goods and regulate warehouse space | Ensures the effectiveness of operating procedures, space utilization, and maintenance and protection of facilities and equipment</v>
      </c>
      <c r="R588" s="22" t="str">
        <f>IF(LEFT(J588,1)="E","EX",LEFT(J588,1))</f>
        <v>M</v>
      </c>
      <c r="S588" s="22" t="str">
        <f>_xlfn.XLOOKUP($R588,'[1]Career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588" s="22" t="str">
        <f>J588</f>
        <v>M1</v>
      </c>
      <c r="U588" s="40" t="str">
        <f t="shared" si="19"/>
        <v>M1</v>
      </c>
      <c r="V588" s="22" t="str">
        <f>_xlfn.XLOOKUP(T588,'[1]Career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588" s="41" t="str">
        <f>J588&amp;"-"&amp;G588</f>
        <v>M1-11</v>
      </c>
      <c r="X588" s="42" t="str">
        <f>G588</f>
        <v>11</v>
      </c>
      <c r="Y588" s="22" t="str">
        <f>_xlfn.XLOOKUP(W588,'[1]Career Bands &amp; Levels'!A:A,'[1]Career Bands &amp; Levels'!C:C,"No Grade Differentiator")</f>
        <v xml:space="preserve">●	Accountable for the results of a large and/or moderately complex support or production operations team including subordinate work leaders		
●	Applies acquired expertise to analyze and solve problems without clear precedent		
●	Provides input on resource planning and policy development		
●	Coaches team members on performance, completes employee performance evaluations and recommends pay actions		</v>
      </c>
      <c r="Z588" s="43" t="str">
        <f>IFERROR(O588&amp;" - "&amp;G588,"--")</f>
        <v>Supervisor Warehouse/Fulfillment - 11</v>
      </c>
      <c r="AA588" s="44" t="str">
        <f>_xlfn.XLOOKUP($H588,'[1]SIG Qualifications Input'!$D:$D,'[1]SIG Qualifications Input'!$H:$H)</f>
        <v>University degree or equivalent and 5-7 years of work experience or equivalent
Experienced in application of management techniques
Experience in operationally managing a mixed-level team</v>
      </c>
    </row>
    <row r="589" spans="1:27" ht="385" thickBot="1" x14ac:dyDescent="0.2">
      <c r="A589" s="34" t="str">
        <f>_xlfn.XLOOKUP(C589,'[1]SIG Job Families &amp; Descriptions'!F:F,'[1]SIG Job Families &amp; Descriptions'!B:B)</f>
        <v>Supply Chain &amp; Logistics</v>
      </c>
      <c r="B589" s="34" t="str">
        <f>_xlfn.XLOOKUP(C589,'[1]SIG Job Families &amp; Descriptions'!F:F,'[1]SIG Job Families &amp; Descriptions'!D:D)</f>
        <v xml:space="preserve">Warehouse/Fulfillment </v>
      </c>
      <c r="C589" s="34" t="s">
        <v>123</v>
      </c>
      <c r="D589" s="30" t="str">
        <f t="shared" si="18"/>
        <v>ASC</v>
      </c>
      <c r="E589" s="31" t="str">
        <f>_xlfn.XLOOKUP(C589,'[1]SIG Job Families &amp; Descriptions'!F:F,'[1]SIG Job Families &amp; Descriptions'!A:A)</f>
        <v>ASC040</v>
      </c>
      <c r="F589" s="32" t="s">
        <v>29</v>
      </c>
      <c r="G589" s="33" t="s">
        <v>36</v>
      </c>
      <c r="H589" s="34" t="str">
        <f>F589&amp;"-"&amp;G589</f>
        <v>Management-10</v>
      </c>
      <c r="I589" s="35" t="str">
        <f>IF(ISERROR(_xlfn.XLOOKUP(H589,'[1]SIG Level Structure'!D:D,'[1]SIG Level Structure'!D:D)),"0","1")</f>
        <v>1</v>
      </c>
      <c r="J589" s="36" t="str">
        <f>_xlfn.XLOOKUP($H589,'[1]SIG Level Structure'!$D:$D,'[1]SIG Level Structure'!F:F)</f>
        <v>M1</v>
      </c>
      <c r="K589" s="37" t="str">
        <f>E589&amp;"-"&amp;J589&amp;"-"&amp;G589</f>
        <v>ASC040-M1-10</v>
      </c>
      <c r="L589" s="37" t="str">
        <f>IFERROR(D589&amp;"-"&amp;LEFT(J589,1),"--")</f>
        <v>ASC-M</v>
      </c>
      <c r="M589" s="37" t="str">
        <f>VLOOKUP(L589,'[1]Compatible JC'!$A:$A,1,FALSE)</f>
        <v>ASC-M</v>
      </c>
      <c r="N589" s="37" t="str">
        <f>IFERROR(_xlfn.XLOOKUP(H589,'[1]SIG Level Structure'!D:D,'[1]SIG Level Structure'!C:C),"--")</f>
        <v>Supervisor</v>
      </c>
      <c r="O589" s="38" t="str">
        <f>IFERROR(TRIM(N589&amp;" "&amp;C589),"--")</f>
        <v>Supervisor Warehouse/Fulfillment</v>
      </c>
      <c r="P589" s="22" t="str">
        <f>_xlfn.XLOOKUP(E589,'[1]SIG Job Families &amp; Descriptions'!A:A,'[1]SIG Job Families &amp; Descriptions'!G:G)</f>
        <v xml:space="preserve">Warehouse: Administers and operates the organization's warehouses, including processing, packaging and storage of supplies, materials and equipment. Accounts for all materials and supplies in the stores facilities; audits goods received into warehouse. Oversees receipt, storage and shipment of materials, and related reporting in accordance with established procedures. Prepares and coordinates schedules for shipping and receiving materials to control the flow of goods and regulate warehouse space
Fulfillment: Fulfills orders, including order entry, administration and shipping. Processes orders and oversees related activities of third-party vendors to ensure orders flow effectively through systems and processes in accordance with the organization's customer service standards. Develops capacity plans to support build-to-stock and/or build-to-order environments. Ensures adequate inventory levels are maintained to maximize customer satisfaction and minimize cost. Prepares and maintains volume and demand planning analyses and supply and production schedules based on internal and external information to establish and effectively manage an order backlog
</v>
      </c>
      <c r="Q589" s="39" t="str">
        <f>_xlfn.XLOOKUP(E589,'[1]2022 GI Position Descriptions'!E:E,'[1]2022 GI Position Descriptions'!G:G)</f>
        <v>Administers and operates the organization's warehouses, including processing, packaging and storage of supplies, materials and equipment | Accounts for all materials and supplies in the stores facilities; audits goods received into warehouse | Oversees receipt, storage and shipment of materials, and related reporting in accordance with established procedures | Prepares and coordinates schedules for shipping and receiving materials to control the flow of goods and regulate warehouse space | Ensures the effectiveness of operating procedures, space utilization, and maintenance and protection of facilities and equipment</v>
      </c>
      <c r="R589" s="22" t="str">
        <f>IF(LEFT(J589,1)="E","EX",LEFT(J589,1))</f>
        <v>M</v>
      </c>
      <c r="S589" s="22" t="str">
        <f>_xlfn.XLOOKUP($R589,'[1]Career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589" s="22" t="str">
        <f>J589</f>
        <v>M1</v>
      </c>
      <c r="U589" s="40" t="str">
        <f t="shared" si="19"/>
        <v>M1</v>
      </c>
      <c r="V589" s="22" t="str">
        <f>_xlfn.XLOOKUP(T589,'[1]Career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589" s="41" t="str">
        <f>J589&amp;"-"&amp;G589</f>
        <v>M1-10</v>
      </c>
      <c r="X589" s="42" t="str">
        <f>G589</f>
        <v>10</v>
      </c>
      <c r="Y589" s="22" t="str">
        <f>_xlfn.XLOOKUP(W589,'[1]Career Bands &amp; Levels'!A:A,'[1]Career Bands &amp; Levels'!C:C,"No Grade Differentiator")</f>
        <v xml:space="preserve">●	Accountable for the results of medium-sized routine support or production operations teams		
●	Solves problems based on practice and precedent		
●	Trains team members and provides input to employee performance evaluations		</v>
      </c>
      <c r="Z589" s="43" t="str">
        <f>IFERROR(O589&amp;" - "&amp;G589,"--")</f>
        <v>Supervisor Warehouse/Fulfillment - 10</v>
      </c>
      <c r="AA589" s="44" t="str">
        <f>_xlfn.XLOOKUP($H589,'[1]SIG Qualifications Input'!$D:$D,'[1]SIG Qualifications Input'!$H:$H)</f>
        <v>University degree or equivalent and 5-7 years of work experience or equivalent
Experienced in application of management techniques
Experience in operationally managing a mixed-level team</v>
      </c>
    </row>
    <row r="590" spans="1:27" ht="385" thickBot="1" x14ac:dyDescent="0.2">
      <c r="A590" s="34" t="str">
        <f>_xlfn.XLOOKUP(C590,'[1]SIG Job Families &amp; Descriptions'!F:F,'[1]SIG Job Families &amp; Descriptions'!B:B)</f>
        <v>Supply Chain &amp; Logistics</v>
      </c>
      <c r="B590" s="34" t="str">
        <f>_xlfn.XLOOKUP(C590,'[1]SIG Job Families &amp; Descriptions'!F:F,'[1]SIG Job Families &amp; Descriptions'!D:D)</f>
        <v xml:space="preserve">Warehouse/Fulfillment </v>
      </c>
      <c r="C590" s="34" t="s">
        <v>123</v>
      </c>
      <c r="D590" s="30" t="str">
        <f t="shared" si="18"/>
        <v>ASC</v>
      </c>
      <c r="E590" s="31" t="str">
        <f>_xlfn.XLOOKUP(C590,'[1]SIG Job Families &amp; Descriptions'!F:F,'[1]SIG Job Families &amp; Descriptions'!A:A)</f>
        <v>ASC040</v>
      </c>
      <c r="F590" s="32" t="s">
        <v>32</v>
      </c>
      <c r="G590" s="33" t="s">
        <v>36</v>
      </c>
      <c r="H590" s="34" t="str">
        <f>F590&amp;"-"&amp;G590</f>
        <v>Professional-10</v>
      </c>
      <c r="I590" s="35" t="str">
        <f>IF(ISERROR(_xlfn.XLOOKUP(H590,'[1]SIG Level Structure'!D:D,'[1]SIG Level Structure'!D:D)),"0","1")</f>
        <v>1</v>
      </c>
      <c r="J590" s="36" t="str">
        <f>_xlfn.XLOOKUP($H590,'[1]SIG Level Structure'!$D:$D,'[1]SIG Level Structure'!F:F)</f>
        <v>P2</v>
      </c>
      <c r="K590" s="37" t="str">
        <f>E590&amp;"-"&amp;J590&amp;"-"&amp;G590</f>
        <v>ASC040-P2-10</v>
      </c>
      <c r="L590" s="37" t="str">
        <f>IFERROR(D590&amp;"-"&amp;LEFT(J590,1),"--")</f>
        <v>ASC-P</v>
      </c>
      <c r="M590" s="37" t="str">
        <f>VLOOKUP(L590,'[1]Compatible JC'!$A:$A,1,FALSE)</f>
        <v>ASC-P</v>
      </c>
      <c r="N590" s="37" t="str">
        <f>IFERROR(_xlfn.XLOOKUP(H590,'[1]SIG Level Structure'!D:D,'[1]SIG Level Structure'!C:C),"--")</f>
        <v>Senior Specialist</v>
      </c>
      <c r="O590" s="38" t="str">
        <f>IFERROR(TRIM(N590&amp;" "&amp;C590),"--")</f>
        <v>Senior Specialist Warehouse/Fulfillment</v>
      </c>
      <c r="P590" s="22" t="str">
        <f>_xlfn.XLOOKUP(E590,'[1]SIG Job Families &amp; Descriptions'!A:A,'[1]SIG Job Families &amp; Descriptions'!G:G)</f>
        <v xml:space="preserve">Warehouse: Administers and operates the organization's warehouses, including processing, packaging and storage of supplies, materials and equipment. Accounts for all materials and supplies in the stores facilities; audits goods received into warehouse. Oversees receipt, storage and shipment of materials, and related reporting in accordance with established procedures. Prepares and coordinates schedules for shipping and receiving materials to control the flow of goods and regulate warehouse space
Fulfillment: Fulfills orders, including order entry, administration and shipping. Processes orders and oversees related activities of third-party vendors to ensure orders flow effectively through systems and processes in accordance with the organization's customer service standards. Develops capacity plans to support build-to-stock and/or build-to-order environments. Ensures adequate inventory levels are maintained to maximize customer satisfaction and minimize cost. Prepares and maintains volume and demand planning analyses and supply and production schedules based on internal and external information to establish and effectively manage an order backlog
</v>
      </c>
      <c r="Q590" s="39" t="str">
        <f>_xlfn.XLOOKUP(E590,'[1]2022 GI Position Descriptions'!E:E,'[1]2022 GI Position Descriptions'!G:G)</f>
        <v>Administers and operates the organization's warehouses, including processing, packaging and storage of supplies, materials and equipment | Accounts for all materials and supplies in the stores facilities; audits goods received into warehouse | Oversees receipt, storage and shipment of materials, and related reporting in accordance with established procedures | Prepares and coordinates schedules for shipping and receiving materials to control the flow of goods and regulate warehouse space | Ensures the effectiveness of operating procedures, space utilization, and maintenance and protection of facilities and equipment</v>
      </c>
      <c r="R590" s="22" t="str">
        <f>IF(LEFT(J590,1)="E","EX",LEFT(J590,1))</f>
        <v>P</v>
      </c>
      <c r="S590" s="22" t="str">
        <f>_xlfn.XLOOKUP($R590,'[1]Career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90" s="22" t="str">
        <f>J590</f>
        <v>P2</v>
      </c>
      <c r="U590" s="40" t="str">
        <f t="shared" si="19"/>
        <v>P2</v>
      </c>
      <c r="V590" s="22" t="str">
        <f>_xlfn.XLOOKUP(T590,'[1]Career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590" s="41" t="str">
        <f>J590&amp;"-"&amp;G590</f>
        <v>P2-10</v>
      </c>
      <c r="X590" s="42" t="str">
        <f>G590</f>
        <v>10</v>
      </c>
      <c r="Y590" s="22" t="str">
        <f>_xlfn.XLOOKUP(W590,'[1]Career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590" s="43" t="str">
        <f>IFERROR(O590&amp;" - "&amp;G590,"--")</f>
        <v>Senior Specialist Warehouse/Fulfillment - 10</v>
      </c>
      <c r="AA590" s="44" t="str">
        <f>_xlfn.XLOOKUP($H590,'[1]SIG Qualifications Input'!$D:$D,'[1]SIG Qualifications Input'!$H:$H)</f>
        <v>University degree or equivalent and 2-4 years of work experience or equivalent</v>
      </c>
    </row>
    <row r="591" spans="1:27" ht="385" thickBot="1" x14ac:dyDescent="0.2">
      <c r="A591" s="34" t="str">
        <f>_xlfn.XLOOKUP(C591,'[1]SIG Job Families &amp; Descriptions'!F:F,'[1]SIG Job Families &amp; Descriptions'!B:B)</f>
        <v>Supply Chain &amp; Logistics</v>
      </c>
      <c r="B591" s="34" t="str">
        <f>_xlfn.XLOOKUP(C591,'[1]SIG Job Families &amp; Descriptions'!F:F,'[1]SIG Job Families &amp; Descriptions'!D:D)</f>
        <v xml:space="preserve">Warehouse/Fulfillment </v>
      </c>
      <c r="C591" s="34" t="s">
        <v>123</v>
      </c>
      <c r="D591" s="30" t="str">
        <f t="shared" si="18"/>
        <v>ASC</v>
      </c>
      <c r="E591" s="31" t="str">
        <f>_xlfn.XLOOKUP(C591,'[1]SIG Job Families &amp; Descriptions'!F:F,'[1]SIG Job Families &amp; Descriptions'!A:A)</f>
        <v>ASC040</v>
      </c>
      <c r="F591" s="32" t="s">
        <v>32</v>
      </c>
      <c r="G591" s="33" t="s">
        <v>37</v>
      </c>
      <c r="H591" s="34" t="str">
        <f>F591&amp;"-"&amp;G591</f>
        <v>Professional-09</v>
      </c>
      <c r="I591" s="35" t="str">
        <f>IF(ISERROR(_xlfn.XLOOKUP(H591,'[1]SIG Level Structure'!D:D,'[1]SIG Level Structure'!D:D)),"0","1")</f>
        <v>1</v>
      </c>
      <c r="J591" s="36" t="str">
        <f>_xlfn.XLOOKUP($H591,'[1]SIG Level Structure'!$D:$D,'[1]SIG Level Structure'!F:F)</f>
        <v>P2</v>
      </c>
      <c r="K591" s="37" t="str">
        <f>E591&amp;"-"&amp;J591&amp;"-"&amp;G591</f>
        <v>ASC040-P2-09</v>
      </c>
      <c r="L591" s="37" t="str">
        <f>IFERROR(D591&amp;"-"&amp;LEFT(J591,1),"--")</f>
        <v>ASC-P</v>
      </c>
      <c r="M591" s="37" t="str">
        <f>VLOOKUP(L591,'[1]Compatible JC'!$A:$A,1,FALSE)</f>
        <v>ASC-P</v>
      </c>
      <c r="N591" s="37" t="str">
        <f>IFERROR(_xlfn.XLOOKUP(H591,'[1]SIG Level Structure'!D:D,'[1]SIG Level Structure'!C:C),"--")</f>
        <v>Senior Specialist</v>
      </c>
      <c r="O591" s="38" t="str">
        <f>IFERROR(TRIM(N591&amp;" "&amp;C591),"--")</f>
        <v>Senior Specialist Warehouse/Fulfillment</v>
      </c>
      <c r="P591" s="22" t="str">
        <f>_xlfn.XLOOKUP(E591,'[1]SIG Job Families &amp; Descriptions'!A:A,'[1]SIG Job Families &amp; Descriptions'!G:G)</f>
        <v xml:space="preserve">Warehouse: Administers and operates the organization's warehouses, including processing, packaging and storage of supplies, materials and equipment. Accounts for all materials and supplies in the stores facilities; audits goods received into warehouse. Oversees receipt, storage and shipment of materials, and related reporting in accordance with established procedures. Prepares and coordinates schedules for shipping and receiving materials to control the flow of goods and regulate warehouse space
Fulfillment: Fulfills orders, including order entry, administration and shipping. Processes orders and oversees related activities of third-party vendors to ensure orders flow effectively through systems and processes in accordance with the organization's customer service standards. Develops capacity plans to support build-to-stock and/or build-to-order environments. Ensures adequate inventory levels are maintained to maximize customer satisfaction and minimize cost. Prepares and maintains volume and demand planning analyses and supply and production schedules based on internal and external information to establish and effectively manage an order backlog
</v>
      </c>
      <c r="Q591" s="39" t="str">
        <f>_xlfn.XLOOKUP(E591,'[1]2022 GI Position Descriptions'!E:E,'[1]2022 GI Position Descriptions'!G:G)</f>
        <v>Administers and operates the organization's warehouses, including processing, packaging and storage of supplies, materials and equipment | Accounts for all materials and supplies in the stores facilities; audits goods received into warehouse | Oversees receipt, storage and shipment of materials, and related reporting in accordance with established procedures | Prepares and coordinates schedules for shipping and receiving materials to control the flow of goods and regulate warehouse space | Ensures the effectiveness of operating procedures, space utilization, and maintenance and protection of facilities and equipment</v>
      </c>
      <c r="R591" s="22" t="str">
        <f>IF(LEFT(J591,1)="E","EX",LEFT(J591,1))</f>
        <v>P</v>
      </c>
      <c r="S591" s="22" t="str">
        <f>_xlfn.XLOOKUP($R591,'[1]Career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91" s="22" t="str">
        <f>J591</f>
        <v>P2</v>
      </c>
      <c r="U591" s="40" t="str">
        <f t="shared" si="19"/>
        <v>P2</v>
      </c>
      <c r="V591" s="22" t="str">
        <f>_xlfn.XLOOKUP(T591,'[1]Career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591" s="41" t="str">
        <f>J591&amp;"-"&amp;G591</f>
        <v>P2-09</v>
      </c>
      <c r="X591" s="42" t="str">
        <f>G591</f>
        <v>09</v>
      </c>
      <c r="Y591" s="22" t="str">
        <f>_xlfn.XLOOKUP(W591,'[1]Career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591" s="43" t="str">
        <f>IFERROR(O591&amp;" - "&amp;G591,"--")</f>
        <v>Senior Specialist Warehouse/Fulfillment - 09</v>
      </c>
      <c r="AA591" s="44" t="str">
        <f>_xlfn.XLOOKUP($H591,'[1]SIG Qualifications Input'!$D:$D,'[1]SIG Qualifications Input'!$H:$H)</f>
        <v>University degree or equivalent and 2-4 years of work experience or equivalent</v>
      </c>
    </row>
    <row r="592" spans="1:27" ht="385" thickBot="1" x14ac:dyDescent="0.2">
      <c r="A592" s="34" t="str">
        <f>_xlfn.XLOOKUP(C592,'[1]SIG Job Families &amp; Descriptions'!F:F,'[1]SIG Job Families &amp; Descriptions'!B:B)</f>
        <v>Supply Chain &amp; Logistics</v>
      </c>
      <c r="B592" s="34" t="str">
        <f>_xlfn.XLOOKUP(C592,'[1]SIG Job Families &amp; Descriptions'!F:F,'[1]SIG Job Families &amp; Descriptions'!D:D)</f>
        <v xml:space="preserve">Warehouse/Fulfillment </v>
      </c>
      <c r="C592" s="34" t="s">
        <v>123</v>
      </c>
      <c r="D592" s="30" t="str">
        <f t="shared" si="18"/>
        <v>ASC</v>
      </c>
      <c r="E592" s="31" t="str">
        <f>_xlfn.XLOOKUP(C592,'[1]SIG Job Families &amp; Descriptions'!F:F,'[1]SIG Job Families &amp; Descriptions'!A:A)</f>
        <v>ASC040</v>
      </c>
      <c r="F592" s="32" t="s">
        <v>32</v>
      </c>
      <c r="G592" s="33" t="s">
        <v>43</v>
      </c>
      <c r="H592" s="34" t="str">
        <f>F592&amp;"-"&amp;G592</f>
        <v>Professional-08</v>
      </c>
      <c r="I592" s="35" t="str">
        <f>IF(ISERROR(_xlfn.XLOOKUP(H592,'[1]SIG Level Structure'!D:D,'[1]SIG Level Structure'!D:D)),"0","1")</f>
        <v>1</v>
      </c>
      <c r="J592" s="36" t="str">
        <f>_xlfn.XLOOKUP($H592,'[1]SIG Level Structure'!$D:$D,'[1]SIG Level Structure'!F:F)</f>
        <v>P1</v>
      </c>
      <c r="K592" s="37" t="str">
        <f>E592&amp;"-"&amp;J592&amp;"-"&amp;G592</f>
        <v>ASC040-P1-08</v>
      </c>
      <c r="L592" s="37" t="str">
        <f>IFERROR(D592&amp;"-"&amp;LEFT(J592,1),"--")</f>
        <v>ASC-P</v>
      </c>
      <c r="M592" s="37" t="str">
        <f>VLOOKUP(L592,'[1]Compatible JC'!$A:$A,1,FALSE)</f>
        <v>ASC-P</v>
      </c>
      <c r="N592" s="37" t="str">
        <f>IFERROR(_xlfn.XLOOKUP(H592,'[1]SIG Level Structure'!D:D,'[1]SIG Level Structure'!C:C),"--")</f>
        <v>Specialist</v>
      </c>
      <c r="O592" s="38" t="str">
        <f>IFERROR(TRIM(N592&amp;" "&amp;C592),"--")</f>
        <v>Specialist Warehouse/Fulfillment</v>
      </c>
      <c r="P592" s="22" t="str">
        <f>_xlfn.XLOOKUP(E592,'[1]SIG Job Families &amp; Descriptions'!A:A,'[1]SIG Job Families &amp; Descriptions'!G:G)</f>
        <v xml:space="preserve">Warehouse: Administers and operates the organization's warehouses, including processing, packaging and storage of supplies, materials and equipment. Accounts for all materials and supplies in the stores facilities; audits goods received into warehouse. Oversees receipt, storage and shipment of materials, and related reporting in accordance with established procedures. Prepares and coordinates schedules for shipping and receiving materials to control the flow of goods and regulate warehouse space
Fulfillment: Fulfills orders, including order entry, administration and shipping. Processes orders and oversees related activities of third-party vendors to ensure orders flow effectively through systems and processes in accordance with the organization's customer service standards. Develops capacity plans to support build-to-stock and/or build-to-order environments. Ensures adequate inventory levels are maintained to maximize customer satisfaction and minimize cost. Prepares and maintains volume and demand planning analyses and supply and production schedules based on internal and external information to establish and effectively manage an order backlog
</v>
      </c>
      <c r="Q592" s="39" t="str">
        <f>_xlfn.XLOOKUP(E592,'[1]2022 GI Position Descriptions'!E:E,'[1]2022 GI Position Descriptions'!G:G)</f>
        <v>Administers and operates the organization's warehouses, including processing, packaging and storage of supplies, materials and equipment | Accounts for all materials and supplies in the stores facilities; audits goods received into warehouse | Oversees receipt, storage and shipment of materials, and related reporting in accordance with established procedures | Prepares and coordinates schedules for shipping and receiving materials to control the flow of goods and regulate warehouse space | Ensures the effectiveness of operating procedures, space utilization, and maintenance and protection of facilities and equipment</v>
      </c>
      <c r="R592" s="22" t="str">
        <f>IF(LEFT(J592,1)="E","EX",LEFT(J592,1))</f>
        <v>P</v>
      </c>
      <c r="S592" s="22" t="str">
        <f>_xlfn.XLOOKUP($R592,'[1]Career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592" s="22" t="str">
        <f>J592</f>
        <v>P1</v>
      </c>
      <c r="U592" s="40" t="str">
        <f t="shared" si="19"/>
        <v>P1</v>
      </c>
      <c r="V592" s="22" t="str">
        <f>_xlfn.XLOOKUP(T592,'[1]Career Bands &amp; Levels'!A:A,'[1]Career Bands &amp; Levels'!C:C)</f>
        <v xml:space="preserve">●	Performs routine assignments in the entry level of the Professional Career Band		
●	Typically requires a college or university degree or the equivalent work experience and has conceptual knowledge of fundamental theories, principles and practices 		
●	Has no discretion to vary from established procedures by performing structured work assignments		
●	Uses existing procedures to solve routine or standard problems		
●	Receives instruction, guidance and direction from more senior level roles		</v>
      </c>
      <c r="W592" s="41" t="str">
        <f>J592&amp;"-"&amp;G592</f>
        <v>P1-08</v>
      </c>
      <c r="X592" s="42" t="str">
        <f>G592</f>
        <v>08</v>
      </c>
      <c r="Y592" s="22" t="str">
        <f>_xlfn.XLOOKUP(W592,'[1]Career Bands &amp; Levels'!A:A,'[1]Career Bands &amp; Levels'!C:C,"No Grade Differentiator")</f>
        <v>No Grade Differentiator</v>
      </c>
      <c r="Z592" s="43" t="str">
        <f>IFERROR(O592&amp;" - "&amp;G592,"--")</f>
        <v>Specialist Warehouse/Fulfillment - 08</v>
      </c>
      <c r="AA592" s="44" t="str">
        <f>_xlfn.XLOOKUP($H592,'[1]SIG Qualifications Input'!$D:$D,'[1]SIG Qualifications Input'!$H:$H)</f>
        <v>University degree or equivalent and 0-1 year of work experience or equivalent</v>
      </c>
    </row>
    <row r="593" spans="1:27" ht="385" thickBot="1" x14ac:dyDescent="0.2">
      <c r="A593" s="34" t="str">
        <f>_xlfn.XLOOKUP(C593,'[1]SIG Job Families &amp; Descriptions'!F:F,'[1]SIG Job Families &amp; Descriptions'!B:B)</f>
        <v>Supply Chain &amp; Logistics</v>
      </c>
      <c r="B593" s="34" t="str">
        <f>_xlfn.XLOOKUP(C593,'[1]SIG Job Families &amp; Descriptions'!F:F,'[1]SIG Job Families &amp; Descriptions'!D:D)</f>
        <v xml:space="preserve">Warehouse/Fulfillment </v>
      </c>
      <c r="C593" s="34" t="s">
        <v>123</v>
      </c>
      <c r="D593" s="30" t="str">
        <f t="shared" si="18"/>
        <v>ASC</v>
      </c>
      <c r="E593" s="31" t="str">
        <f>_xlfn.XLOOKUP(C593,'[1]SIG Job Families &amp; Descriptions'!F:F,'[1]SIG Job Families &amp; Descriptions'!A:A)</f>
        <v>ASC040</v>
      </c>
      <c r="F593" s="32" t="s">
        <v>50</v>
      </c>
      <c r="G593" s="33" t="s">
        <v>43</v>
      </c>
      <c r="H593" s="34" t="str">
        <f>F593&amp;"-"&amp;G593</f>
        <v>Operations-08</v>
      </c>
      <c r="I593" s="35" t="str">
        <f>IF(ISERROR(_xlfn.XLOOKUP(H593,'[1]SIG Level Structure'!D:D,'[1]SIG Level Structure'!D:D)),"0","1")</f>
        <v>1</v>
      </c>
      <c r="J593" s="36" t="str">
        <f>_xlfn.XLOOKUP($H593,'[1]SIG Level Structure'!$D:$D,'[1]SIG Level Structure'!F:F)</f>
        <v>W4</v>
      </c>
      <c r="K593" s="37" t="str">
        <f>E593&amp;"-"&amp;J593&amp;"-"&amp;G593</f>
        <v>ASC040-W4-08</v>
      </c>
      <c r="L593" s="37" t="str">
        <f>IFERROR(D593&amp;"-"&amp;LEFT(J593,1),"--")</f>
        <v>ASC-W</v>
      </c>
      <c r="M593" s="37" t="str">
        <f>VLOOKUP(L593,'[1]Compatible JC'!$A:$A,1,FALSE)</f>
        <v>ASC-W</v>
      </c>
      <c r="N593" s="37" t="str">
        <f>IFERROR(_xlfn.XLOOKUP(H593,'[1]SIG Level Structure'!D:D,'[1]SIG Level Structure'!C:C),"--")</f>
        <v>Senior Operator</v>
      </c>
      <c r="O593" s="38" t="str">
        <f>IFERROR(TRIM(N593&amp;" "&amp;C593),"--")</f>
        <v>Senior Operator Warehouse/Fulfillment</v>
      </c>
      <c r="P593" s="22" t="str">
        <f>_xlfn.XLOOKUP(E593,'[1]SIG Job Families &amp; Descriptions'!A:A,'[1]SIG Job Families &amp; Descriptions'!G:G)</f>
        <v xml:space="preserve">Warehouse: Administers and operates the organization's warehouses, including processing, packaging and storage of supplies, materials and equipment. Accounts for all materials and supplies in the stores facilities; audits goods received into warehouse. Oversees receipt, storage and shipment of materials, and related reporting in accordance with established procedures. Prepares and coordinates schedules for shipping and receiving materials to control the flow of goods and regulate warehouse space
Fulfillment: Fulfills orders, including order entry, administration and shipping. Processes orders and oversees related activities of third-party vendors to ensure orders flow effectively through systems and processes in accordance with the organization's customer service standards. Develops capacity plans to support build-to-stock and/or build-to-order environments. Ensures adequate inventory levels are maintained to maximize customer satisfaction and minimize cost. Prepares and maintains volume and demand planning analyses and supply and production schedules based on internal and external information to establish and effectively manage an order backlog
</v>
      </c>
      <c r="Q593" s="39" t="str">
        <f>_xlfn.XLOOKUP(E593,'[1]2022 GI Position Descriptions'!E:E,'[1]2022 GI Position Descriptions'!G:G)</f>
        <v>Administers and operates the organization's warehouses, including processing, packaging and storage of supplies, materials and equipment | Accounts for all materials and supplies in the stores facilities; audits goods received into warehouse | Oversees receipt, storage and shipment of materials, and related reporting in accordance with established procedures | Prepares and coordinates schedules for shipping and receiving materials to control the flow of goods and regulate warehouse space | Ensures the effectiveness of operating procedures, space utilization, and maintenance and protection of facilities and equipment</v>
      </c>
      <c r="R593" s="22" t="str">
        <f>IF(LEFT(J593,1)="E","EX",LEFT(J593,1))</f>
        <v>W</v>
      </c>
      <c r="S593" s="22" t="str">
        <f>_xlfn.XLOOKUP($R593,'[1]Career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593" s="22" t="str">
        <f>J593</f>
        <v>W4</v>
      </c>
      <c r="U593" s="40" t="str">
        <f t="shared" si="19"/>
        <v>W4</v>
      </c>
      <c r="V593" s="22" t="str">
        <f>_xlfn.XLOOKUP(T593,'[1]Career Bands &amp; Levels'!A:A,'[1]Career Bands &amp; Levels'!C:C)</f>
        <v xml:space="preserve">●	Has advanced skills, typically gained through a combination of job-related training and considerable work experience		
●	May act as a lead, coordinating the work of others, but is not a supervisor		
●	Works autonomously within established procedures and practices		
●	Has developed a specialized level of skill to perform assigned tasks		</v>
      </c>
      <c r="W593" s="41" t="str">
        <f>J593&amp;"-"&amp;G593</f>
        <v>W4-08</v>
      </c>
      <c r="X593" s="42" t="str">
        <f>G593</f>
        <v>08</v>
      </c>
      <c r="Y593" s="22" t="str">
        <f>_xlfn.XLOOKUP(W593,'[1]Career Bands &amp; Levels'!A:A,'[1]Career Bands &amp; Levels'!C:C,"No Grade Differentiator")</f>
        <v xml:space="preserve">●	Performs a variety of the most complex tasks and/or may lead one or more teams		
●	Supports the delivery of new solutions complex problems where precedent may not exist		</v>
      </c>
      <c r="Z593" s="43" t="str">
        <f>IFERROR(O593&amp;" - "&amp;G593,"--")</f>
        <v>Senior Operator Warehouse/Fulfillment - 08</v>
      </c>
      <c r="AA593" s="44" t="str">
        <f>_xlfn.XLOOKUP($H593,'[1]SIG Qualifications Input'!$D:$D,'[1]SIG Qualifications Input'!$H:$H)</f>
        <v>Vocational training in e.g. manual or technical  field or equivalent work experience. 4-7 years of experience, possibly further internal trainings and/or external advanced training</v>
      </c>
    </row>
    <row r="594" spans="1:27" ht="385" thickBot="1" x14ac:dyDescent="0.2">
      <c r="A594" s="34" t="str">
        <f>_xlfn.XLOOKUP(C594,'[1]SIG Job Families &amp; Descriptions'!F:F,'[1]SIG Job Families &amp; Descriptions'!B:B)</f>
        <v>Supply Chain &amp; Logistics</v>
      </c>
      <c r="B594" s="34" t="str">
        <f>_xlfn.XLOOKUP(C594,'[1]SIG Job Families &amp; Descriptions'!F:F,'[1]SIG Job Families &amp; Descriptions'!D:D)</f>
        <v xml:space="preserve">Warehouse/Fulfillment </v>
      </c>
      <c r="C594" s="34" t="s">
        <v>123</v>
      </c>
      <c r="D594" s="30" t="str">
        <f t="shared" si="18"/>
        <v>ASC</v>
      </c>
      <c r="E594" s="31" t="str">
        <f>_xlfn.XLOOKUP(C594,'[1]SIG Job Families &amp; Descriptions'!F:F,'[1]SIG Job Families &amp; Descriptions'!A:A)</f>
        <v>ASC040</v>
      </c>
      <c r="F594" s="32" t="s">
        <v>50</v>
      </c>
      <c r="G594" s="33" t="s">
        <v>52</v>
      </c>
      <c r="H594" s="34" t="str">
        <f>F594&amp;"-"&amp;G594</f>
        <v>Operations-07</v>
      </c>
      <c r="I594" s="35" t="str">
        <f>IF(ISERROR(_xlfn.XLOOKUP(H594,'[1]SIG Level Structure'!D:D,'[1]SIG Level Structure'!D:D)),"0","1")</f>
        <v>1</v>
      </c>
      <c r="J594" s="36" t="str">
        <f>_xlfn.XLOOKUP($H594,'[1]SIG Level Structure'!$D:$D,'[1]SIG Level Structure'!F:F)</f>
        <v>W4</v>
      </c>
      <c r="K594" s="37" t="str">
        <f>E594&amp;"-"&amp;J594&amp;"-"&amp;G594</f>
        <v>ASC040-W4-07</v>
      </c>
      <c r="L594" s="37" t="str">
        <f>IFERROR(D594&amp;"-"&amp;LEFT(J594,1),"--")</f>
        <v>ASC-W</v>
      </c>
      <c r="M594" s="37" t="str">
        <f>VLOOKUP(L594,'[1]Compatible JC'!$A:$A,1,FALSE)</f>
        <v>ASC-W</v>
      </c>
      <c r="N594" s="37" t="str">
        <f>IFERROR(_xlfn.XLOOKUP(H594,'[1]SIG Level Structure'!D:D,'[1]SIG Level Structure'!C:C),"--")</f>
        <v>Senior Operator</v>
      </c>
      <c r="O594" s="38" t="str">
        <f>IFERROR(TRIM(N594&amp;" "&amp;C594),"--")</f>
        <v>Senior Operator Warehouse/Fulfillment</v>
      </c>
      <c r="P594" s="22" t="str">
        <f>_xlfn.XLOOKUP(E594,'[1]SIG Job Families &amp; Descriptions'!A:A,'[1]SIG Job Families &amp; Descriptions'!G:G)</f>
        <v xml:space="preserve">Warehouse: Administers and operates the organization's warehouses, including processing, packaging and storage of supplies, materials and equipment. Accounts for all materials and supplies in the stores facilities; audits goods received into warehouse. Oversees receipt, storage and shipment of materials, and related reporting in accordance with established procedures. Prepares and coordinates schedules for shipping and receiving materials to control the flow of goods and regulate warehouse space
Fulfillment: Fulfills orders, including order entry, administration and shipping. Processes orders and oversees related activities of third-party vendors to ensure orders flow effectively through systems and processes in accordance with the organization's customer service standards. Develops capacity plans to support build-to-stock and/or build-to-order environments. Ensures adequate inventory levels are maintained to maximize customer satisfaction and minimize cost. Prepares and maintains volume and demand planning analyses and supply and production schedules based on internal and external information to establish and effectively manage an order backlog
</v>
      </c>
      <c r="Q594" s="39" t="str">
        <f>_xlfn.XLOOKUP(E594,'[1]2022 GI Position Descriptions'!E:E,'[1]2022 GI Position Descriptions'!G:G)</f>
        <v>Administers and operates the organization's warehouses, including processing, packaging and storage of supplies, materials and equipment | Accounts for all materials and supplies in the stores facilities; audits goods received into warehouse | Oversees receipt, storage and shipment of materials, and related reporting in accordance with established procedures | Prepares and coordinates schedules for shipping and receiving materials to control the flow of goods and regulate warehouse space | Ensures the effectiveness of operating procedures, space utilization, and maintenance and protection of facilities and equipment</v>
      </c>
      <c r="R594" s="22" t="str">
        <f>IF(LEFT(J594,1)="E","EX",LEFT(J594,1))</f>
        <v>W</v>
      </c>
      <c r="S594" s="22" t="str">
        <f>_xlfn.XLOOKUP($R594,'[1]Career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594" s="22" t="str">
        <f>J594</f>
        <v>W4</v>
      </c>
      <c r="U594" s="40" t="str">
        <f t="shared" si="19"/>
        <v>W4</v>
      </c>
      <c r="V594" s="22" t="str">
        <f>_xlfn.XLOOKUP(T594,'[1]Career Bands &amp; Levels'!A:A,'[1]Career Bands &amp; Levels'!C:C)</f>
        <v xml:space="preserve">●	Has advanced skills, typically gained through a combination of job-related training and considerable work experience		
●	May act as a lead, coordinating the work of others, but is not a supervisor		
●	Works autonomously within established procedures and practices		
●	Has developed a specialized level of skill to perform assigned tasks		</v>
      </c>
      <c r="W594" s="41" t="str">
        <f>J594&amp;"-"&amp;G594</f>
        <v>W4-07</v>
      </c>
      <c r="X594" s="42" t="str">
        <f>G594</f>
        <v>07</v>
      </c>
      <c r="Y594" s="22" t="str">
        <f>_xlfn.XLOOKUP(W594,'[1]Career Bands &amp; Levels'!A:A,'[1]Career Bands &amp; Levels'!C:C,"No Grade Differentiator")</f>
        <v xml:space="preserve">●	Performs a variety of complex tasks and/or may lead a team in the performance of a variety of tasks that are often routine		
●	May support the development of solutions to complex problems of a recurring nature		</v>
      </c>
      <c r="Z594" s="43" t="str">
        <f>IFERROR(O594&amp;" - "&amp;G594,"--")</f>
        <v>Senior Operator Warehouse/Fulfillment - 07</v>
      </c>
      <c r="AA594" s="44" t="str">
        <f>_xlfn.XLOOKUP($H594,'[1]SIG Qualifications Input'!$D:$D,'[1]SIG Qualifications Input'!$H:$H)</f>
        <v>Vocational training in e.g. manual or technical  field or equivalent work experience. 4-7 years of experience, possibly further internal trainings and/or external advanced training</v>
      </c>
    </row>
    <row r="595" spans="1:27" ht="385" thickBot="1" x14ac:dyDescent="0.2">
      <c r="A595" s="34" t="str">
        <f>_xlfn.XLOOKUP(C595,'[1]SIG Job Families &amp; Descriptions'!F:F,'[1]SIG Job Families &amp; Descriptions'!B:B)</f>
        <v>Supply Chain &amp; Logistics</v>
      </c>
      <c r="B595" s="34" t="str">
        <f>_xlfn.XLOOKUP(C595,'[1]SIG Job Families &amp; Descriptions'!F:F,'[1]SIG Job Families &amp; Descriptions'!D:D)</f>
        <v xml:space="preserve">Warehouse/Fulfillment </v>
      </c>
      <c r="C595" s="34" t="s">
        <v>123</v>
      </c>
      <c r="D595" s="30" t="str">
        <f t="shared" si="18"/>
        <v>ASC</v>
      </c>
      <c r="E595" s="31" t="str">
        <f>_xlfn.XLOOKUP(C595,'[1]SIG Job Families &amp; Descriptions'!F:F,'[1]SIG Job Families &amp; Descriptions'!A:A)</f>
        <v>ASC040</v>
      </c>
      <c r="F595" s="32" t="s">
        <v>50</v>
      </c>
      <c r="G595" s="33" t="s">
        <v>53</v>
      </c>
      <c r="H595" s="34" t="str">
        <f>F595&amp;"-"&amp;G595</f>
        <v>Operations-06</v>
      </c>
      <c r="I595" s="35" t="str">
        <f>IF(ISERROR(_xlfn.XLOOKUP(H595,'[1]SIG Level Structure'!D:D,'[1]SIG Level Structure'!D:D)),"0","1")</f>
        <v>1</v>
      </c>
      <c r="J595" s="36" t="str">
        <f>_xlfn.XLOOKUP($H595,'[1]SIG Level Structure'!$D:$D,'[1]SIG Level Structure'!F:F)</f>
        <v>W3</v>
      </c>
      <c r="K595" s="37" t="str">
        <f>E595&amp;"-"&amp;J595&amp;"-"&amp;G595</f>
        <v>ASC040-W3-06</v>
      </c>
      <c r="L595" s="37" t="str">
        <f>IFERROR(D595&amp;"-"&amp;LEFT(J595,1),"--")</f>
        <v>ASC-W</v>
      </c>
      <c r="M595" s="37" t="str">
        <f>VLOOKUP(L595,'[1]Compatible JC'!$A:$A,1,FALSE)</f>
        <v>ASC-W</v>
      </c>
      <c r="N595" s="37" t="str">
        <f>IFERROR(_xlfn.XLOOKUP(H595,'[1]SIG Level Structure'!D:D,'[1]SIG Level Structure'!C:C),"--")</f>
        <v>Operator</v>
      </c>
      <c r="O595" s="38" t="str">
        <f>IFERROR(TRIM(N595&amp;" "&amp;C595),"--")</f>
        <v>Operator Warehouse/Fulfillment</v>
      </c>
      <c r="P595" s="22" t="str">
        <f>_xlfn.XLOOKUP(E595,'[1]SIG Job Families &amp; Descriptions'!A:A,'[1]SIG Job Families &amp; Descriptions'!G:G)</f>
        <v xml:space="preserve">Warehouse: Administers and operates the organization's warehouses, including processing, packaging and storage of supplies, materials and equipment. Accounts for all materials and supplies in the stores facilities; audits goods received into warehouse. Oversees receipt, storage and shipment of materials, and related reporting in accordance with established procedures. Prepares and coordinates schedules for shipping and receiving materials to control the flow of goods and regulate warehouse space
Fulfillment: Fulfills orders, including order entry, administration and shipping. Processes orders and oversees related activities of third-party vendors to ensure orders flow effectively through systems and processes in accordance with the organization's customer service standards. Develops capacity plans to support build-to-stock and/or build-to-order environments. Ensures adequate inventory levels are maintained to maximize customer satisfaction and minimize cost. Prepares and maintains volume and demand planning analyses and supply and production schedules based on internal and external information to establish and effectively manage an order backlog
</v>
      </c>
      <c r="Q595" s="39" t="str">
        <f>_xlfn.XLOOKUP(E595,'[1]2022 GI Position Descriptions'!E:E,'[1]2022 GI Position Descriptions'!G:G)</f>
        <v>Administers and operates the organization's warehouses, including processing, packaging and storage of supplies, materials and equipment | Accounts for all materials and supplies in the stores facilities; audits goods received into warehouse | Oversees receipt, storage and shipment of materials, and related reporting in accordance with established procedures | Prepares and coordinates schedules for shipping and receiving materials to control the flow of goods and regulate warehouse space | Ensures the effectiveness of operating procedures, space utilization, and maintenance and protection of facilities and equipment</v>
      </c>
      <c r="R595" s="22" t="str">
        <f>IF(LEFT(J595,1)="E","EX",LEFT(J595,1))</f>
        <v>W</v>
      </c>
      <c r="S595" s="22" t="str">
        <f>_xlfn.XLOOKUP($R595,'[1]Career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595" s="22" t="str">
        <f>J595</f>
        <v>W3</v>
      </c>
      <c r="U595" s="40" t="str">
        <f t="shared" si="19"/>
        <v>W3</v>
      </c>
      <c r="V595" s="22" t="str">
        <f>_xlfn.XLOOKUP(T595,'[1]Career Bands &amp; Levels'!A:A,'[1]Career Bands &amp; Levels'!C:C)</f>
        <v xml:space="preserve">●	Has proficiency through job-related training and considerable work experience		
●	Completes work with a limited degree of supervision; regularly provides guidance to others with less experience		
●	May act as an informal resource for colleagues with less experience		</v>
      </c>
      <c r="W595" s="41" t="str">
        <f>J595&amp;"-"&amp;G595</f>
        <v>W3-06</v>
      </c>
      <c r="X595" s="42" t="str">
        <f>G595</f>
        <v>06</v>
      </c>
      <c r="Y595" s="22" t="str">
        <f>_xlfn.XLOOKUP(W595,'[1]Career Bands &amp; Levels'!A:A,'[1]Career Bands &amp; Levels'!C:C,"No Grade Differentiator")</f>
        <v>No Grade Differentiator</v>
      </c>
      <c r="Z595" s="43" t="str">
        <f>IFERROR(O595&amp;" - "&amp;G595,"--")</f>
        <v>Operator Warehouse/Fulfillment - 06</v>
      </c>
      <c r="AA595" s="44" t="str">
        <f>_xlfn.XLOOKUP($H595,'[1]SIG Qualifications Input'!$D:$D,'[1]SIG Qualifications Input'!$H:$H)</f>
        <v>Vocational training in e.g. manual or technical  field or equivalent work experience. 0-4 years of experience</v>
      </c>
    </row>
    <row r="596" spans="1:27" ht="385" thickBot="1" x14ac:dyDescent="0.2">
      <c r="A596" s="34" t="str">
        <f>_xlfn.XLOOKUP(C596,'[1]SIG Job Families &amp; Descriptions'!F:F,'[1]SIG Job Families &amp; Descriptions'!B:B)</f>
        <v>Supply Chain &amp; Logistics</v>
      </c>
      <c r="B596" s="34" t="str">
        <f>_xlfn.XLOOKUP(C596,'[1]SIG Job Families &amp; Descriptions'!F:F,'[1]SIG Job Families &amp; Descriptions'!D:D)</f>
        <v xml:space="preserve">Warehouse/Fulfillment </v>
      </c>
      <c r="C596" s="34" t="s">
        <v>123</v>
      </c>
      <c r="D596" s="30" t="str">
        <f t="shared" si="18"/>
        <v>ASC</v>
      </c>
      <c r="E596" s="31" t="str">
        <f>_xlfn.XLOOKUP(C596,'[1]SIG Job Families &amp; Descriptions'!F:F,'[1]SIG Job Families &amp; Descriptions'!A:A)</f>
        <v>ASC040</v>
      </c>
      <c r="F596" s="32" t="s">
        <v>50</v>
      </c>
      <c r="G596" s="33" t="s">
        <v>54</v>
      </c>
      <c r="H596" s="34" t="str">
        <f>F596&amp;"-"&amp;G596</f>
        <v>Operations-05</v>
      </c>
      <c r="I596" s="35" t="str">
        <f>IF(ISERROR(_xlfn.XLOOKUP(H596,'[1]SIG Level Structure'!D:D,'[1]SIG Level Structure'!D:D)),"0","1")</f>
        <v>1</v>
      </c>
      <c r="J596" s="36" t="str">
        <f>_xlfn.XLOOKUP($H596,'[1]SIG Level Structure'!$D:$D,'[1]SIG Level Structure'!F:F)</f>
        <v>W2</v>
      </c>
      <c r="K596" s="37" t="str">
        <f>E596&amp;"-"&amp;J596&amp;"-"&amp;G596</f>
        <v>ASC040-W2-05</v>
      </c>
      <c r="L596" s="37" t="str">
        <f>IFERROR(D596&amp;"-"&amp;LEFT(J596,1),"--")</f>
        <v>ASC-W</v>
      </c>
      <c r="M596" s="37" t="str">
        <f>VLOOKUP(L596,'[1]Compatible JC'!$A:$A,1,FALSE)</f>
        <v>ASC-W</v>
      </c>
      <c r="N596" s="37" t="str">
        <f>IFERROR(_xlfn.XLOOKUP(H596,'[1]SIG Level Structure'!D:D,'[1]SIG Level Structure'!C:C),"--")</f>
        <v>Operator</v>
      </c>
      <c r="O596" s="38" t="str">
        <f>IFERROR(TRIM(N596&amp;" "&amp;C596),"--")</f>
        <v>Operator Warehouse/Fulfillment</v>
      </c>
      <c r="P596" s="22" t="str">
        <f>_xlfn.XLOOKUP(E596,'[1]SIG Job Families &amp; Descriptions'!A:A,'[1]SIG Job Families &amp; Descriptions'!G:G)</f>
        <v xml:space="preserve">Warehouse: Administers and operates the organization's warehouses, including processing, packaging and storage of supplies, materials and equipment. Accounts for all materials and supplies in the stores facilities; audits goods received into warehouse. Oversees receipt, storage and shipment of materials, and related reporting in accordance with established procedures. Prepares and coordinates schedules for shipping and receiving materials to control the flow of goods and regulate warehouse space
Fulfillment: Fulfills orders, including order entry, administration and shipping. Processes orders and oversees related activities of third-party vendors to ensure orders flow effectively through systems and processes in accordance with the organization's customer service standards. Develops capacity plans to support build-to-stock and/or build-to-order environments. Ensures adequate inventory levels are maintained to maximize customer satisfaction and minimize cost. Prepares and maintains volume and demand planning analyses and supply and production schedules based on internal and external information to establish and effectively manage an order backlog
</v>
      </c>
      <c r="Q596" s="39" t="str">
        <f>_xlfn.XLOOKUP(E596,'[1]2022 GI Position Descriptions'!E:E,'[1]2022 GI Position Descriptions'!G:G)</f>
        <v>Administers and operates the organization's warehouses, including processing, packaging and storage of supplies, materials and equipment | Accounts for all materials and supplies in the stores facilities; audits goods received into warehouse | Oversees receipt, storage and shipment of materials, and related reporting in accordance with established procedures | Prepares and coordinates schedules for shipping and receiving materials to control the flow of goods and regulate warehouse space | Ensures the effectiveness of operating procedures, space utilization, and maintenance and protection of facilities and equipment</v>
      </c>
      <c r="R596" s="22" t="str">
        <f>IF(LEFT(J596,1)="E","EX",LEFT(J596,1))</f>
        <v>W</v>
      </c>
      <c r="S596" s="22" t="str">
        <f>_xlfn.XLOOKUP($R596,'[1]Career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596" s="22" t="str">
        <f>J596</f>
        <v>W2</v>
      </c>
      <c r="U596" s="40" t="str">
        <f t="shared" si="19"/>
        <v>W2</v>
      </c>
      <c r="V596" s="22" t="str">
        <f>_xlfn.XLOOKUP(T596,'[1]Career Bands &amp; Levels'!A:A,'[1]Career Bands &amp; Levels'!C:C)</f>
        <v xml:space="preserve">●	Has skills developed through formal training or work experience		
●	Works within established procedures and guidelines with limited ability to modify methods and approach		
●	Completes assigned tasks with a moderate degree of supervision		</v>
      </c>
      <c r="W596" s="41" t="str">
        <f>J596&amp;"-"&amp;G596</f>
        <v>W2-05</v>
      </c>
      <c r="X596" s="42" t="str">
        <f>G596</f>
        <v>05</v>
      </c>
      <c r="Y596" s="22" t="str">
        <f>_xlfn.XLOOKUP(W596,'[1]Career Bands &amp; Levels'!A:A,'[1]Career Bands &amp; Levels'!C:C,"No Grade Differentiator")</f>
        <v xml:space="preserve">●	Performs the full range of established procedures, and will typically be considered skilled through work experience		
●	Resolves routine issues without supervisory approval		</v>
      </c>
      <c r="Z596" s="43" t="str">
        <f>IFERROR(O596&amp;" - "&amp;G596,"--")</f>
        <v>Operator Warehouse/Fulfillment - 05</v>
      </c>
      <c r="AA596" s="44" t="str">
        <f>_xlfn.XLOOKUP($H596,'[1]SIG Qualifications Input'!$D:$D,'[1]SIG Qualifications Input'!$H:$H)</f>
        <v>Vocational training in e.g. manual or technical  field or equivalent work experience. 0-4 years of experience</v>
      </c>
    </row>
    <row r="597" spans="1:27" ht="385" thickBot="1" x14ac:dyDescent="0.2">
      <c r="A597" s="34" t="str">
        <f>_xlfn.XLOOKUP(C597,'[1]SIG Job Families &amp; Descriptions'!F:F,'[1]SIG Job Families &amp; Descriptions'!B:B)</f>
        <v>Supply Chain &amp; Logistics</v>
      </c>
      <c r="B597" s="34" t="str">
        <f>_xlfn.XLOOKUP(C597,'[1]SIG Job Families &amp; Descriptions'!F:F,'[1]SIG Job Families &amp; Descriptions'!D:D)</f>
        <v xml:space="preserve">Warehouse/Fulfillment </v>
      </c>
      <c r="C597" s="34" t="s">
        <v>123</v>
      </c>
      <c r="D597" s="30" t="str">
        <f t="shared" si="18"/>
        <v>ASC</v>
      </c>
      <c r="E597" s="31" t="str">
        <f>_xlfn.XLOOKUP(C597,'[1]SIG Job Families &amp; Descriptions'!F:F,'[1]SIG Job Families &amp; Descriptions'!A:A)</f>
        <v>ASC040</v>
      </c>
      <c r="F597" s="32" t="s">
        <v>50</v>
      </c>
      <c r="G597" s="33" t="s">
        <v>55</v>
      </c>
      <c r="H597" s="34" t="str">
        <f>F597&amp;"-"&amp;G597</f>
        <v>Operations-04</v>
      </c>
      <c r="I597" s="35" t="str">
        <f>IF(ISERROR(_xlfn.XLOOKUP(H597,'[1]SIG Level Structure'!D:D,'[1]SIG Level Structure'!D:D)),"0","1")</f>
        <v>1</v>
      </c>
      <c r="J597" s="36" t="str">
        <f>_xlfn.XLOOKUP($H597,'[1]SIG Level Structure'!$D:$D,'[1]SIG Level Structure'!F:F)</f>
        <v>W2</v>
      </c>
      <c r="K597" s="37" t="str">
        <f>E597&amp;"-"&amp;J597&amp;"-"&amp;G597</f>
        <v>ASC040-W2-04</v>
      </c>
      <c r="L597" s="37" t="str">
        <f>IFERROR(D597&amp;"-"&amp;LEFT(J597,1),"--")</f>
        <v>ASC-W</v>
      </c>
      <c r="M597" s="37" t="str">
        <f>VLOOKUP(L597,'[1]Compatible JC'!$A:$A,1,FALSE)</f>
        <v>ASC-W</v>
      </c>
      <c r="N597" s="37" t="str">
        <f>IFERROR(_xlfn.XLOOKUP(H597,'[1]SIG Level Structure'!D:D,'[1]SIG Level Structure'!C:C),"--")</f>
        <v>Operator</v>
      </c>
      <c r="O597" s="38" t="str">
        <f>IFERROR(TRIM(N597&amp;" "&amp;C597),"--")</f>
        <v>Operator Warehouse/Fulfillment</v>
      </c>
      <c r="P597" s="22" t="str">
        <f>_xlfn.XLOOKUP(E597,'[1]SIG Job Families &amp; Descriptions'!A:A,'[1]SIG Job Families &amp; Descriptions'!G:G)</f>
        <v xml:space="preserve">Warehouse: Administers and operates the organization's warehouses, including processing, packaging and storage of supplies, materials and equipment. Accounts for all materials and supplies in the stores facilities; audits goods received into warehouse. Oversees receipt, storage and shipment of materials, and related reporting in accordance with established procedures. Prepares and coordinates schedules for shipping and receiving materials to control the flow of goods and regulate warehouse space
Fulfillment: Fulfills orders, including order entry, administration and shipping. Processes orders and oversees related activities of third-party vendors to ensure orders flow effectively through systems and processes in accordance with the organization's customer service standards. Develops capacity plans to support build-to-stock and/or build-to-order environments. Ensures adequate inventory levels are maintained to maximize customer satisfaction and minimize cost. Prepares and maintains volume and demand planning analyses and supply and production schedules based on internal and external information to establish and effectively manage an order backlog
</v>
      </c>
      <c r="Q597" s="39" t="str">
        <f>_xlfn.XLOOKUP(E597,'[1]2022 GI Position Descriptions'!E:E,'[1]2022 GI Position Descriptions'!G:G)</f>
        <v>Administers and operates the organization's warehouses, including processing, packaging and storage of supplies, materials and equipment | Accounts for all materials and supplies in the stores facilities; audits goods received into warehouse | Oversees receipt, storage and shipment of materials, and related reporting in accordance with established procedures | Prepares and coordinates schedules for shipping and receiving materials to control the flow of goods and regulate warehouse space | Ensures the effectiveness of operating procedures, space utilization, and maintenance and protection of facilities and equipment</v>
      </c>
      <c r="R597" s="22" t="str">
        <f>IF(LEFT(J597,1)="E","EX",LEFT(J597,1))</f>
        <v>W</v>
      </c>
      <c r="S597" s="22" t="str">
        <f>_xlfn.XLOOKUP($R597,'[1]Career Bands &amp; Levels'!A:A,'[1]Career Bands &amp; Levels'!C:C)</f>
        <v>● Performs operational or manual tasks, primarily in manufacturing, supply chain or operational environments
● Typically performs unskilled or semi-skilled work
● Typically does not require vocational training or a university degree</v>
      </c>
      <c r="T597" s="22" t="str">
        <f>J597</f>
        <v>W2</v>
      </c>
      <c r="U597" s="40" t="str">
        <f t="shared" si="19"/>
        <v>W2</v>
      </c>
      <c r="V597" s="22" t="str">
        <f>_xlfn.XLOOKUP(T597,'[1]Career Bands &amp; Levels'!A:A,'[1]Career Bands &amp; Levels'!C:C)</f>
        <v xml:space="preserve">●	Has skills developed through formal training or work experience		
●	Works within established procedures and guidelines with limited ability to modify methods and approach		
●	Completes assigned tasks with a moderate degree of supervision		</v>
      </c>
      <c r="W597" s="41" t="str">
        <f>J597&amp;"-"&amp;G597</f>
        <v>W2-04</v>
      </c>
      <c r="X597" s="42" t="str">
        <f>G597</f>
        <v>04</v>
      </c>
      <c r="Y597" s="22" t="str">
        <f>_xlfn.XLOOKUP(W597,'[1]Career Bands &amp; Levels'!A:A,'[1]Career Bands &amp; Levels'!C:C,"No Grade Differentiator")</f>
        <v xml:space="preserve">●	Performs most established procedures and will typically be considered semi-skilled through work experience		
●	Resolves routine issues with senior staff or supervisory guidance and approval		</v>
      </c>
      <c r="Z597" s="43" t="str">
        <f>IFERROR(O597&amp;" - "&amp;G597,"--")</f>
        <v>Operator Warehouse/Fulfillment - 04</v>
      </c>
      <c r="AA597" s="44" t="str">
        <f>_xlfn.XLOOKUP($H597,'[1]SIG Qualifications Input'!$D:$D,'[1]SIG Qualifications Input'!$H:$H)</f>
        <v>Vocational training in e.g. manual or technical  field or equivalent work experience. 0-4 years of experience</v>
      </c>
    </row>
    <row r="598" spans="1:27" ht="183" thickBot="1" x14ac:dyDescent="0.2">
      <c r="A598" s="34" t="str">
        <f>_xlfn.XLOOKUP(C598,'[1]SIG Job Families &amp; Descriptions'!F:F,'[1]SIG Job Families &amp; Descriptions'!B:B)</f>
        <v>Supply Chain &amp; Logistics</v>
      </c>
      <c r="B598" s="34" t="str">
        <f>_xlfn.XLOOKUP(C598,'[1]SIG Job Families &amp; Descriptions'!F:F,'[1]SIG Job Families &amp; Descriptions'!D:D)</f>
        <v xml:space="preserve">Customer Service &amp; Support </v>
      </c>
      <c r="C598" s="34" t="s">
        <v>124</v>
      </c>
      <c r="D598" s="30" t="str">
        <f t="shared" si="18"/>
        <v>AMS</v>
      </c>
      <c r="E598" s="31" t="str">
        <f>_xlfn.XLOOKUP(C598,'[1]SIG Job Families &amp; Descriptions'!F:F,'[1]SIG Job Families &amp; Descriptions'!A:A)</f>
        <v>AMS000</v>
      </c>
      <c r="F598" s="32" t="s">
        <v>29</v>
      </c>
      <c r="G598" s="33" t="s">
        <v>33</v>
      </c>
      <c r="H598" s="34" t="str">
        <f>F598&amp;"-"&amp;G598</f>
        <v>Management-13</v>
      </c>
      <c r="I598" s="35" t="str">
        <f>IF(ISERROR(_xlfn.XLOOKUP(H598,'[1]SIG Level Structure'!D:D,'[1]SIG Level Structure'!D:D)),"0","1")</f>
        <v>1</v>
      </c>
      <c r="J598" s="36" t="str">
        <f>_xlfn.XLOOKUP($H598,'[1]SIG Level Structure'!$D:$D,'[1]SIG Level Structure'!F:F)</f>
        <v>M2</v>
      </c>
      <c r="K598" s="37" t="str">
        <f>E598&amp;"-"&amp;J598&amp;"-"&amp;G598</f>
        <v>AMS000-M2-13</v>
      </c>
      <c r="L598" s="37" t="str">
        <f>IFERROR(D598&amp;"-"&amp;LEFT(J598,1),"--")</f>
        <v>AMS-M</v>
      </c>
      <c r="M598" s="37" t="str">
        <f>VLOOKUP(L598,'[1]Compatible JC'!$A:$A,1,FALSE)</f>
        <v>AMS-M</v>
      </c>
      <c r="N598" s="37" t="str">
        <f>IFERROR(_xlfn.XLOOKUP(H598,'[1]SIG Level Structure'!D:D,'[1]SIG Level Structure'!C:C),"--")</f>
        <v>Manager</v>
      </c>
      <c r="O598" s="38" t="str">
        <f>IFERROR(TRIM(N598&amp;" "&amp;C598),"--")</f>
        <v>Manager Customer Service &amp; Support</v>
      </c>
      <c r="P598" s="22" t="str">
        <f>_xlfn.XLOOKUP(E598,'[1]SIG Job Families &amp; Descriptions'!A:A,'[1]SIG Job Families &amp; Descriptions'!G:G)</f>
        <v>Contains activities referring to order management and customer support to ensure smooth processes taking into account the needs of external stakeholders.
Provides new and existing customers with the best possible service in relation to service requests, suggestions and complaints. Resolves customer inquiries and complaints fairly and effectively. Recommends and implements programs to support customer needs. Handles customer orders and continously improve order management processes and automation.</v>
      </c>
      <c r="Q598" s="39" t="str">
        <f>_xlfn.XLOOKUP(E598,'[1]2022 GI Position Descriptions'!E:E,'[1]2022 GI Position Descriptions'!G:G)</f>
        <v>Provides new and existing customers with the best possible service in relation to billing inquiries, service requests, suggestions and complaints | Resolves customer inquiries and complaints fairly and effectively | Provides product and service information to customers and identifies upselling opportunities to maintain and increase income streams from customer relationships | Recommends and implements programs to support customer needs | Responsibilities are within the Customer Support/Operations Function as a generalist or in a combination of Disciplines</v>
      </c>
      <c r="R598" s="22" t="str">
        <f>IF(LEFT(J598,1)="E","EX",LEFT(J598,1))</f>
        <v>M</v>
      </c>
      <c r="S598" s="22" t="str">
        <f>_xlfn.XLOOKUP($R598,'[1]Career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598" s="22" t="str">
        <f>J598</f>
        <v>M2</v>
      </c>
      <c r="U598" s="40" t="str">
        <f t="shared" si="19"/>
        <v>M2</v>
      </c>
      <c r="V598" s="22" t="str">
        <f>_xlfn.XLOOKUP(T598,'[1]Career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598" s="41" t="str">
        <f>J598&amp;"-"&amp;G598</f>
        <v>M2-13</v>
      </c>
      <c r="X598" s="42" t="str">
        <f>G598</f>
        <v>13</v>
      </c>
      <c r="Y598" s="22" t="str">
        <f>_xlfn.XLOOKUP(W598,'[1]Career Bands &amp; Levels'!A:A,'[1]Career Bands &amp; Levels'!C:C,"No Grade Differentiator")</f>
        <v>●	Accountable for the budget, performance and results of a medium-sized team or multiple small teams of employees		
●	Exercises full management authority, including performance reviews, pay decisions, recruitment, discipline, termination and other personnel actions		
●	Addresses issues with impact beyond own team based on knowledge of related disciplines</v>
      </c>
      <c r="Z598" s="43" t="str">
        <f>IFERROR(O598&amp;" - "&amp;G598,"--")</f>
        <v>Manager Customer Service &amp; Support - 13</v>
      </c>
      <c r="AA598" s="44" t="str">
        <f>_xlfn.XLOOKUP($H598,'[1]SIG Qualifications Input'!$D:$D,'[1]SIG Qualifications Input'!$H:$H)</f>
        <v>University degree or equivalent and 7-10 years of work experience or equivalent
Experience in managing mixed-level team(s) of professionals and subordinate managers</v>
      </c>
    </row>
    <row r="599" spans="1:27" ht="183" thickBot="1" x14ac:dyDescent="0.2">
      <c r="A599" s="34" t="str">
        <f>_xlfn.XLOOKUP(C599,'[1]SIG Job Families &amp; Descriptions'!F:F,'[1]SIG Job Families &amp; Descriptions'!B:B)</f>
        <v>Supply Chain &amp; Logistics</v>
      </c>
      <c r="B599" s="34" t="str">
        <f>_xlfn.XLOOKUP(C599,'[1]SIG Job Families &amp; Descriptions'!F:F,'[1]SIG Job Families &amp; Descriptions'!D:D)</f>
        <v xml:space="preserve">Customer Service &amp; Support </v>
      </c>
      <c r="C599" s="34" t="s">
        <v>124</v>
      </c>
      <c r="D599" s="30" t="str">
        <f t="shared" si="18"/>
        <v>AMS</v>
      </c>
      <c r="E599" s="31" t="str">
        <f>_xlfn.XLOOKUP(C599,'[1]SIG Job Families &amp; Descriptions'!F:F,'[1]SIG Job Families &amp; Descriptions'!A:A)</f>
        <v>AMS000</v>
      </c>
      <c r="F599" s="32" t="s">
        <v>29</v>
      </c>
      <c r="G599" s="33" t="s">
        <v>34</v>
      </c>
      <c r="H599" s="34" t="str">
        <f>F599&amp;"-"&amp;G599</f>
        <v>Management-12</v>
      </c>
      <c r="I599" s="35" t="str">
        <f>IF(ISERROR(_xlfn.XLOOKUP(H599,'[1]SIG Level Structure'!D:D,'[1]SIG Level Structure'!D:D)),"0","1")</f>
        <v>1</v>
      </c>
      <c r="J599" s="36" t="str">
        <f>_xlfn.XLOOKUP($H599,'[1]SIG Level Structure'!$D:$D,'[1]SIG Level Structure'!F:F)</f>
        <v>M2</v>
      </c>
      <c r="K599" s="37" t="str">
        <f>E599&amp;"-"&amp;J599&amp;"-"&amp;G599</f>
        <v>AMS000-M2-12</v>
      </c>
      <c r="L599" s="37" t="str">
        <f>IFERROR(D599&amp;"-"&amp;LEFT(J599,1),"--")</f>
        <v>AMS-M</v>
      </c>
      <c r="M599" s="37" t="str">
        <f>VLOOKUP(L599,'[1]Compatible JC'!$A:$A,1,FALSE)</f>
        <v>AMS-M</v>
      </c>
      <c r="N599" s="37" t="str">
        <f>IFERROR(_xlfn.XLOOKUP(H599,'[1]SIG Level Structure'!D:D,'[1]SIG Level Structure'!C:C),"--")</f>
        <v>Manager</v>
      </c>
      <c r="O599" s="38" t="str">
        <f>IFERROR(TRIM(N599&amp;" "&amp;C599),"--")</f>
        <v>Manager Customer Service &amp; Support</v>
      </c>
      <c r="P599" s="22" t="str">
        <f>_xlfn.XLOOKUP(E599,'[1]SIG Job Families &amp; Descriptions'!A:A,'[1]SIG Job Families &amp; Descriptions'!G:G)</f>
        <v>Contains activities referring to order management and customer support to ensure smooth processes taking into account the needs of external stakeholders.
Provides new and existing customers with the best possible service in relation to service requests, suggestions and complaints. Resolves customer inquiries and complaints fairly and effectively. Recommends and implements programs to support customer needs. Handles customer orders and continously improve order management processes and automation.</v>
      </c>
      <c r="Q599" s="39" t="str">
        <f>_xlfn.XLOOKUP(E599,'[1]2022 GI Position Descriptions'!E:E,'[1]2022 GI Position Descriptions'!G:G)</f>
        <v>Provides new and existing customers with the best possible service in relation to billing inquiries, service requests, suggestions and complaints | Resolves customer inquiries and complaints fairly and effectively | Provides product and service information to customers and identifies upselling opportunities to maintain and increase income streams from customer relationships | Recommends and implements programs to support customer needs | Responsibilities are within the Customer Support/Operations Function as a generalist or in a combination of Disciplines</v>
      </c>
      <c r="R599" s="22" t="str">
        <f>IF(LEFT(J599,1)="E","EX",LEFT(J599,1))</f>
        <v>M</v>
      </c>
      <c r="S599" s="22" t="str">
        <f>_xlfn.XLOOKUP($R599,'[1]Career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599" s="22" t="str">
        <f>J599</f>
        <v>M2</v>
      </c>
      <c r="U599" s="40" t="str">
        <f t="shared" si="19"/>
        <v>M2</v>
      </c>
      <c r="V599" s="22" t="str">
        <f>_xlfn.XLOOKUP(T599,'[1]Career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599" s="41" t="str">
        <f>J599&amp;"-"&amp;G599</f>
        <v>M2-12</v>
      </c>
      <c r="X599" s="42" t="str">
        <f>G599</f>
        <v>12</v>
      </c>
      <c r="Y599" s="22" t="str">
        <f>_xlfn.XLOOKUP(W599,'[1]Career Bands &amp; Levels'!A:A,'[1]Career Bands &amp; Levels'!C:C,"No Grade Differentiator")</f>
        <v xml:space="preserve">●	Accountable for results of a small team of employees		
●	Exercises limited management authority; sets employee performance objectives, conducts performance reviews and recommends pay actions		
●	Defines team operating standards and ensures essential procedures are followed based on knowledge of own discipline		</v>
      </c>
      <c r="Z599" s="43" t="str">
        <f>IFERROR(O599&amp;" - "&amp;G599,"--")</f>
        <v>Manager Customer Service &amp; Support - 12</v>
      </c>
      <c r="AA599" s="44" t="str">
        <f>_xlfn.XLOOKUP($H599,'[1]SIG Qualifications Input'!$D:$D,'[1]SIG Qualifications Input'!$H:$H)</f>
        <v>University degree or equivalent and 7-10 years of work experience or equivalent
Experience in managing mixed-level team(s) of professionals and subordinate managers</v>
      </c>
    </row>
    <row r="600" spans="1:27" ht="183" thickBot="1" x14ac:dyDescent="0.2">
      <c r="A600" s="34" t="str">
        <f>_xlfn.XLOOKUP(C600,'[1]SIG Job Families &amp; Descriptions'!F:F,'[1]SIG Job Families &amp; Descriptions'!B:B)</f>
        <v>Supply Chain &amp; Logistics</v>
      </c>
      <c r="B600" s="34" t="str">
        <f>_xlfn.XLOOKUP(C600,'[1]SIG Job Families &amp; Descriptions'!F:F,'[1]SIG Job Families &amp; Descriptions'!D:D)</f>
        <v xml:space="preserve">Customer Service &amp; Support </v>
      </c>
      <c r="C600" s="34" t="s">
        <v>124</v>
      </c>
      <c r="D600" s="30" t="str">
        <f t="shared" si="18"/>
        <v>AMS</v>
      </c>
      <c r="E600" s="31" t="str">
        <f>_xlfn.XLOOKUP(C600,'[1]SIG Job Families &amp; Descriptions'!F:F,'[1]SIG Job Families &amp; Descriptions'!A:A)</f>
        <v>AMS000</v>
      </c>
      <c r="F600" s="32" t="s">
        <v>29</v>
      </c>
      <c r="G600" s="33" t="s">
        <v>35</v>
      </c>
      <c r="H600" s="34" t="str">
        <f>F600&amp;"-"&amp;G600</f>
        <v>Management-11</v>
      </c>
      <c r="I600" s="35" t="str">
        <f>IF(ISERROR(_xlfn.XLOOKUP(H600,'[1]SIG Level Structure'!D:D,'[1]SIG Level Structure'!D:D)),"0","1")</f>
        <v>1</v>
      </c>
      <c r="J600" s="36" t="str">
        <f>_xlfn.XLOOKUP($H600,'[1]SIG Level Structure'!$D:$D,'[1]SIG Level Structure'!F:F)</f>
        <v>M1</v>
      </c>
      <c r="K600" s="37" t="str">
        <f>E600&amp;"-"&amp;J600&amp;"-"&amp;G600</f>
        <v>AMS000-M1-11</v>
      </c>
      <c r="L600" s="37" t="str">
        <f>IFERROR(D600&amp;"-"&amp;LEFT(J600,1),"--")</f>
        <v>AMS-M</v>
      </c>
      <c r="M600" s="37" t="str">
        <f>VLOOKUP(L600,'[1]Compatible JC'!$A:$A,1,FALSE)</f>
        <v>AMS-M</v>
      </c>
      <c r="N600" s="37" t="str">
        <f>IFERROR(_xlfn.XLOOKUP(H600,'[1]SIG Level Structure'!D:D,'[1]SIG Level Structure'!C:C),"--")</f>
        <v>Supervisor</v>
      </c>
      <c r="O600" s="38" t="str">
        <f>IFERROR(TRIM(N600&amp;" "&amp;C600),"--")</f>
        <v>Supervisor Customer Service &amp; Support</v>
      </c>
      <c r="P600" s="22" t="str">
        <f>_xlfn.XLOOKUP(E600,'[1]SIG Job Families &amp; Descriptions'!A:A,'[1]SIG Job Families &amp; Descriptions'!G:G)</f>
        <v>Contains activities referring to order management and customer support to ensure smooth processes taking into account the needs of external stakeholders.
Provides new and existing customers with the best possible service in relation to service requests, suggestions and complaints. Resolves customer inquiries and complaints fairly and effectively. Recommends and implements programs to support customer needs. Handles customer orders and continously improve order management processes and automation.</v>
      </c>
      <c r="Q600" s="39" t="str">
        <f>_xlfn.XLOOKUP(E600,'[1]2022 GI Position Descriptions'!E:E,'[1]2022 GI Position Descriptions'!G:G)</f>
        <v>Provides new and existing customers with the best possible service in relation to billing inquiries, service requests, suggestions and complaints | Resolves customer inquiries and complaints fairly and effectively | Provides product and service information to customers and identifies upselling opportunities to maintain and increase income streams from customer relationships | Recommends and implements programs to support customer needs | Responsibilities are within the Customer Support/Operations Function as a generalist or in a combination of Disciplines</v>
      </c>
      <c r="R600" s="22" t="str">
        <f>IF(LEFT(J600,1)="E","EX",LEFT(J600,1))</f>
        <v>M</v>
      </c>
      <c r="S600" s="22" t="str">
        <f>_xlfn.XLOOKUP($R600,'[1]Career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600" s="22" t="str">
        <f>J600</f>
        <v>M1</v>
      </c>
      <c r="U600" s="40" t="str">
        <f t="shared" si="19"/>
        <v>M1</v>
      </c>
      <c r="V600" s="22" t="str">
        <f>_xlfn.XLOOKUP(T600,'[1]Career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600" s="41" t="str">
        <f>J600&amp;"-"&amp;G600</f>
        <v>M1-11</v>
      </c>
      <c r="X600" s="42" t="str">
        <f>G600</f>
        <v>11</v>
      </c>
      <c r="Y600" s="22" t="str">
        <f>_xlfn.XLOOKUP(W600,'[1]Career Bands &amp; Levels'!A:A,'[1]Career Bands &amp; Levels'!C:C,"No Grade Differentiator")</f>
        <v xml:space="preserve">●	Accountable for the results of a large and/or moderately complex support or production operations team including subordinate work leaders		
●	Applies acquired expertise to analyze and solve problems without clear precedent		
●	Provides input on resource planning and policy development		
●	Coaches team members on performance, completes employee performance evaluations and recommends pay actions		</v>
      </c>
      <c r="Z600" s="43" t="str">
        <f>IFERROR(O600&amp;" - "&amp;G600,"--")</f>
        <v>Supervisor Customer Service &amp; Support - 11</v>
      </c>
      <c r="AA600" s="44" t="str">
        <f>_xlfn.XLOOKUP($H600,'[1]SIG Qualifications Input'!$D:$D,'[1]SIG Qualifications Input'!$H:$H)</f>
        <v>University degree or equivalent and 5-7 years of work experience or equivalent
Experienced in application of management techniques
Experience in operationally managing a mixed-level team</v>
      </c>
    </row>
    <row r="601" spans="1:27" ht="183" thickBot="1" x14ac:dyDescent="0.2">
      <c r="A601" s="34" t="str">
        <f>_xlfn.XLOOKUP(C601,'[1]SIG Job Families &amp; Descriptions'!F:F,'[1]SIG Job Families &amp; Descriptions'!B:B)</f>
        <v>Supply Chain &amp; Logistics</v>
      </c>
      <c r="B601" s="34" t="str">
        <f>_xlfn.XLOOKUP(C601,'[1]SIG Job Families &amp; Descriptions'!F:F,'[1]SIG Job Families &amp; Descriptions'!D:D)</f>
        <v xml:space="preserve">Customer Service &amp; Support </v>
      </c>
      <c r="C601" s="34" t="s">
        <v>124</v>
      </c>
      <c r="D601" s="30" t="str">
        <f t="shared" si="18"/>
        <v>AMS</v>
      </c>
      <c r="E601" s="31" t="str">
        <f>_xlfn.XLOOKUP(C601,'[1]SIG Job Families &amp; Descriptions'!F:F,'[1]SIG Job Families &amp; Descriptions'!A:A)</f>
        <v>AMS000</v>
      </c>
      <c r="F601" s="32" t="s">
        <v>29</v>
      </c>
      <c r="G601" s="33" t="s">
        <v>36</v>
      </c>
      <c r="H601" s="34" t="str">
        <f>F601&amp;"-"&amp;G601</f>
        <v>Management-10</v>
      </c>
      <c r="I601" s="35" t="str">
        <f>IF(ISERROR(_xlfn.XLOOKUP(H601,'[1]SIG Level Structure'!D:D,'[1]SIG Level Structure'!D:D)),"0","1")</f>
        <v>1</v>
      </c>
      <c r="J601" s="36" t="str">
        <f>_xlfn.XLOOKUP($H601,'[1]SIG Level Structure'!$D:$D,'[1]SIG Level Structure'!F:F)</f>
        <v>M1</v>
      </c>
      <c r="K601" s="37" t="str">
        <f>E601&amp;"-"&amp;J601&amp;"-"&amp;G601</f>
        <v>AMS000-M1-10</v>
      </c>
      <c r="L601" s="37" t="str">
        <f>IFERROR(D601&amp;"-"&amp;LEFT(J601,1),"--")</f>
        <v>AMS-M</v>
      </c>
      <c r="M601" s="37" t="str">
        <f>VLOOKUP(L601,'[1]Compatible JC'!$A:$A,1,FALSE)</f>
        <v>AMS-M</v>
      </c>
      <c r="N601" s="37" t="str">
        <f>IFERROR(_xlfn.XLOOKUP(H601,'[1]SIG Level Structure'!D:D,'[1]SIG Level Structure'!C:C),"--")</f>
        <v>Supervisor</v>
      </c>
      <c r="O601" s="38" t="str">
        <f>IFERROR(TRIM(N601&amp;" "&amp;C601),"--")</f>
        <v>Supervisor Customer Service &amp; Support</v>
      </c>
      <c r="P601" s="22" t="str">
        <f>_xlfn.XLOOKUP(E601,'[1]SIG Job Families &amp; Descriptions'!A:A,'[1]SIG Job Families &amp; Descriptions'!G:G)</f>
        <v>Contains activities referring to order management and customer support to ensure smooth processes taking into account the needs of external stakeholders.
Provides new and existing customers with the best possible service in relation to service requests, suggestions and complaints. Resolves customer inquiries and complaints fairly and effectively. Recommends and implements programs to support customer needs. Handles customer orders and continously improve order management processes and automation.</v>
      </c>
      <c r="Q601" s="39" t="str">
        <f>_xlfn.XLOOKUP(E601,'[1]2022 GI Position Descriptions'!E:E,'[1]2022 GI Position Descriptions'!G:G)</f>
        <v>Provides new and existing customers with the best possible service in relation to billing inquiries, service requests, suggestions and complaints | Resolves customer inquiries and complaints fairly and effectively | Provides product and service information to customers and identifies upselling opportunities to maintain and increase income streams from customer relationships | Recommends and implements programs to support customer needs | Responsibilities are within the Customer Support/Operations Function as a generalist or in a combination of Disciplines</v>
      </c>
      <c r="R601" s="22" t="str">
        <f>IF(LEFT(J601,1)="E","EX",LEFT(J601,1))</f>
        <v>M</v>
      </c>
      <c r="S601" s="22" t="str">
        <f>_xlfn.XLOOKUP($R601,'[1]Career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601" s="22" t="str">
        <f>J601</f>
        <v>M1</v>
      </c>
      <c r="U601" s="40" t="str">
        <f t="shared" si="19"/>
        <v>M1</v>
      </c>
      <c r="V601" s="22" t="str">
        <f>_xlfn.XLOOKUP(T601,'[1]Career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601" s="41" t="str">
        <f>J601&amp;"-"&amp;G601</f>
        <v>M1-10</v>
      </c>
      <c r="X601" s="42" t="str">
        <f>G601</f>
        <v>10</v>
      </c>
      <c r="Y601" s="22" t="str">
        <f>_xlfn.XLOOKUP(W601,'[1]Career Bands &amp; Levels'!A:A,'[1]Career Bands &amp; Levels'!C:C,"No Grade Differentiator")</f>
        <v xml:space="preserve">●	Accountable for the results of medium-sized routine support or production operations teams		
●	Solves problems based on practice and precedent		
●	Trains team members and provides input to employee performance evaluations		</v>
      </c>
      <c r="Z601" s="43" t="str">
        <f>IFERROR(O601&amp;" - "&amp;G601,"--")</f>
        <v>Supervisor Customer Service &amp; Support - 10</v>
      </c>
      <c r="AA601" s="44" t="str">
        <f>_xlfn.XLOOKUP($H601,'[1]SIG Qualifications Input'!$D:$D,'[1]SIG Qualifications Input'!$H:$H)</f>
        <v>University degree or equivalent and 5-7 years of work experience or equivalent
Experienced in application of management techniques
Experience in operationally managing a mixed-level team</v>
      </c>
    </row>
    <row r="602" spans="1:27" ht="169" thickBot="1" x14ac:dyDescent="0.2">
      <c r="A602" s="34" t="str">
        <f>_xlfn.XLOOKUP(C602,'[1]SIG Job Families &amp; Descriptions'!F:F,'[1]SIG Job Families &amp; Descriptions'!B:B)</f>
        <v>Supply Chain &amp; Logistics</v>
      </c>
      <c r="B602" s="34" t="str">
        <f>_xlfn.XLOOKUP(C602,'[1]SIG Job Families &amp; Descriptions'!F:F,'[1]SIG Job Families &amp; Descriptions'!D:D)</f>
        <v xml:space="preserve">Customer Service &amp; Support </v>
      </c>
      <c r="C602" s="34" t="s">
        <v>124</v>
      </c>
      <c r="D602" s="30" t="str">
        <f t="shared" si="18"/>
        <v>AMS</v>
      </c>
      <c r="E602" s="31" t="str">
        <f>_xlfn.XLOOKUP(C602,'[1]SIG Job Families &amp; Descriptions'!F:F,'[1]SIG Job Families &amp; Descriptions'!A:A)</f>
        <v>AMS000</v>
      </c>
      <c r="F602" s="32" t="s">
        <v>32</v>
      </c>
      <c r="G602" s="33" t="s">
        <v>34</v>
      </c>
      <c r="H602" s="34" t="str">
        <f>F602&amp;"-"&amp;G602</f>
        <v>Professional-12</v>
      </c>
      <c r="I602" s="35" t="str">
        <f>IF(ISERROR(_xlfn.XLOOKUP(H602,'[1]SIG Level Structure'!D:D,'[1]SIG Level Structure'!D:D)),"0","1")</f>
        <v>1</v>
      </c>
      <c r="J602" s="36" t="str">
        <f>_xlfn.XLOOKUP($H602,'[1]SIG Level Structure'!$D:$D,'[1]SIG Level Structure'!F:F)</f>
        <v>P3</v>
      </c>
      <c r="K602" s="37" t="str">
        <f>E602&amp;"-"&amp;J602&amp;"-"&amp;G602</f>
        <v>AMS000-P3-12</v>
      </c>
      <c r="L602" s="37" t="str">
        <f>IFERROR(D602&amp;"-"&amp;LEFT(J602,1),"--")</f>
        <v>AMS-P</v>
      </c>
      <c r="M602" s="37" t="str">
        <f>VLOOKUP(L602,'[1]Compatible JC'!$A:$A,1,FALSE)</f>
        <v>AMS-P</v>
      </c>
      <c r="N602" s="37" t="str">
        <f>IFERROR(_xlfn.XLOOKUP(H602,'[1]SIG Level Structure'!D:D,'[1]SIG Level Structure'!C:C),"--")</f>
        <v>Expert</v>
      </c>
      <c r="O602" s="38" t="str">
        <f>IFERROR(TRIM(N602&amp;" "&amp;C602),"--")</f>
        <v>Expert Customer Service &amp; Support</v>
      </c>
      <c r="P602" s="22" t="str">
        <f>_xlfn.XLOOKUP(E602,'[1]SIG Job Families &amp; Descriptions'!A:A,'[1]SIG Job Families &amp; Descriptions'!G:G)</f>
        <v>Contains activities referring to order management and customer support to ensure smooth processes taking into account the needs of external stakeholders.
Provides new and existing customers with the best possible service in relation to service requests, suggestions and complaints. Resolves customer inquiries and complaints fairly and effectively. Recommends and implements programs to support customer needs. Handles customer orders and continously improve order management processes and automation.</v>
      </c>
      <c r="Q602" s="39" t="str">
        <f>_xlfn.XLOOKUP(E602,'[1]2022 GI Position Descriptions'!E:E,'[1]2022 GI Position Descriptions'!G:G)</f>
        <v>Provides new and existing customers with the best possible service in relation to billing inquiries, service requests, suggestions and complaints | Resolves customer inquiries and complaints fairly and effectively | Provides product and service information to customers and identifies upselling opportunities to maintain and increase income streams from customer relationships | Recommends and implements programs to support customer needs | Responsibilities are within the Customer Support/Operations Function as a generalist or in a combination of Disciplines</v>
      </c>
      <c r="R602" s="22" t="str">
        <f>IF(LEFT(J602,1)="E","EX",LEFT(J602,1))</f>
        <v>P</v>
      </c>
      <c r="S602" s="22" t="str">
        <f>_xlfn.XLOOKUP($R602,'[1]Career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602" s="22" t="str">
        <f>J602</f>
        <v>P3</v>
      </c>
      <c r="U602" s="40" t="str">
        <f t="shared" si="19"/>
        <v>P3</v>
      </c>
      <c r="V602" s="22" t="str">
        <f>_xlfn.XLOOKUP(T602,'[1]Career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602" s="41" t="str">
        <f>J602&amp;"-"&amp;G602</f>
        <v>P3-12</v>
      </c>
      <c r="X602" s="42" t="str">
        <f>G602</f>
        <v>12</v>
      </c>
      <c r="Y602" s="22" t="str">
        <f>_xlfn.XLOOKUP(W602,'[1]Career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602" s="43" t="str">
        <f>IFERROR(O602&amp;" - "&amp;G602,"--")</f>
        <v>Expert Customer Service &amp; Support - 12</v>
      </c>
      <c r="AA602" s="44" t="str">
        <f>_xlfn.XLOOKUP($H602,'[1]SIG Qualifications Input'!$D:$D,'[1]SIG Qualifications Input'!$H:$H)</f>
        <v>University degree or equivalent and 4-8 years of work experience or equivalent, 
Initial experience in functionally leading (sub-) projects</v>
      </c>
    </row>
    <row r="603" spans="1:27" ht="169" thickBot="1" x14ac:dyDescent="0.2">
      <c r="A603" s="34" t="str">
        <f>_xlfn.XLOOKUP(C603,'[1]SIG Job Families &amp; Descriptions'!F:F,'[1]SIG Job Families &amp; Descriptions'!B:B)</f>
        <v>Supply Chain &amp; Logistics</v>
      </c>
      <c r="B603" s="34" t="str">
        <f>_xlfn.XLOOKUP(C603,'[1]SIG Job Families &amp; Descriptions'!F:F,'[1]SIG Job Families &amp; Descriptions'!D:D)</f>
        <v xml:space="preserve">Customer Service &amp; Support </v>
      </c>
      <c r="C603" s="34" t="s">
        <v>124</v>
      </c>
      <c r="D603" s="30" t="str">
        <f t="shared" si="18"/>
        <v>AMS</v>
      </c>
      <c r="E603" s="31" t="str">
        <f>_xlfn.XLOOKUP(C603,'[1]SIG Job Families &amp; Descriptions'!F:F,'[1]SIG Job Families &amp; Descriptions'!A:A)</f>
        <v>AMS000</v>
      </c>
      <c r="F603" s="32" t="s">
        <v>32</v>
      </c>
      <c r="G603" s="33" t="s">
        <v>35</v>
      </c>
      <c r="H603" s="34" t="str">
        <f>F603&amp;"-"&amp;G603</f>
        <v>Professional-11</v>
      </c>
      <c r="I603" s="35" t="str">
        <f>IF(ISERROR(_xlfn.XLOOKUP(H603,'[1]SIG Level Structure'!D:D,'[1]SIG Level Structure'!D:D)),"0","1")</f>
        <v>1</v>
      </c>
      <c r="J603" s="36" t="str">
        <f>_xlfn.XLOOKUP($H603,'[1]SIG Level Structure'!$D:$D,'[1]SIG Level Structure'!F:F)</f>
        <v>P3</v>
      </c>
      <c r="K603" s="37" t="str">
        <f>E603&amp;"-"&amp;J603&amp;"-"&amp;G603</f>
        <v>AMS000-P3-11</v>
      </c>
      <c r="L603" s="37" t="str">
        <f>IFERROR(D603&amp;"-"&amp;LEFT(J603,1),"--")</f>
        <v>AMS-P</v>
      </c>
      <c r="M603" s="37" t="str">
        <f>VLOOKUP(L603,'[1]Compatible JC'!$A:$A,1,FALSE)</f>
        <v>AMS-P</v>
      </c>
      <c r="N603" s="37" t="str">
        <f>IFERROR(_xlfn.XLOOKUP(H603,'[1]SIG Level Structure'!D:D,'[1]SIG Level Structure'!C:C),"--")</f>
        <v>Expert</v>
      </c>
      <c r="O603" s="38" t="str">
        <f>IFERROR(TRIM(N603&amp;" "&amp;C603),"--")</f>
        <v>Expert Customer Service &amp; Support</v>
      </c>
      <c r="P603" s="22" t="str">
        <f>_xlfn.XLOOKUP(E603,'[1]SIG Job Families &amp; Descriptions'!A:A,'[1]SIG Job Families &amp; Descriptions'!G:G)</f>
        <v>Contains activities referring to order management and customer support to ensure smooth processes taking into account the needs of external stakeholders.
Provides new and existing customers with the best possible service in relation to service requests, suggestions and complaints. Resolves customer inquiries and complaints fairly and effectively. Recommends and implements programs to support customer needs. Handles customer orders and continously improve order management processes and automation.</v>
      </c>
      <c r="Q603" s="39" t="str">
        <f>_xlfn.XLOOKUP(E603,'[1]2022 GI Position Descriptions'!E:E,'[1]2022 GI Position Descriptions'!G:G)</f>
        <v>Provides new and existing customers with the best possible service in relation to billing inquiries, service requests, suggestions and complaints | Resolves customer inquiries and complaints fairly and effectively | Provides product and service information to customers and identifies upselling opportunities to maintain and increase income streams from customer relationships | Recommends and implements programs to support customer needs | Responsibilities are within the Customer Support/Operations Function as a generalist or in a combination of Disciplines</v>
      </c>
      <c r="R603" s="22" t="str">
        <f>IF(LEFT(J603,1)="E","EX",LEFT(J603,1))</f>
        <v>P</v>
      </c>
      <c r="S603" s="22" t="str">
        <f>_xlfn.XLOOKUP($R603,'[1]Career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603" s="22" t="str">
        <f>J603</f>
        <v>P3</v>
      </c>
      <c r="U603" s="40" t="str">
        <f t="shared" si="19"/>
        <v>P3</v>
      </c>
      <c r="V603" s="22" t="str">
        <f>_xlfn.XLOOKUP(T603,'[1]Career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603" s="41" t="str">
        <f>J603&amp;"-"&amp;G603</f>
        <v>P3-11</v>
      </c>
      <c r="X603" s="42" t="str">
        <f>G603</f>
        <v>11</v>
      </c>
      <c r="Y603" s="22" t="str">
        <f>_xlfn.XLOOKUP(W603,'[1]Career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603" s="43" t="str">
        <f>IFERROR(O603&amp;" - "&amp;G603,"--")</f>
        <v>Expert Customer Service &amp; Support - 11</v>
      </c>
      <c r="AA603" s="44" t="str">
        <f>_xlfn.XLOOKUP($H603,'[1]SIG Qualifications Input'!$D:$D,'[1]SIG Qualifications Input'!$H:$H)</f>
        <v>University degree or equivalent and 4-8 years of work experience or equivalent, 
Initial experience in functionally leading (sub-) projects</v>
      </c>
    </row>
    <row r="604" spans="1:27" ht="169" thickBot="1" x14ac:dyDescent="0.2">
      <c r="A604" s="34" t="str">
        <f>_xlfn.XLOOKUP(C604,'[1]SIG Job Families &amp; Descriptions'!F:F,'[1]SIG Job Families &amp; Descriptions'!B:B)</f>
        <v>Supply Chain &amp; Logistics</v>
      </c>
      <c r="B604" s="34" t="str">
        <f>_xlfn.XLOOKUP(C604,'[1]SIG Job Families &amp; Descriptions'!F:F,'[1]SIG Job Families &amp; Descriptions'!D:D)</f>
        <v xml:space="preserve">Customer Service &amp; Support </v>
      </c>
      <c r="C604" s="34" t="s">
        <v>124</v>
      </c>
      <c r="D604" s="30" t="str">
        <f t="shared" si="18"/>
        <v>AMS</v>
      </c>
      <c r="E604" s="31" t="str">
        <f>_xlfn.XLOOKUP(C604,'[1]SIG Job Families &amp; Descriptions'!F:F,'[1]SIG Job Families &amp; Descriptions'!A:A)</f>
        <v>AMS000</v>
      </c>
      <c r="F604" s="32" t="s">
        <v>32</v>
      </c>
      <c r="G604" s="33" t="s">
        <v>36</v>
      </c>
      <c r="H604" s="34" t="str">
        <f>F604&amp;"-"&amp;G604</f>
        <v>Professional-10</v>
      </c>
      <c r="I604" s="35" t="str">
        <f>IF(ISERROR(_xlfn.XLOOKUP(H604,'[1]SIG Level Structure'!D:D,'[1]SIG Level Structure'!D:D)),"0","1")</f>
        <v>1</v>
      </c>
      <c r="J604" s="36" t="str">
        <f>_xlfn.XLOOKUP($H604,'[1]SIG Level Structure'!$D:$D,'[1]SIG Level Structure'!F:F)</f>
        <v>P2</v>
      </c>
      <c r="K604" s="37" t="str">
        <f>E604&amp;"-"&amp;J604&amp;"-"&amp;G604</f>
        <v>AMS000-P2-10</v>
      </c>
      <c r="L604" s="37" t="str">
        <f>IFERROR(D604&amp;"-"&amp;LEFT(J604,1),"--")</f>
        <v>AMS-P</v>
      </c>
      <c r="M604" s="37" t="str">
        <f>VLOOKUP(L604,'[1]Compatible JC'!$A:$A,1,FALSE)</f>
        <v>AMS-P</v>
      </c>
      <c r="N604" s="37" t="str">
        <f>IFERROR(_xlfn.XLOOKUP(H604,'[1]SIG Level Structure'!D:D,'[1]SIG Level Structure'!C:C),"--")</f>
        <v>Senior Specialist</v>
      </c>
      <c r="O604" s="38" t="str">
        <f>IFERROR(TRIM(N604&amp;" "&amp;C604),"--")</f>
        <v>Senior Specialist Customer Service &amp; Support</v>
      </c>
      <c r="P604" s="22" t="str">
        <f>_xlfn.XLOOKUP(E604,'[1]SIG Job Families &amp; Descriptions'!A:A,'[1]SIG Job Families &amp; Descriptions'!G:G)</f>
        <v>Contains activities referring to order management and customer support to ensure smooth processes taking into account the needs of external stakeholders.
Provides new and existing customers with the best possible service in relation to service requests, suggestions and complaints. Resolves customer inquiries and complaints fairly and effectively. Recommends and implements programs to support customer needs. Handles customer orders and continously improve order management processes and automation.</v>
      </c>
      <c r="Q604" s="39" t="str">
        <f>_xlfn.XLOOKUP(E604,'[1]2022 GI Position Descriptions'!E:E,'[1]2022 GI Position Descriptions'!G:G)</f>
        <v>Provides new and existing customers with the best possible service in relation to billing inquiries, service requests, suggestions and complaints | Resolves customer inquiries and complaints fairly and effectively | Provides product and service information to customers and identifies upselling opportunities to maintain and increase income streams from customer relationships | Recommends and implements programs to support customer needs | Responsibilities are within the Customer Support/Operations Function as a generalist or in a combination of Disciplines</v>
      </c>
      <c r="R604" s="22" t="str">
        <f>IF(LEFT(J604,1)="E","EX",LEFT(J604,1))</f>
        <v>P</v>
      </c>
      <c r="S604" s="22" t="str">
        <f>_xlfn.XLOOKUP($R604,'[1]Career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604" s="22" t="str">
        <f>J604</f>
        <v>P2</v>
      </c>
      <c r="U604" s="40" t="str">
        <f t="shared" si="19"/>
        <v>P2</v>
      </c>
      <c r="V604" s="22" t="str">
        <f>_xlfn.XLOOKUP(T604,'[1]Career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604" s="41" t="str">
        <f>J604&amp;"-"&amp;G604</f>
        <v>P2-10</v>
      </c>
      <c r="X604" s="42" t="str">
        <f>G604</f>
        <v>10</v>
      </c>
      <c r="Y604" s="22" t="str">
        <f>_xlfn.XLOOKUP(W604,'[1]Career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604" s="43" t="str">
        <f>IFERROR(O604&amp;" - "&amp;G604,"--")</f>
        <v>Senior Specialist Customer Service &amp; Support - 10</v>
      </c>
      <c r="AA604" s="44" t="str">
        <f>_xlfn.XLOOKUP($H604,'[1]SIG Qualifications Input'!$D:$D,'[1]SIG Qualifications Input'!$H:$H)</f>
        <v>University degree or equivalent and 2-4 years of work experience or equivalent</v>
      </c>
    </row>
    <row r="605" spans="1:27" ht="169" thickBot="1" x14ac:dyDescent="0.2">
      <c r="A605" s="34" t="str">
        <f>_xlfn.XLOOKUP(C605,'[1]SIG Job Families &amp; Descriptions'!F:F,'[1]SIG Job Families &amp; Descriptions'!B:B)</f>
        <v>Supply Chain &amp; Logistics</v>
      </c>
      <c r="B605" s="34" t="str">
        <f>_xlfn.XLOOKUP(C605,'[1]SIG Job Families &amp; Descriptions'!F:F,'[1]SIG Job Families &amp; Descriptions'!D:D)</f>
        <v xml:space="preserve">Customer Service &amp; Support </v>
      </c>
      <c r="C605" s="34" t="s">
        <v>124</v>
      </c>
      <c r="D605" s="30" t="str">
        <f t="shared" si="18"/>
        <v>AMS</v>
      </c>
      <c r="E605" s="31" t="str">
        <f>_xlfn.XLOOKUP(C605,'[1]SIG Job Families &amp; Descriptions'!F:F,'[1]SIG Job Families &amp; Descriptions'!A:A)</f>
        <v>AMS000</v>
      </c>
      <c r="F605" s="32" t="s">
        <v>32</v>
      </c>
      <c r="G605" s="33" t="s">
        <v>37</v>
      </c>
      <c r="H605" s="34" t="str">
        <f>F605&amp;"-"&amp;G605</f>
        <v>Professional-09</v>
      </c>
      <c r="I605" s="35" t="str">
        <f>IF(ISERROR(_xlfn.XLOOKUP(H605,'[1]SIG Level Structure'!D:D,'[1]SIG Level Structure'!D:D)),"0","1")</f>
        <v>1</v>
      </c>
      <c r="J605" s="36" t="str">
        <f>_xlfn.XLOOKUP($H605,'[1]SIG Level Structure'!$D:$D,'[1]SIG Level Structure'!F:F)</f>
        <v>P2</v>
      </c>
      <c r="K605" s="37" t="str">
        <f>E605&amp;"-"&amp;J605&amp;"-"&amp;G605</f>
        <v>AMS000-P2-09</v>
      </c>
      <c r="L605" s="37" t="str">
        <f>IFERROR(D605&amp;"-"&amp;LEFT(J605,1),"--")</f>
        <v>AMS-P</v>
      </c>
      <c r="M605" s="37" t="str">
        <f>VLOOKUP(L605,'[1]Compatible JC'!$A:$A,1,FALSE)</f>
        <v>AMS-P</v>
      </c>
      <c r="N605" s="37" t="str">
        <f>IFERROR(_xlfn.XLOOKUP(H605,'[1]SIG Level Structure'!D:D,'[1]SIG Level Structure'!C:C),"--")</f>
        <v>Senior Specialist</v>
      </c>
      <c r="O605" s="38" t="str">
        <f>IFERROR(TRIM(N605&amp;" "&amp;C605),"--")</f>
        <v>Senior Specialist Customer Service &amp; Support</v>
      </c>
      <c r="P605" s="22" t="str">
        <f>_xlfn.XLOOKUP(E605,'[1]SIG Job Families &amp; Descriptions'!A:A,'[1]SIG Job Families &amp; Descriptions'!G:G)</f>
        <v>Contains activities referring to order management and customer support to ensure smooth processes taking into account the needs of external stakeholders.
Provides new and existing customers with the best possible service in relation to service requests, suggestions and complaints. Resolves customer inquiries and complaints fairly and effectively. Recommends and implements programs to support customer needs. Handles customer orders and continously improve order management processes and automation.</v>
      </c>
      <c r="Q605" s="39" t="str">
        <f>_xlfn.XLOOKUP(E605,'[1]2022 GI Position Descriptions'!E:E,'[1]2022 GI Position Descriptions'!G:G)</f>
        <v>Provides new and existing customers with the best possible service in relation to billing inquiries, service requests, suggestions and complaints | Resolves customer inquiries and complaints fairly and effectively | Provides product and service information to customers and identifies upselling opportunities to maintain and increase income streams from customer relationships | Recommends and implements programs to support customer needs | Responsibilities are within the Customer Support/Operations Function as a generalist or in a combination of Disciplines</v>
      </c>
      <c r="R605" s="22" t="str">
        <f>IF(LEFT(J605,1)="E","EX",LEFT(J605,1))</f>
        <v>P</v>
      </c>
      <c r="S605" s="22" t="str">
        <f>_xlfn.XLOOKUP($R605,'[1]Career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605" s="22" t="str">
        <f>J605</f>
        <v>P2</v>
      </c>
      <c r="U605" s="40" t="str">
        <f t="shared" si="19"/>
        <v>P2</v>
      </c>
      <c r="V605" s="22" t="str">
        <f>_xlfn.XLOOKUP(T605,'[1]Career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605" s="41" t="str">
        <f>J605&amp;"-"&amp;G605</f>
        <v>P2-09</v>
      </c>
      <c r="X605" s="42" t="str">
        <f>G605</f>
        <v>09</v>
      </c>
      <c r="Y605" s="22" t="str">
        <f>_xlfn.XLOOKUP(W605,'[1]Career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605" s="43" t="str">
        <f>IFERROR(O605&amp;" - "&amp;G605,"--")</f>
        <v>Senior Specialist Customer Service &amp; Support - 09</v>
      </c>
      <c r="AA605" s="44" t="str">
        <f>_xlfn.XLOOKUP($H605,'[1]SIG Qualifications Input'!$D:$D,'[1]SIG Qualifications Input'!$H:$H)</f>
        <v>University degree or equivalent and 2-4 years of work experience or equivalent</v>
      </c>
    </row>
    <row r="606" spans="1:27" ht="169" thickBot="1" x14ac:dyDescent="0.2">
      <c r="A606" s="34" t="str">
        <f>_xlfn.XLOOKUP(C606,'[1]SIG Job Families &amp; Descriptions'!F:F,'[1]SIG Job Families &amp; Descriptions'!B:B)</f>
        <v>Supply Chain &amp; Logistics</v>
      </c>
      <c r="B606" s="34" t="str">
        <f>_xlfn.XLOOKUP(C606,'[1]SIG Job Families &amp; Descriptions'!F:F,'[1]SIG Job Families &amp; Descriptions'!D:D)</f>
        <v xml:space="preserve">Customer Service &amp; Support </v>
      </c>
      <c r="C606" s="34" t="s">
        <v>124</v>
      </c>
      <c r="D606" s="30" t="str">
        <f t="shared" si="18"/>
        <v>AMS</v>
      </c>
      <c r="E606" s="31" t="str">
        <f>_xlfn.XLOOKUP(C606,'[1]SIG Job Families &amp; Descriptions'!F:F,'[1]SIG Job Families &amp; Descriptions'!A:A)</f>
        <v>AMS000</v>
      </c>
      <c r="F606" s="32" t="s">
        <v>32</v>
      </c>
      <c r="G606" s="33" t="s">
        <v>43</v>
      </c>
      <c r="H606" s="34" t="str">
        <f>F606&amp;"-"&amp;G606</f>
        <v>Professional-08</v>
      </c>
      <c r="I606" s="35" t="str">
        <f>IF(ISERROR(_xlfn.XLOOKUP(H606,'[1]SIG Level Structure'!D:D,'[1]SIG Level Structure'!D:D)),"0","1")</f>
        <v>1</v>
      </c>
      <c r="J606" s="36" t="str">
        <f>_xlfn.XLOOKUP($H606,'[1]SIG Level Structure'!$D:$D,'[1]SIG Level Structure'!F:F)</f>
        <v>P1</v>
      </c>
      <c r="K606" s="37" t="str">
        <f>E606&amp;"-"&amp;J606&amp;"-"&amp;G606</f>
        <v>AMS000-P1-08</v>
      </c>
      <c r="L606" s="37" t="str">
        <f>IFERROR(D606&amp;"-"&amp;LEFT(J606,1),"--")</f>
        <v>AMS-P</v>
      </c>
      <c r="M606" s="37" t="str">
        <f>VLOOKUP(L606,'[1]Compatible JC'!$A:$A,1,FALSE)</f>
        <v>AMS-P</v>
      </c>
      <c r="N606" s="37" t="str">
        <f>IFERROR(_xlfn.XLOOKUP(H606,'[1]SIG Level Structure'!D:D,'[1]SIG Level Structure'!C:C),"--")</f>
        <v>Specialist</v>
      </c>
      <c r="O606" s="38" t="str">
        <f>IFERROR(TRIM(N606&amp;" "&amp;C606),"--")</f>
        <v>Specialist Customer Service &amp; Support</v>
      </c>
      <c r="P606" s="22" t="str">
        <f>_xlfn.XLOOKUP(E606,'[1]SIG Job Families &amp; Descriptions'!A:A,'[1]SIG Job Families &amp; Descriptions'!G:G)</f>
        <v>Contains activities referring to order management and customer support to ensure smooth processes taking into account the needs of external stakeholders.
Provides new and existing customers with the best possible service in relation to service requests, suggestions and complaints. Resolves customer inquiries and complaints fairly and effectively. Recommends and implements programs to support customer needs. Handles customer orders and continously improve order management processes and automation.</v>
      </c>
      <c r="Q606" s="39" t="str">
        <f>_xlfn.XLOOKUP(E606,'[1]2022 GI Position Descriptions'!E:E,'[1]2022 GI Position Descriptions'!G:G)</f>
        <v>Provides new and existing customers with the best possible service in relation to billing inquiries, service requests, suggestions and complaints | Resolves customer inquiries and complaints fairly and effectively | Provides product and service information to customers and identifies upselling opportunities to maintain and increase income streams from customer relationships | Recommends and implements programs to support customer needs | Responsibilities are within the Customer Support/Operations Function as a generalist or in a combination of Disciplines</v>
      </c>
      <c r="R606" s="22" t="str">
        <f>IF(LEFT(J606,1)="E","EX",LEFT(J606,1))</f>
        <v>P</v>
      </c>
      <c r="S606" s="22" t="str">
        <f>_xlfn.XLOOKUP($R606,'[1]Career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606" s="22" t="str">
        <f>J606</f>
        <v>P1</v>
      </c>
      <c r="U606" s="40" t="str">
        <f t="shared" si="19"/>
        <v>P1</v>
      </c>
      <c r="V606" s="22" t="str">
        <f>_xlfn.XLOOKUP(T606,'[1]Career Bands &amp; Levels'!A:A,'[1]Career Bands &amp; Levels'!C:C)</f>
        <v xml:space="preserve">●	Performs routine assignments in the entry level of the Professional Career Band		
●	Typically requires a college or university degree or the equivalent work experience and has conceptual knowledge of fundamental theories, principles and practices 		
●	Has no discretion to vary from established procedures by performing structured work assignments		
●	Uses existing procedures to solve routine or standard problems		
●	Receives instruction, guidance and direction from more senior level roles		</v>
      </c>
      <c r="W606" s="41" t="str">
        <f>J606&amp;"-"&amp;G606</f>
        <v>P1-08</v>
      </c>
      <c r="X606" s="42" t="str">
        <f>G606</f>
        <v>08</v>
      </c>
      <c r="Y606" s="22" t="str">
        <f>_xlfn.XLOOKUP(W606,'[1]Career Bands &amp; Levels'!A:A,'[1]Career Bands &amp; Levels'!C:C,"No Grade Differentiator")</f>
        <v>No Grade Differentiator</v>
      </c>
      <c r="Z606" s="43" t="str">
        <f>IFERROR(O606&amp;" - "&amp;G606,"--")</f>
        <v>Specialist Customer Service &amp; Support - 08</v>
      </c>
      <c r="AA606" s="44" t="str">
        <f>_xlfn.XLOOKUP($H606,'[1]SIG Qualifications Input'!$D:$D,'[1]SIG Qualifications Input'!$H:$H)</f>
        <v>University degree or equivalent and 0-1 year of work experience or equivalent</v>
      </c>
    </row>
    <row r="607" spans="1:27" ht="169" thickBot="1" x14ac:dyDescent="0.2">
      <c r="A607" s="34" t="str">
        <f>_xlfn.XLOOKUP(C607,'[1]SIG Job Families &amp; Descriptions'!F:F,'[1]SIG Job Families &amp; Descriptions'!B:B)</f>
        <v>Supply Chain &amp; Logistics</v>
      </c>
      <c r="B607" s="34" t="str">
        <f>_xlfn.XLOOKUP(C607,'[1]SIG Job Families &amp; Descriptions'!F:F,'[1]SIG Job Families &amp; Descriptions'!D:D)</f>
        <v xml:space="preserve">Customer Service &amp; Support </v>
      </c>
      <c r="C607" s="34" t="s">
        <v>124</v>
      </c>
      <c r="D607" s="30" t="str">
        <f t="shared" si="18"/>
        <v>AMS</v>
      </c>
      <c r="E607" s="31" t="str">
        <f>_xlfn.XLOOKUP(C607,'[1]SIG Job Families &amp; Descriptions'!F:F,'[1]SIG Job Families &amp; Descriptions'!A:A)</f>
        <v>AMS000</v>
      </c>
      <c r="F607" s="32" t="s">
        <v>50</v>
      </c>
      <c r="G607" s="33" t="s">
        <v>37</v>
      </c>
      <c r="H607" s="34" t="str">
        <f>F607&amp;"-"&amp;G607</f>
        <v>Operations-09</v>
      </c>
      <c r="I607" s="35" t="str">
        <f>IF(ISERROR(_xlfn.XLOOKUP(H607,'[1]SIG Level Structure'!D:D,'[1]SIG Level Structure'!D:D)),"0","1")</f>
        <v>1</v>
      </c>
      <c r="J607" s="36" t="str">
        <f>_xlfn.XLOOKUP($H607,'[1]SIG Level Structure'!$D:$D,'[1]SIG Level Structure'!F:F)</f>
        <v>T4</v>
      </c>
      <c r="K607" s="37" t="str">
        <f>E607&amp;"-"&amp;J607&amp;"-"&amp;G607</f>
        <v>AMS000-T4-09</v>
      </c>
      <c r="L607" s="37" t="str">
        <f>IFERROR(D607&amp;"-"&amp;LEFT(J607,1),"--")</f>
        <v>AMS-T</v>
      </c>
      <c r="M607" s="37" t="e">
        <f>VLOOKUP(L607,'[1]Compatible JC'!$A:$A,1,FALSE)</f>
        <v>#N/A</v>
      </c>
      <c r="N607" s="37" t="str">
        <f>IFERROR(_xlfn.XLOOKUP(H607,'[1]SIG Level Structure'!D:D,'[1]SIG Level Structure'!C:C),"--")</f>
        <v>Technician</v>
      </c>
      <c r="O607" s="38" t="str">
        <f>IFERROR(TRIM(N607&amp;" "&amp;C607),"--")</f>
        <v>Technician Customer Service &amp; Support</v>
      </c>
      <c r="P607" s="22" t="str">
        <f>_xlfn.XLOOKUP(E607,'[1]SIG Job Families &amp; Descriptions'!A:A,'[1]SIG Job Families &amp; Descriptions'!G:G)</f>
        <v>Contains activities referring to order management and customer support to ensure smooth processes taking into account the needs of external stakeholders.
Provides new and existing customers with the best possible service in relation to service requests, suggestions and complaints. Resolves customer inquiries and complaints fairly and effectively. Recommends and implements programs to support customer needs. Handles customer orders and continously improve order management processes and automation.</v>
      </c>
      <c r="Q607" s="39" t="str">
        <f>_xlfn.XLOOKUP(E607,'[1]2022 GI Position Descriptions'!E:E,'[1]2022 GI Position Descriptions'!G:G)</f>
        <v>Provides new and existing customers with the best possible service in relation to billing inquiries, service requests, suggestions and complaints | Resolves customer inquiries and complaints fairly and effectively | Provides product and service information to customers and identifies upselling opportunities to maintain and increase income streams from customer relationships | Recommends and implements programs to support customer needs | Responsibilities are within the Customer Support/Operations Function as a generalist or in a combination of Disciplines</v>
      </c>
      <c r="R607" s="22" t="str">
        <f>IF(LEFT(J607,1)="E","EX",LEFT(J607,1))</f>
        <v>T</v>
      </c>
      <c r="S607" s="22" t="str">
        <f>_xlfn.XLOOKUP($R607,'[1]Career Bands &amp; Levels'!A:A,'[1]Career Bands &amp; Levels'!C:C)</f>
        <v>● Performs specialized technical tasks required to support operations (e.g., IT development, research support, skilled trade)
● Requires vocational training or the equivalent experience and may require external certification but typically does not require a university degree</v>
      </c>
      <c r="T607" s="22" t="str">
        <f>J607</f>
        <v>T4</v>
      </c>
      <c r="U607" s="40" t="str">
        <f t="shared" si="19"/>
        <v>T4</v>
      </c>
      <c r="V607" s="22" t="str">
        <f>_xlfn.XLOOKUP(T607,'[1]Career Bands &amp; Levels'!A:A,'[1]Career Bands &amp; Levels'!C:C)</f>
        <v xml:space="preserve">●	Has advanced and specialized expertise, typically developed through a combination of job-related training and considerable work experience		
●	Proposes improvements to processes		
●	May act as a lead, coordinating and facilitating the work of others but is not a supervisor		
●	Works autonomously within established procedures and practices		
●	Spends a majority of working time performing the same work processes and activities as employees on team		</v>
      </c>
      <c r="W607" s="41" t="str">
        <f>J607&amp;"-"&amp;G607</f>
        <v>T4-09</v>
      </c>
      <c r="X607" s="42" t="str">
        <f>G607</f>
        <v>09</v>
      </c>
      <c r="Y607" s="22" t="str">
        <f>_xlfn.XLOOKUP(W607,'[1]Career Bands &amp; Levels'!A:A,'[1]Career Bands &amp; Levels'!C:C,"No Grade Differentiator")</f>
        <v xml:space="preserve">●	Performs a variety of complex tasks and/or may lead a team in the performance of a variety of tasks that are often routine		
●	Solves complex problems of a recurring nature		</v>
      </c>
      <c r="Z607" s="43" t="str">
        <f>IFERROR(O607&amp;" - "&amp;G607,"--")</f>
        <v>Technician Customer Service &amp; Support - 09</v>
      </c>
      <c r="AA607" s="44" t="str">
        <f>_xlfn.XLOOKUP($H607,'[1]SIG Qualifications Input'!$D:$D,'[1]SIG Qualifications Input'!$H:$H)</f>
        <v>Typically an Associate’s degree or 2 to 4 years of vocational technical training preferred. HS diploma or equivalent required. Specialized skill training/certification often required to meet specific needs. Up to 8 years of experience.</v>
      </c>
    </row>
    <row r="608" spans="1:27" ht="169" thickBot="1" x14ac:dyDescent="0.2">
      <c r="A608" s="34" t="str">
        <f>_xlfn.XLOOKUP(C608,'[1]SIG Job Families &amp; Descriptions'!F:F,'[1]SIG Job Families &amp; Descriptions'!B:B)</f>
        <v>Supply Chain &amp; Logistics</v>
      </c>
      <c r="B608" s="34" t="str">
        <f>_xlfn.XLOOKUP(C608,'[1]SIG Job Families &amp; Descriptions'!F:F,'[1]SIG Job Families &amp; Descriptions'!D:D)</f>
        <v xml:space="preserve">Customer Service &amp; Support </v>
      </c>
      <c r="C608" s="34" t="s">
        <v>124</v>
      </c>
      <c r="D608" s="30" t="str">
        <f t="shared" si="18"/>
        <v>AMS</v>
      </c>
      <c r="E608" s="31" t="str">
        <f>_xlfn.XLOOKUP(C608,'[1]SIG Job Families &amp; Descriptions'!F:F,'[1]SIG Job Families &amp; Descriptions'!A:A)</f>
        <v>AMS000</v>
      </c>
      <c r="F608" s="32" t="s">
        <v>51</v>
      </c>
      <c r="G608" s="33" t="s">
        <v>43</v>
      </c>
      <c r="H608" s="34" t="str">
        <f>F608&amp;"-"&amp;G608</f>
        <v>Operations / Technician-08</v>
      </c>
      <c r="I608" s="35" t="str">
        <f>IF(ISERROR(_xlfn.XLOOKUP(H608,'[1]SIG Level Structure'!D:D,'[1]SIG Level Structure'!D:D)),"0","1")</f>
        <v>1</v>
      </c>
      <c r="J608" s="36" t="str">
        <f>_xlfn.XLOOKUP($H608,'[1]SIG Level Structure'!$D:$D,'[1]SIG Level Structure'!F:F)</f>
        <v>T3</v>
      </c>
      <c r="K608" s="37" t="str">
        <f>E608&amp;"-"&amp;J608&amp;"-"&amp;G608</f>
        <v>AMS000-T3-08</v>
      </c>
      <c r="L608" s="37" t="str">
        <f>IFERROR(D608&amp;"-"&amp;LEFT(J608,1),"--")</f>
        <v>AMS-T</v>
      </c>
      <c r="M608" s="37" t="e">
        <f>VLOOKUP(L608,'[1]Compatible JC'!$A:$A,1,FALSE)</f>
        <v>#N/A</v>
      </c>
      <c r="N608" s="37" t="str">
        <f>IFERROR(_xlfn.XLOOKUP(H608,'[1]SIG Level Structure'!D:D,'[1]SIG Level Structure'!C:C),"--")</f>
        <v>Technician</v>
      </c>
      <c r="O608" s="38" t="str">
        <f>IFERROR(TRIM(N608&amp;" "&amp;C608),"--")</f>
        <v>Technician Customer Service &amp; Support</v>
      </c>
      <c r="P608" s="22" t="str">
        <f>_xlfn.XLOOKUP(E608,'[1]SIG Job Families &amp; Descriptions'!A:A,'[1]SIG Job Families &amp; Descriptions'!G:G)</f>
        <v>Contains activities referring to order management and customer support to ensure smooth processes taking into account the needs of external stakeholders.
Provides new and existing customers with the best possible service in relation to service requests, suggestions and complaints. Resolves customer inquiries and complaints fairly and effectively. Recommends and implements programs to support customer needs. Handles customer orders and continously improve order management processes and automation.</v>
      </c>
      <c r="Q608" s="39" t="str">
        <f>_xlfn.XLOOKUP(E608,'[1]2022 GI Position Descriptions'!E:E,'[1]2022 GI Position Descriptions'!G:G)</f>
        <v>Provides new and existing customers with the best possible service in relation to billing inquiries, service requests, suggestions and complaints | Resolves customer inquiries and complaints fairly and effectively | Provides product and service information to customers and identifies upselling opportunities to maintain and increase income streams from customer relationships | Recommends and implements programs to support customer needs | Responsibilities are within the Customer Support/Operations Function as a generalist or in a combination of Disciplines</v>
      </c>
      <c r="R608" s="22" t="str">
        <f>IF(LEFT(J608,1)="E","EX",LEFT(J608,1))</f>
        <v>T</v>
      </c>
      <c r="S608" s="22" t="str">
        <f>_xlfn.XLOOKUP($R608,'[1]Career Bands &amp; Levels'!A:A,'[1]Career Bands &amp; Levels'!C:C)</f>
        <v>● Performs specialized technical tasks required to support operations (e.g., IT development, research support, skilled trade)
● Requires vocational training or the equivalent experience and may require external certification but typically does not require a university degree</v>
      </c>
      <c r="T608" s="22" t="str">
        <f>J608</f>
        <v>T3</v>
      </c>
      <c r="U608" s="40" t="str">
        <f t="shared" si="19"/>
        <v>T3</v>
      </c>
      <c r="V608" s="22" t="str">
        <f>_xlfn.XLOOKUP(T608,'[1]Career Bands &amp; Levels'!A:A,'[1]Career Bands &amp; Levels'!C:C)</f>
        <v xml:space="preserve">●	Has full proficiency in a range of technical processes or procedures (or deep skills in a single area) through job-related training and considerable work experience		
●	Completes a variety of atypical assignments		
●	Works within defined technical processes and procedures or methodologies and may help determine the appropriate approach for new assignments		
●	Works with a limited degree of supervision, with oversight focused only on complex new assignments		
●	Acts as an informal resource for colleagues with less experience		</v>
      </c>
      <c r="W608" s="41" t="str">
        <f>J608&amp;"-"&amp;G608</f>
        <v>T3-08</v>
      </c>
      <c r="X608" s="42" t="str">
        <f>G608</f>
        <v>08</v>
      </c>
      <c r="Y608" s="22" t="str">
        <f>_xlfn.XLOOKUP(W608,'[1]Career Bands &amp; Levels'!A:A,'[1]Career Bands &amp; Levels'!C:C,"No Grade Differentiator")</f>
        <v xml:space="preserve">●	Performs highly complex and varied tasks		
●	Typically has specialized external certification		
●	Guides and supports junior team members; may assist in their formal orientation and training		</v>
      </c>
      <c r="Z608" s="43" t="str">
        <f>IFERROR(O608&amp;" - "&amp;G608,"--")</f>
        <v>Technician Customer Service &amp; Support - 08</v>
      </c>
      <c r="AA608" s="44" t="str">
        <f>_xlfn.XLOOKUP($H608,'[1]SIG Qualifications Input'!$D:$D,'[1]SIG Qualifications Input'!$H:$H)</f>
        <v>Typically an Associate’s degree or 2 to 4 years of vocational technical training preferred. HS diploma or equivalent required. Specialized skill training/certification often required to meet specific needs. Up to 8 years of experience.</v>
      </c>
    </row>
    <row r="609" spans="1:27" ht="169" thickBot="1" x14ac:dyDescent="0.2">
      <c r="A609" s="34" t="str">
        <f>_xlfn.XLOOKUP(C609,'[1]SIG Job Families &amp; Descriptions'!F:F,'[1]SIG Job Families &amp; Descriptions'!B:B)</f>
        <v>Supply Chain &amp; Logistics</v>
      </c>
      <c r="B609" s="34" t="str">
        <f>_xlfn.XLOOKUP(C609,'[1]SIG Job Families &amp; Descriptions'!F:F,'[1]SIG Job Families &amp; Descriptions'!D:D)</f>
        <v xml:space="preserve">Customer Service &amp; Support </v>
      </c>
      <c r="C609" s="34" t="s">
        <v>124</v>
      </c>
      <c r="D609" s="30" t="str">
        <f t="shared" si="18"/>
        <v>AMS</v>
      </c>
      <c r="E609" s="31" t="str">
        <f>_xlfn.XLOOKUP(C609,'[1]SIG Job Families &amp; Descriptions'!F:F,'[1]SIG Job Families &amp; Descriptions'!A:A)</f>
        <v>AMS000</v>
      </c>
      <c r="F609" s="32" t="s">
        <v>51</v>
      </c>
      <c r="G609" s="33" t="s">
        <v>52</v>
      </c>
      <c r="H609" s="34" t="str">
        <f>F609&amp;"-"&amp;G609</f>
        <v>Operations / Technician-07</v>
      </c>
      <c r="I609" s="35" t="str">
        <f>IF(ISERROR(_xlfn.XLOOKUP(H609,'[1]SIG Level Structure'!D:D,'[1]SIG Level Structure'!D:D)),"0","1")</f>
        <v>1</v>
      </c>
      <c r="J609" s="36" t="str">
        <f>_xlfn.XLOOKUP($H609,'[1]SIG Level Structure'!$D:$D,'[1]SIG Level Structure'!F:F)</f>
        <v>T3</v>
      </c>
      <c r="K609" s="37" t="str">
        <f>E609&amp;"-"&amp;J609&amp;"-"&amp;G609</f>
        <v>AMS000-T3-07</v>
      </c>
      <c r="L609" s="37" t="str">
        <f>IFERROR(D609&amp;"-"&amp;LEFT(J609,1),"--")</f>
        <v>AMS-T</v>
      </c>
      <c r="M609" s="37" t="e">
        <f>VLOOKUP(L609,'[1]Compatible JC'!$A:$A,1,FALSE)</f>
        <v>#N/A</v>
      </c>
      <c r="N609" s="37" t="str">
        <f>IFERROR(_xlfn.XLOOKUP(H609,'[1]SIG Level Structure'!D:D,'[1]SIG Level Structure'!C:C),"--")</f>
        <v>Technician</v>
      </c>
      <c r="O609" s="38" t="str">
        <f>IFERROR(TRIM(N609&amp;" "&amp;C609),"--")</f>
        <v>Technician Customer Service &amp; Support</v>
      </c>
      <c r="P609" s="22" t="str">
        <f>_xlfn.XLOOKUP(E609,'[1]SIG Job Families &amp; Descriptions'!A:A,'[1]SIG Job Families &amp; Descriptions'!G:G)</f>
        <v>Contains activities referring to order management and customer support to ensure smooth processes taking into account the needs of external stakeholders.
Provides new and existing customers with the best possible service in relation to service requests, suggestions and complaints. Resolves customer inquiries and complaints fairly and effectively. Recommends and implements programs to support customer needs. Handles customer orders and continously improve order management processes and automation.</v>
      </c>
      <c r="Q609" s="39" t="str">
        <f>_xlfn.XLOOKUP(E609,'[1]2022 GI Position Descriptions'!E:E,'[1]2022 GI Position Descriptions'!G:G)</f>
        <v>Provides new and existing customers with the best possible service in relation to billing inquiries, service requests, suggestions and complaints | Resolves customer inquiries and complaints fairly and effectively | Provides product and service information to customers and identifies upselling opportunities to maintain and increase income streams from customer relationships | Recommends and implements programs to support customer needs | Responsibilities are within the Customer Support/Operations Function as a generalist or in a combination of Disciplines</v>
      </c>
      <c r="R609" s="22" t="str">
        <f>IF(LEFT(J609,1)="E","EX",LEFT(J609,1))</f>
        <v>T</v>
      </c>
      <c r="S609" s="22" t="str">
        <f>_xlfn.XLOOKUP($R609,'[1]Career Bands &amp; Levels'!A:A,'[1]Career Bands &amp; Levels'!C:C)</f>
        <v>● Performs specialized technical tasks required to support operations (e.g., IT development, research support, skilled trade)
● Requires vocational training or the equivalent experience and may require external certification but typically does not require a university degree</v>
      </c>
      <c r="T609" s="22" t="str">
        <f>J609</f>
        <v>T3</v>
      </c>
      <c r="U609" s="40" t="str">
        <f t="shared" si="19"/>
        <v>T3</v>
      </c>
      <c r="V609" s="22" t="str">
        <f>_xlfn.XLOOKUP(T609,'[1]Career Bands &amp; Levels'!A:A,'[1]Career Bands &amp; Levels'!C:C)</f>
        <v xml:space="preserve">●	Has full proficiency in a range of technical processes or procedures (or deep skills in a single area) through job-related training and considerable work experience		
●	Completes a variety of atypical assignments		
●	Works within defined technical processes and procedures or methodologies and may help determine the appropriate approach for new assignments		
●	Works with a limited degree of supervision, with oversight focused only on complex new assignments		
●	Acts as an informal resource for colleagues with less experience		</v>
      </c>
      <c r="W609" s="41" t="str">
        <f>J609&amp;"-"&amp;G609</f>
        <v>T3-07</v>
      </c>
      <c r="X609" s="42" t="str">
        <f>G609</f>
        <v>07</v>
      </c>
      <c r="Y609" s="22" t="str">
        <f>_xlfn.XLOOKUP(W609,'[1]Career Bands &amp; Levels'!A:A,'[1]Career Bands &amp; Levels'!C:C,"No Grade Differentiator")</f>
        <v xml:space="preserve">●	Performs moderately complex and varied tasks		
●	May have specialized external certification		
●	Guides junior team members		</v>
      </c>
      <c r="Z609" s="43" t="str">
        <f>IFERROR(O609&amp;" - "&amp;G609,"--")</f>
        <v>Technician Customer Service &amp; Support - 07</v>
      </c>
      <c r="AA609" s="44" t="str">
        <f>_xlfn.XLOOKUP($H609,'[1]SIG Qualifications Input'!$D:$D,'[1]SIG Qualifications Input'!$H:$H)</f>
        <v>Typically an Associate’s degree or 2 to 4 years of vocational technical training preferred. HS diploma or equivalent required. Specialized skill training/certification often required to meet specific needs. Up to 8 years of experience.</v>
      </c>
    </row>
    <row r="610" spans="1:27" ht="183" thickBot="1" x14ac:dyDescent="0.2">
      <c r="A610" s="34" t="str">
        <f>_xlfn.XLOOKUP(C610,'[1]SIG Job Families &amp; Descriptions'!F:F,'[1]SIG Job Families &amp; Descriptions'!B:B)</f>
        <v>Technical Services</v>
      </c>
      <c r="B610" s="34" t="str">
        <f>_xlfn.XLOOKUP(C610,'[1]SIG Job Families &amp; Descriptions'!F:F,'[1]SIG Job Families &amp; Descriptions'!D:D)</f>
        <v>Technical Services</v>
      </c>
      <c r="C610" s="34" t="s">
        <v>125</v>
      </c>
      <c r="D610" s="30" t="str">
        <f t="shared" si="18"/>
        <v>AMT</v>
      </c>
      <c r="E610" s="31" t="str">
        <f>_xlfn.XLOOKUP(C610,'[1]SIG Job Families &amp; Descriptions'!F:F,'[1]SIG Job Families &amp; Descriptions'!A:A)</f>
        <v>AMT000</v>
      </c>
      <c r="F610" s="32" t="s">
        <v>29</v>
      </c>
      <c r="G610" s="33" t="s">
        <v>34</v>
      </c>
      <c r="H610" s="34" t="str">
        <f>F610&amp;"-"&amp;G610</f>
        <v>Management-12</v>
      </c>
      <c r="I610" s="35" t="str">
        <f>IF(ISERROR(_xlfn.XLOOKUP(H610,'[1]SIG Level Structure'!D:D,'[1]SIG Level Structure'!D:D)),"0","1")</f>
        <v>1</v>
      </c>
      <c r="J610" s="36" t="str">
        <f>_xlfn.XLOOKUP($H610,'[1]SIG Level Structure'!$D:$D,'[1]SIG Level Structure'!F:F)</f>
        <v>M2</v>
      </c>
      <c r="K610" s="37" t="str">
        <f>E610&amp;"-"&amp;J610&amp;"-"&amp;G610</f>
        <v>AMT000-M2-12</v>
      </c>
      <c r="L610" s="37" t="str">
        <f>IFERROR(D610&amp;"-"&amp;LEFT(J610,1),"--")</f>
        <v>AMT-M</v>
      </c>
      <c r="M610" s="37" t="str">
        <f>VLOOKUP(L610,'[1]Compatible JC'!$A:$A,1,FALSE)</f>
        <v>AMT-M</v>
      </c>
      <c r="N610" s="37" t="str">
        <f>IFERROR(_xlfn.XLOOKUP(H610,'[1]SIG Level Structure'!D:D,'[1]SIG Level Structure'!C:C),"--")</f>
        <v>Manager</v>
      </c>
      <c r="O610" s="38" t="str">
        <f>IFERROR(TRIM(N610&amp;" "&amp;C610),"--")</f>
        <v>Manager Technical Services</v>
      </c>
      <c r="P610" s="22" t="str">
        <f>_xlfn.XLOOKUP(E610,'[1]SIG Job Families &amp; Descriptions'!A:A,'[1]SIG Job Families &amp; Descriptions'!G:G)</f>
        <v>Provides technical expertise to internal stakeholders, e.g. from commercial area and customers. Performs technical support at customer sites or on a multiple-site basis.
Develops and implements training activities directed at both employee competencies and technical skills. Collaborates with other functions to ensure that current specifications and information on new processes and equipment is reflected.</v>
      </c>
      <c r="Q610" s="39" t="str">
        <f>_xlfn.XLOOKUP(E610,'[1]2022 GI Position Descriptions'!E:E,'[1]2022 GI Position Descriptions'!G:G)</f>
        <v>Provides post-sale technical support services to customers, including installation, troubleshooting, problem resolution and maintenance of products and services | Responsibilities are within the Technical Customer Support Function as a generalist or in a combination of Disciplines</v>
      </c>
      <c r="R610" s="22" t="str">
        <f>IF(LEFT(J610,1)="E","EX",LEFT(J610,1))</f>
        <v>M</v>
      </c>
      <c r="S610" s="22" t="str">
        <f>_xlfn.XLOOKUP($R610,'[1]Career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610" s="22" t="str">
        <f>J610</f>
        <v>M2</v>
      </c>
      <c r="U610" s="40" t="str">
        <f t="shared" si="19"/>
        <v>M2</v>
      </c>
      <c r="V610" s="22" t="str">
        <f>_xlfn.XLOOKUP(T610,'[1]Career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610" s="41" t="str">
        <f>J610&amp;"-"&amp;G610</f>
        <v>M2-12</v>
      </c>
      <c r="X610" s="42" t="str">
        <f>G610</f>
        <v>12</v>
      </c>
      <c r="Y610" s="22" t="str">
        <f>_xlfn.XLOOKUP(W610,'[1]Career Bands &amp; Levels'!A:A,'[1]Career Bands &amp; Levels'!C:C,"No Grade Differentiator")</f>
        <v xml:space="preserve">●	Accountable for results of a small team of employees		
●	Exercises limited management authority; sets employee performance objectives, conducts performance reviews and recommends pay actions		
●	Defines team operating standards and ensures essential procedures are followed based on knowledge of own discipline		</v>
      </c>
      <c r="Z610" s="43" t="str">
        <f>IFERROR(O610&amp;" - "&amp;G610,"--")</f>
        <v>Manager Technical Services - 12</v>
      </c>
      <c r="AA610" s="44" t="str">
        <f>_xlfn.XLOOKUP($H610,'[1]SIG Qualifications Input'!$D:$D,'[1]SIG Qualifications Input'!$H:$H)</f>
        <v>University degree or equivalent and 7-10 years of work experience or equivalent
Experience in managing mixed-level team(s) of professionals and subordinate managers</v>
      </c>
    </row>
    <row r="611" spans="1:27" ht="169" thickBot="1" x14ac:dyDescent="0.2">
      <c r="A611" s="34" t="str">
        <f>_xlfn.XLOOKUP(C611,'[1]SIG Job Families &amp; Descriptions'!F:F,'[1]SIG Job Families &amp; Descriptions'!B:B)</f>
        <v>Technical Services</v>
      </c>
      <c r="B611" s="34" t="str">
        <f>_xlfn.XLOOKUP(C611,'[1]SIG Job Families &amp; Descriptions'!F:F,'[1]SIG Job Families &amp; Descriptions'!D:D)</f>
        <v>Technical Services</v>
      </c>
      <c r="C611" s="34" t="s">
        <v>125</v>
      </c>
      <c r="D611" s="30" t="str">
        <f t="shared" si="18"/>
        <v>AMT</v>
      </c>
      <c r="E611" s="31" t="str">
        <f>_xlfn.XLOOKUP(C611,'[1]SIG Job Families &amp; Descriptions'!F:F,'[1]SIG Job Families &amp; Descriptions'!A:A)</f>
        <v>AMT000</v>
      </c>
      <c r="F611" s="32" t="s">
        <v>32</v>
      </c>
      <c r="G611" s="33" t="s">
        <v>37</v>
      </c>
      <c r="H611" s="34" t="str">
        <f>F611&amp;"-"&amp;G611</f>
        <v>Professional-09</v>
      </c>
      <c r="I611" s="35" t="str">
        <f>IF(ISERROR(_xlfn.XLOOKUP(H611,'[1]SIG Level Structure'!D:D,'[1]SIG Level Structure'!D:D)),"0","1")</f>
        <v>1</v>
      </c>
      <c r="J611" s="36" t="str">
        <f>_xlfn.XLOOKUP($H611,'[1]SIG Level Structure'!$D:$D,'[1]SIG Level Structure'!F:F)</f>
        <v>P2</v>
      </c>
      <c r="K611" s="37" t="str">
        <f>E611&amp;"-"&amp;J611&amp;"-"&amp;G611</f>
        <v>AMT000-P2-09</v>
      </c>
      <c r="L611" s="37" t="str">
        <f>IFERROR(D611&amp;"-"&amp;LEFT(J611,1),"--")</f>
        <v>AMT-P</v>
      </c>
      <c r="M611" s="37" t="str">
        <f>VLOOKUP(L611,'[1]Compatible JC'!$A:$A,1,FALSE)</f>
        <v>AMT-P</v>
      </c>
      <c r="N611" s="37" t="str">
        <f>IFERROR(_xlfn.XLOOKUP(H611,'[1]SIG Level Structure'!D:D,'[1]SIG Level Structure'!C:C),"--")</f>
        <v>Senior Specialist</v>
      </c>
      <c r="O611" s="38" t="str">
        <f>IFERROR(TRIM(N611&amp;" "&amp;C611),"--")</f>
        <v>Senior Specialist Technical Services</v>
      </c>
      <c r="P611" s="22" t="str">
        <f>_xlfn.XLOOKUP(E611,'[1]SIG Job Families &amp; Descriptions'!A:A,'[1]SIG Job Families &amp; Descriptions'!G:G)</f>
        <v>Provides technical expertise to internal stakeholders, e.g. from commercial area and customers. Performs technical support at customer sites or on a multiple-site basis.
Develops and implements training activities directed at both employee competencies and technical skills. Collaborates with other functions to ensure that current specifications and information on new processes and equipment is reflected.</v>
      </c>
      <c r="Q611" s="39" t="str">
        <f>_xlfn.XLOOKUP(E611,'[1]2022 GI Position Descriptions'!E:E,'[1]2022 GI Position Descriptions'!G:G)</f>
        <v>Provides post-sale technical support services to customers, including installation, troubleshooting, problem resolution and maintenance of products and services | Responsibilities are within the Technical Customer Support Function as a generalist or in a combination of Disciplines</v>
      </c>
      <c r="R611" s="22" t="str">
        <f>IF(LEFT(J611,1)="E","EX",LEFT(J611,1))</f>
        <v>P</v>
      </c>
      <c r="S611" s="22" t="str">
        <f>_xlfn.XLOOKUP($R611,'[1]Career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611" s="22" t="str">
        <f>J611</f>
        <v>P2</v>
      </c>
      <c r="U611" s="40" t="str">
        <f t="shared" si="19"/>
        <v>P2</v>
      </c>
      <c r="V611" s="22" t="str">
        <f>_xlfn.XLOOKUP(T611,'[1]Career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611" s="41" t="str">
        <f>J611&amp;"-"&amp;G611</f>
        <v>P2-09</v>
      </c>
      <c r="X611" s="42" t="str">
        <f>G611</f>
        <v>09</v>
      </c>
      <c r="Y611" s="22" t="str">
        <f>_xlfn.XLOOKUP(W611,'[1]Career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611" s="43" t="str">
        <f>IFERROR(O611&amp;" - "&amp;G611,"--")</f>
        <v>Senior Specialist Technical Services - 09</v>
      </c>
      <c r="AA611" s="44" t="str">
        <f>_xlfn.XLOOKUP($H611,'[1]SIG Qualifications Input'!$D:$D,'[1]SIG Qualifications Input'!$H:$H)</f>
        <v>University degree or equivalent and 2-4 years of work experience or equivalent</v>
      </c>
    </row>
    <row r="612" spans="1:27" ht="169" thickBot="1" x14ac:dyDescent="0.2">
      <c r="A612" s="34" t="str">
        <f>_xlfn.XLOOKUP(C612,'[1]SIG Job Families &amp; Descriptions'!F:F,'[1]SIG Job Families &amp; Descriptions'!B:B)</f>
        <v>Technical Services</v>
      </c>
      <c r="B612" s="34" t="str">
        <f>_xlfn.XLOOKUP(C612,'[1]SIG Job Families &amp; Descriptions'!F:F,'[1]SIG Job Families &amp; Descriptions'!D:D)</f>
        <v>Technical Services</v>
      </c>
      <c r="C612" s="34" t="s">
        <v>125</v>
      </c>
      <c r="D612" s="30" t="str">
        <f t="shared" si="18"/>
        <v>AMT</v>
      </c>
      <c r="E612" s="31" t="str">
        <f>_xlfn.XLOOKUP(C612,'[1]SIG Job Families &amp; Descriptions'!F:F,'[1]SIG Job Families &amp; Descriptions'!A:A)</f>
        <v>AMT000</v>
      </c>
      <c r="F612" s="32" t="s">
        <v>32</v>
      </c>
      <c r="G612" s="33" t="s">
        <v>36</v>
      </c>
      <c r="H612" s="34" t="str">
        <f>F612&amp;"-"&amp;G612</f>
        <v>Professional-10</v>
      </c>
      <c r="I612" s="35" t="str">
        <f>IF(ISERROR(_xlfn.XLOOKUP(H612,'[1]SIG Level Structure'!D:D,'[1]SIG Level Structure'!D:D)),"0","1")</f>
        <v>1</v>
      </c>
      <c r="J612" s="36" t="str">
        <f>_xlfn.XLOOKUP($H612,'[1]SIG Level Structure'!$D:$D,'[1]SIG Level Structure'!F:F)</f>
        <v>P2</v>
      </c>
      <c r="K612" s="37" t="str">
        <f>E612&amp;"-"&amp;J612&amp;"-"&amp;G612</f>
        <v>AMT000-P2-10</v>
      </c>
      <c r="L612" s="37" t="str">
        <f>IFERROR(D612&amp;"-"&amp;LEFT(J612,1),"--")</f>
        <v>AMT-P</v>
      </c>
      <c r="M612" s="37" t="str">
        <f>VLOOKUP(L612,'[1]Compatible JC'!$A:$A,1,FALSE)</f>
        <v>AMT-P</v>
      </c>
      <c r="N612" s="37" t="str">
        <f>IFERROR(_xlfn.XLOOKUP(H612,'[1]SIG Level Structure'!D:D,'[1]SIG Level Structure'!C:C),"--")</f>
        <v>Senior Specialist</v>
      </c>
      <c r="O612" s="38" t="str">
        <f>IFERROR(TRIM(N612&amp;" "&amp;C612),"--")</f>
        <v>Senior Specialist Technical Services</v>
      </c>
      <c r="P612" s="22" t="str">
        <f>_xlfn.XLOOKUP(E612,'[1]SIG Job Families &amp; Descriptions'!A:A,'[1]SIG Job Families &amp; Descriptions'!G:G)</f>
        <v>Provides technical expertise to internal stakeholders, e.g. from commercial area and customers. Performs technical support at customer sites or on a multiple-site basis.
Develops and implements training activities directed at both employee competencies and technical skills. Collaborates with other functions to ensure that current specifications and information on new processes and equipment is reflected.</v>
      </c>
      <c r="Q612" s="39" t="str">
        <f>_xlfn.XLOOKUP(E612,'[1]2022 GI Position Descriptions'!E:E,'[1]2022 GI Position Descriptions'!G:G)</f>
        <v>Provides post-sale technical support services to customers, including installation, troubleshooting, problem resolution and maintenance of products and services | Responsibilities are within the Technical Customer Support Function as a generalist or in a combination of Disciplines</v>
      </c>
      <c r="R612" s="22" t="str">
        <f>IF(LEFT(J612,1)="E","EX",LEFT(J612,1))</f>
        <v>P</v>
      </c>
      <c r="S612" s="22" t="str">
        <f>_xlfn.XLOOKUP($R612,'[1]Career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612" s="22" t="str">
        <f>J612</f>
        <v>P2</v>
      </c>
      <c r="U612" s="40" t="str">
        <f t="shared" si="19"/>
        <v>P2</v>
      </c>
      <c r="V612" s="22" t="str">
        <f>_xlfn.XLOOKUP(T612,'[1]Career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612" s="41" t="str">
        <f>J612&amp;"-"&amp;G612</f>
        <v>P2-10</v>
      </c>
      <c r="X612" s="42" t="str">
        <f>G612</f>
        <v>10</v>
      </c>
      <c r="Y612" s="22" t="str">
        <f>_xlfn.XLOOKUP(W612,'[1]Career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612" s="43" t="str">
        <f>IFERROR(O612&amp;" - "&amp;G612,"--")</f>
        <v>Senior Specialist Technical Services - 10</v>
      </c>
      <c r="AA612" s="44" t="str">
        <f>_xlfn.XLOOKUP($H612,'[1]SIG Qualifications Input'!$D:$D,'[1]SIG Qualifications Input'!$H:$H)</f>
        <v>University degree or equivalent and 2-4 years of work experience or equivalent</v>
      </c>
    </row>
    <row r="613" spans="1:27" ht="169" thickBot="1" x14ac:dyDescent="0.2">
      <c r="A613" s="34" t="str">
        <f>_xlfn.XLOOKUP(C613,'[1]SIG Job Families &amp; Descriptions'!F:F,'[1]SIG Job Families &amp; Descriptions'!B:B)</f>
        <v>Technical Services</v>
      </c>
      <c r="B613" s="34" t="str">
        <f>_xlfn.XLOOKUP(C613,'[1]SIG Job Families &amp; Descriptions'!F:F,'[1]SIG Job Families &amp; Descriptions'!D:D)</f>
        <v>Technical Services</v>
      </c>
      <c r="C613" s="34" t="s">
        <v>126</v>
      </c>
      <c r="D613" s="30" t="str">
        <f t="shared" si="18"/>
        <v>CUT</v>
      </c>
      <c r="E613" s="31" t="str">
        <f>_xlfn.XLOOKUP(C613,'[1]SIG Job Families &amp; Descriptions'!F:F,'[1]SIG Job Families &amp; Descriptions'!A:A)</f>
        <v>CUT040</v>
      </c>
      <c r="F613" s="32" t="s">
        <v>32</v>
      </c>
      <c r="G613" s="33" t="s">
        <v>31</v>
      </c>
      <c r="H613" s="34" t="str">
        <f>F613&amp;"-"&amp;G613</f>
        <v>Professional-14</v>
      </c>
      <c r="I613" s="35" t="str">
        <f>IF(ISERROR(_xlfn.XLOOKUP(H613,'[1]SIG Level Structure'!D:D,'[1]SIG Level Structure'!D:D)),"0","1")</f>
        <v>1</v>
      </c>
      <c r="J613" s="36" t="str">
        <f>_xlfn.XLOOKUP($H613,'[1]SIG Level Structure'!$D:$D,'[1]SIG Level Structure'!F:F)</f>
        <v>P4</v>
      </c>
      <c r="K613" s="37" t="str">
        <f>E613&amp;"-"&amp;J613&amp;"-"&amp;G613</f>
        <v>CUT040-P4-14</v>
      </c>
      <c r="L613" s="37" t="str">
        <f>IFERROR(D613&amp;"-"&amp;LEFT(J613,1),"--")</f>
        <v>CUT-P</v>
      </c>
      <c r="M613" s="37" t="str">
        <f>VLOOKUP(L613,'[1]Compatible JC'!$A:$A,1,FALSE)</f>
        <v>CUT-P</v>
      </c>
      <c r="N613" s="37" t="str">
        <f>IFERROR(_xlfn.XLOOKUP(H613,'[1]SIG Level Structure'!D:D,'[1]SIG Level Structure'!C:C),"--")</f>
        <v>Senior Expert</v>
      </c>
      <c r="O613" s="38" t="str">
        <f>IFERROR(TRIM(N613&amp;" "&amp;C613),"--")</f>
        <v>Senior Expert Training</v>
      </c>
      <c r="P613" s="22" t="str">
        <f>_xlfn.XLOOKUP(E613,'[1]SIG Job Families &amp; Descriptions'!A:A,'[1]SIG Job Families &amp; Descriptions'!G:G)</f>
        <v>Provides technical expertise to internal stakeholders, e.g. from commercial area and customers. Performs technical support at customer sites or on a multiple-site basis.
Develops and implements training activities directed at both employee competencies and technical skills. Collaborates with other functions to ensure that current specifications and information on new processes and equipment is reflected.</v>
      </c>
      <c r="Q613" s="39" t="str">
        <f>_xlfn.XLOOKUP(E613,'[1]2022 GI Position Descriptions'!E:E,'[1]2022 GI Position Descriptions'!G:G)</f>
        <v>Develops, implements and/or delivers technical training as it relates to the organization's products | Works with product development teams to update training materials and ensure accuracy and effectiveness of courseware and supporting materials to align with new product releases | May provide technical product training to both internal staff (e.g., customer services, engineers, sales staff) and customers</v>
      </c>
      <c r="R613" s="22" t="str">
        <f>IF(LEFT(J613,1)="E","EX",LEFT(J613,1))</f>
        <v>P</v>
      </c>
      <c r="S613" s="22" t="str">
        <f>_xlfn.XLOOKUP($R613,'[1]Career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613" s="22" t="str">
        <f>J613</f>
        <v>P4</v>
      </c>
      <c r="U613" s="40" t="str">
        <f t="shared" si="19"/>
        <v>P4</v>
      </c>
      <c r="V613" s="22" t="str">
        <f>_xlfn.XLOOKUP(T613,'[1]Career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613" s="41" t="str">
        <f>J613&amp;"-"&amp;G613</f>
        <v>P4-14</v>
      </c>
      <c r="X613" s="42" t="str">
        <f>G613</f>
        <v>14</v>
      </c>
      <c r="Y613" s="22" t="str">
        <f>_xlfn.XLOOKUP(W613,'[1]Career Bands &amp; Levels'!A:A,'[1]Career Bands &amp; Levels'!C:C,"No Grade Differentiator")</f>
        <v xml:space="preserve">●	Guides others in resolving complex issues in own specialized area and solves complex problems with implications on cross-functional business processes and outcomes		
●	Serves as an advisor and applies knowledge of strategies that can be deployed within own function and discipline		
●	Applies working knowledge of the theories and concepts in other disciplines		
●	May lead teams or projects with broad visibility		</v>
      </c>
      <c r="Z613" s="43" t="str">
        <f>IFERROR(O613&amp;" - "&amp;G613,"--")</f>
        <v>Senior Expert Training - 14</v>
      </c>
      <c r="AA613" s="44" t="str">
        <f>_xlfn.XLOOKUP($H613,'[1]SIG Qualifications Input'!$D:$D,'[1]SIG Qualifications Input'!$H:$H)</f>
        <v>University degree or equivalent and 8-10 years of work experience or equivalent, 
Experience in functionally leading (sub-)projects / teams</v>
      </c>
    </row>
    <row r="614" spans="1:27" ht="169" thickBot="1" x14ac:dyDescent="0.2">
      <c r="A614" s="34" t="str">
        <f>_xlfn.XLOOKUP(C614,'[1]SIG Job Families &amp; Descriptions'!F:F,'[1]SIG Job Families &amp; Descriptions'!B:B)</f>
        <v>Technical Services</v>
      </c>
      <c r="B614" s="34" t="str">
        <f>_xlfn.XLOOKUP(C614,'[1]SIG Job Families &amp; Descriptions'!F:F,'[1]SIG Job Families &amp; Descriptions'!D:D)</f>
        <v>Technical Services</v>
      </c>
      <c r="C614" s="34" t="s">
        <v>126</v>
      </c>
      <c r="D614" s="30" t="str">
        <f t="shared" si="18"/>
        <v>CUT</v>
      </c>
      <c r="E614" s="31" t="str">
        <f>_xlfn.XLOOKUP(C614,'[1]SIG Job Families &amp; Descriptions'!F:F,'[1]SIG Job Families &amp; Descriptions'!A:A)</f>
        <v>CUT040</v>
      </c>
      <c r="F614" s="32" t="s">
        <v>32</v>
      </c>
      <c r="G614" s="33" t="s">
        <v>33</v>
      </c>
      <c r="H614" s="34" t="str">
        <f>F614&amp;"-"&amp;G614</f>
        <v>Professional-13</v>
      </c>
      <c r="I614" s="35" t="str">
        <f>IF(ISERROR(_xlfn.XLOOKUP(H614,'[1]SIG Level Structure'!D:D,'[1]SIG Level Structure'!D:D)),"0","1")</f>
        <v>1</v>
      </c>
      <c r="J614" s="36" t="str">
        <f>_xlfn.XLOOKUP($H614,'[1]SIG Level Structure'!$D:$D,'[1]SIG Level Structure'!F:F)</f>
        <v>P4</v>
      </c>
      <c r="K614" s="37" t="str">
        <f>E614&amp;"-"&amp;J614&amp;"-"&amp;G614</f>
        <v>CUT040-P4-13</v>
      </c>
      <c r="L614" s="37" t="str">
        <f>IFERROR(D614&amp;"-"&amp;LEFT(J614,1),"--")</f>
        <v>CUT-P</v>
      </c>
      <c r="M614" s="37" t="str">
        <f>VLOOKUP(L614,'[1]Compatible JC'!$A:$A,1,FALSE)</f>
        <v>CUT-P</v>
      </c>
      <c r="N614" s="37" t="str">
        <f>IFERROR(_xlfn.XLOOKUP(H614,'[1]SIG Level Structure'!D:D,'[1]SIG Level Structure'!C:C),"--")</f>
        <v>Senior Expert</v>
      </c>
      <c r="O614" s="38" t="str">
        <f>IFERROR(TRIM(N614&amp;" "&amp;C614),"--")</f>
        <v>Senior Expert Training</v>
      </c>
      <c r="P614" s="22" t="str">
        <f>_xlfn.XLOOKUP(E614,'[1]SIG Job Families &amp; Descriptions'!A:A,'[1]SIG Job Families &amp; Descriptions'!G:G)</f>
        <v>Provides technical expertise to internal stakeholders, e.g. from commercial area and customers. Performs technical support at customer sites or on a multiple-site basis.
Develops and implements training activities directed at both employee competencies and technical skills. Collaborates with other functions to ensure that current specifications and information on new processes and equipment is reflected.</v>
      </c>
      <c r="Q614" s="39" t="str">
        <f>_xlfn.XLOOKUP(E614,'[1]2022 GI Position Descriptions'!E:E,'[1]2022 GI Position Descriptions'!G:G)</f>
        <v>Develops, implements and/or delivers technical training as it relates to the organization's products | Works with product development teams to update training materials and ensure accuracy and effectiveness of courseware and supporting materials to align with new product releases | May provide technical product training to both internal staff (e.g., customer services, engineers, sales staff) and customers</v>
      </c>
      <c r="R614" s="22" t="str">
        <f>IF(LEFT(J614,1)="E","EX",LEFT(J614,1))</f>
        <v>P</v>
      </c>
      <c r="S614" s="22" t="str">
        <f>_xlfn.XLOOKUP($R614,'[1]Career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614" s="22" t="str">
        <f>J614</f>
        <v>P4</v>
      </c>
      <c r="U614" s="40" t="str">
        <f t="shared" si="19"/>
        <v>P4</v>
      </c>
      <c r="V614" s="22" t="str">
        <f>_xlfn.XLOOKUP(T614,'[1]Career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614" s="41" t="str">
        <f>J614&amp;"-"&amp;G614</f>
        <v>P4-13</v>
      </c>
      <c r="X614" s="42" t="str">
        <f>G614</f>
        <v>13</v>
      </c>
      <c r="Y614" s="22" t="str">
        <f>_xlfn.XLOOKUP(W614,'[1]Career Bands &amp; Levels'!A:A,'[1]Career Bands &amp; Levels'!C:C,"No Grade Differentiator")</f>
        <v xml:space="preserve">●	Guides others in resolving complex issues in specialized area based on existing solutions and procedures		
●	Serves as an expert within own discipline		
●	May lead function teams or projects and serves as a best practices/quality resource		
●	Trains/mentors junior staff		</v>
      </c>
      <c r="Z614" s="43" t="str">
        <f>IFERROR(O614&amp;" - "&amp;G614,"--")</f>
        <v>Senior Expert Training - 13</v>
      </c>
      <c r="AA614" s="44" t="str">
        <f>_xlfn.XLOOKUP($H614,'[1]SIG Qualifications Input'!$D:$D,'[1]SIG Qualifications Input'!$H:$H)</f>
        <v>University degree or equivalent and 8-10 years of work experience or equivalent, 
Experience in functionally leading (sub-)projects / teams</v>
      </c>
    </row>
    <row r="615" spans="1:27" ht="169" thickBot="1" x14ac:dyDescent="0.2">
      <c r="A615" s="34" t="str">
        <f>_xlfn.XLOOKUP(C615,'[1]SIG Job Families &amp; Descriptions'!F:F,'[1]SIG Job Families &amp; Descriptions'!B:B)</f>
        <v>Technical Services</v>
      </c>
      <c r="B615" s="34" t="str">
        <f>_xlfn.XLOOKUP(C615,'[1]SIG Job Families &amp; Descriptions'!F:F,'[1]SIG Job Families &amp; Descriptions'!D:D)</f>
        <v>Technical Services</v>
      </c>
      <c r="C615" s="34" t="s">
        <v>126</v>
      </c>
      <c r="D615" s="30" t="str">
        <f t="shared" si="18"/>
        <v>CUT</v>
      </c>
      <c r="E615" s="31" t="str">
        <f>_xlfn.XLOOKUP(C615,'[1]SIG Job Families &amp; Descriptions'!F:F,'[1]SIG Job Families &amp; Descriptions'!A:A)</f>
        <v>CUT040</v>
      </c>
      <c r="F615" s="32" t="s">
        <v>32</v>
      </c>
      <c r="G615" s="33" t="s">
        <v>34</v>
      </c>
      <c r="H615" s="34" t="str">
        <f>F615&amp;"-"&amp;G615</f>
        <v>Professional-12</v>
      </c>
      <c r="I615" s="35" t="str">
        <f>IF(ISERROR(_xlfn.XLOOKUP(H615,'[1]SIG Level Structure'!D:D,'[1]SIG Level Structure'!D:D)),"0","1")</f>
        <v>1</v>
      </c>
      <c r="J615" s="36" t="str">
        <f>_xlfn.XLOOKUP($H615,'[1]SIG Level Structure'!$D:$D,'[1]SIG Level Structure'!F:F)</f>
        <v>P3</v>
      </c>
      <c r="K615" s="37" t="str">
        <f>E615&amp;"-"&amp;J615&amp;"-"&amp;G615</f>
        <v>CUT040-P3-12</v>
      </c>
      <c r="L615" s="37" t="str">
        <f>IFERROR(D615&amp;"-"&amp;LEFT(J615,1),"--")</f>
        <v>CUT-P</v>
      </c>
      <c r="M615" s="37" t="str">
        <f>VLOOKUP(L615,'[1]Compatible JC'!$A:$A,1,FALSE)</f>
        <v>CUT-P</v>
      </c>
      <c r="N615" s="37" t="str">
        <f>IFERROR(_xlfn.XLOOKUP(H615,'[1]SIG Level Structure'!D:D,'[1]SIG Level Structure'!C:C),"--")</f>
        <v>Expert</v>
      </c>
      <c r="O615" s="38" t="str">
        <f>IFERROR(TRIM(N615&amp;" "&amp;C615),"--")</f>
        <v>Expert Training</v>
      </c>
      <c r="P615" s="22" t="str">
        <f>_xlfn.XLOOKUP(E615,'[1]SIG Job Families &amp; Descriptions'!A:A,'[1]SIG Job Families &amp; Descriptions'!G:G)</f>
        <v>Provides technical expertise to internal stakeholders, e.g. from commercial area and customers. Performs technical support at customer sites or on a multiple-site basis.
Develops and implements training activities directed at both employee competencies and technical skills. Collaborates with other functions to ensure that current specifications and information on new processes and equipment is reflected.</v>
      </c>
      <c r="Q615" s="39" t="str">
        <f>_xlfn.XLOOKUP(E615,'[1]2022 GI Position Descriptions'!E:E,'[1]2022 GI Position Descriptions'!G:G)</f>
        <v>Develops, implements and/or delivers technical training as it relates to the organization's products | Works with product development teams to update training materials and ensure accuracy and effectiveness of courseware and supporting materials to align with new product releases | May provide technical product training to both internal staff (e.g., customer services, engineers, sales staff) and customers</v>
      </c>
      <c r="R615" s="22" t="str">
        <f>IF(LEFT(J615,1)="E","EX",LEFT(J615,1))</f>
        <v>P</v>
      </c>
      <c r="S615" s="22" t="str">
        <f>_xlfn.XLOOKUP($R615,'[1]Career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615" s="22" t="str">
        <f>J615</f>
        <v>P3</v>
      </c>
      <c r="U615" s="40" t="str">
        <f t="shared" si="19"/>
        <v>P3</v>
      </c>
      <c r="V615" s="22" t="str">
        <f>_xlfn.XLOOKUP(T615,'[1]Career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615" s="41" t="str">
        <f>J615&amp;"-"&amp;G615</f>
        <v>P3-12</v>
      </c>
      <c r="X615" s="42" t="str">
        <f>G615</f>
        <v>12</v>
      </c>
      <c r="Y615" s="22" t="str">
        <f>_xlfn.XLOOKUP(W615,'[1]Career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615" s="43" t="str">
        <f>IFERROR(O615&amp;" - "&amp;G615,"--")</f>
        <v>Expert Training - 12</v>
      </c>
      <c r="AA615" s="44" t="str">
        <f>_xlfn.XLOOKUP($H615,'[1]SIG Qualifications Input'!$D:$D,'[1]SIG Qualifications Input'!$H:$H)</f>
        <v>University degree or equivalent and 4-8 years of work experience or equivalent, 
Initial experience in functionally leading (sub-) projects</v>
      </c>
    </row>
    <row r="616" spans="1:27" ht="169" thickBot="1" x14ac:dyDescent="0.2">
      <c r="A616" s="34" t="str">
        <f>_xlfn.XLOOKUP(C616,'[1]SIG Job Families &amp; Descriptions'!F:F,'[1]SIG Job Families &amp; Descriptions'!B:B)</f>
        <v>Technical Services</v>
      </c>
      <c r="B616" s="34" t="str">
        <f>_xlfn.XLOOKUP(C616,'[1]SIG Job Families &amp; Descriptions'!F:F,'[1]SIG Job Families &amp; Descriptions'!D:D)</f>
        <v>Technical Services</v>
      </c>
      <c r="C616" s="34" t="s">
        <v>126</v>
      </c>
      <c r="D616" s="30" t="str">
        <f t="shared" si="18"/>
        <v>CUT</v>
      </c>
      <c r="E616" s="31" t="str">
        <f>_xlfn.XLOOKUP(C616,'[1]SIG Job Families &amp; Descriptions'!F:F,'[1]SIG Job Families &amp; Descriptions'!A:A)</f>
        <v>CUT040</v>
      </c>
      <c r="F616" s="32" t="s">
        <v>32</v>
      </c>
      <c r="G616" s="33" t="s">
        <v>35</v>
      </c>
      <c r="H616" s="34" t="str">
        <f>F616&amp;"-"&amp;G616</f>
        <v>Professional-11</v>
      </c>
      <c r="I616" s="35" t="str">
        <f>IF(ISERROR(_xlfn.XLOOKUP(H616,'[1]SIG Level Structure'!D:D,'[1]SIG Level Structure'!D:D)),"0","1")</f>
        <v>1</v>
      </c>
      <c r="J616" s="36" t="str">
        <f>_xlfn.XLOOKUP($H616,'[1]SIG Level Structure'!$D:$D,'[1]SIG Level Structure'!F:F)</f>
        <v>P3</v>
      </c>
      <c r="K616" s="37" t="str">
        <f>E616&amp;"-"&amp;J616&amp;"-"&amp;G616</f>
        <v>CUT040-P3-11</v>
      </c>
      <c r="L616" s="37" t="str">
        <f>IFERROR(D616&amp;"-"&amp;LEFT(J616,1),"--")</f>
        <v>CUT-P</v>
      </c>
      <c r="M616" s="37" t="str">
        <f>VLOOKUP(L616,'[1]Compatible JC'!$A:$A,1,FALSE)</f>
        <v>CUT-P</v>
      </c>
      <c r="N616" s="37" t="str">
        <f>IFERROR(_xlfn.XLOOKUP(H616,'[1]SIG Level Structure'!D:D,'[1]SIG Level Structure'!C:C),"--")</f>
        <v>Expert</v>
      </c>
      <c r="O616" s="38" t="str">
        <f>IFERROR(TRIM(N616&amp;" "&amp;C616),"--")</f>
        <v>Expert Training</v>
      </c>
      <c r="P616" s="22" t="str">
        <f>_xlfn.XLOOKUP(E616,'[1]SIG Job Families &amp; Descriptions'!A:A,'[1]SIG Job Families &amp; Descriptions'!G:G)</f>
        <v>Provides technical expertise to internal stakeholders, e.g. from commercial area and customers. Performs technical support at customer sites or on a multiple-site basis.
Develops and implements training activities directed at both employee competencies and technical skills. Collaborates with other functions to ensure that current specifications and information on new processes and equipment is reflected.</v>
      </c>
      <c r="Q616" s="39" t="str">
        <f>_xlfn.XLOOKUP(E616,'[1]2022 GI Position Descriptions'!E:E,'[1]2022 GI Position Descriptions'!G:G)</f>
        <v>Develops, implements and/or delivers technical training as it relates to the organization's products | Works with product development teams to update training materials and ensure accuracy and effectiveness of courseware and supporting materials to align with new product releases | May provide technical product training to both internal staff (e.g., customer services, engineers, sales staff) and customers</v>
      </c>
      <c r="R616" s="22" t="str">
        <f>IF(LEFT(J616,1)="E","EX",LEFT(J616,1))</f>
        <v>P</v>
      </c>
      <c r="S616" s="22" t="str">
        <f>_xlfn.XLOOKUP($R616,'[1]Career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616" s="22" t="str">
        <f>J616</f>
        <v>P3</v>
      </c>
      <c r="U616" s="40" t="str">
        <f t="shared" si="19"/>
        <v>P3</v>
      </c>
      <c r="V616" s="22" t="str">
        <f>_xlfn.XLOOKUP(T616,'[1]Career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616" s="41" t="str">
        <f>J616&amp;"-"&amp;G616</f>
        <v>P3-11</v>
      </c>
      <c r="X616" s="42" t="str">
        <f>G616</f>
        <v>11</v>
      </c>
      <c r="Y616" s="22" t="str">
        <f>_xlfn.XLOOKUP(W616,'[1]Career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616" s="43" t="str">
        <f>IFERROR(O616&amp;" - "&amp;G616,"--")</f>
        <v>Expert Training - 11</v>
      </c>
      <c r="AA616" s="44" t="str">
        <f>_xlfn.XLOOKUP($H616,'[1]SIG Qualifications Input'!$D:$D,'[1]SIG Qualifications Input'!$H:$H)</f>
        <v>University degree or equivalent and 4-8 years of work experience or equivalent, 
Initial experience in functionally leading (sub-) projects</v>
      </c>
    </row>
    <row r="617" spans="1:27" ht="169" thickBot="1" x14ac:dyDescent="0.2">
      <c r="A617" s="34" t="str">
        <f>_xlfn.XLOOKUP(C617,'[1]SIG Job Families &amp; Descriptions'!F:F,'[1]SIG Job Families &amp; Descriptions'!B:B)</f>
        <v>Technical Services</v>
      </c>
      <c r="B617" s="34" t="str">
        <f>_xlfn.XLOOKUP(C617,'[1]SIG Job Families &amp; Descriptions'!F:F,'[1]SIG Job Families &amp; Descriptions'!D:D)</f>
        <v>Technical Services</v>
      </c>
      <c r="C617" s="34" t="s">
        <v>126</v>
      </c>
      <c r="D617" s="30" t="str">
        <f t="shared" si="18"/>
        <v>CUT</v>
      </c>
      <c r="E617" s="31" t="str">
        <f>_xlfn.XLOOKUP(C617,'[1]SIG Job Families &amp; Descriptions'!F:F,'[1]SIG Job Families &amp; Descriptions'!A:A)</f>
        <v>CUT040</v>
      </c>
      <c r="F617" s="32" t="s">
        <v>32</v>
      </c>
      <c r="G617" s="33" t="s">
        <v>36</v>
      </c>
      <c r="H617" s="34" t="str">
        <f>F617&amp;"-"&amp;G617</f>
        <v>Professional-10</v>
      </c>
      <c r="I617" s="35" t="str">
        <f>IF(ISERROR(_xlfn.XLOOKUP(H617,'[1]SIG Level Structure'!D:D,'[1]SIG Level Structure'!D:D)),"0","1")</f>
        <v>1</v>
      </c>
      <c r="J617" s="36" t="str">
        <f>_xlfn.XLOOKUP($H617,'[1]SIG Level Structure'!$D:$D,'[1]SIG Level Structure'!F:F)</f>
        <v>P2</v>
      </c>
      <c r="K617" s="37" t="str">
        <f>E617&amp;"-"&amp;J617&amp;"-"&amp;G617</f>
        <v>CUT040-P2-10</v>
      </c>
      <c r="L617" s="37" t="str">
        <f>IFERROR(D617&amp;"-"&amp;LEFT(J617,1),"--")</f>
        <v>CUT-P</v>
      </c>
      <c r="M617" s="37" t="str">
        <f>VLOOKUP(L617,'[1]Compatible JC'!$A:$A,1,FALSE)</f>
        <v>CUT-P</v>
      </c>
      <c r="N617" s="37" t="str">
        <f>IFERROR(_xlfn.XLOOKUP(H617,'[1]SIG Level Structure'!D:D,'[1]SIG Level Structure'!C:C),"--")</f>
        <v>Senior Specialist</v>
      </c>
      <c r="O617" s="38" t="str">
        <f>IFERROR(TRIM(N617&amp;" "&amp;C617),"--")</f>
        <v>Senior Specialist Training</v>
      </c>
      <c r="P617" s="22" t="str">
        <f>_xlfn.XLOOKUP(E617,'[1]SIG Job Families &amp; Descriptions'!A:A,'[1]SIG Job Families &amp; Descriptions'!G:G)</f>
        <v>Provides technical expertise to internal stakeholders, e.g. from commercial area and customers. Performs technical support at customer sites or on a multiple-site basis.
Develops and implements training activities directed at both employee competencies and technical skills. Collaborates with other functions to ensure that current specifications and information on new processes and equipment is reflected.</v>
      </c>
      <c r="Q617" s="39" t="str">
        <f>_xlfn.XLOOKUP(E617,'[1]2022 GI Position Descriptions'!E:E,'[1]2022 GI Position Descriptions'!G:G)</f>
        <v>Develops, implements and/or delivers technical training as it relates to the organization's products | Works with product development teams to update training materials and ensure accuracy and effectiveness of courseware and supporting materials to align with new product releases | May provide technical product training to both internal staff (e.g., customer services, engineers, sales staff) and customers</v>
      </c>
      <c r="R617" s="22" t="str">
        <f>IF(LEFT(J617,1)="E","EX",LEFT(J617,1))</f>
        <v>P</v>
      </c>
      <c r="S617" s="22" t="str">
        <f>_xlfn.XLOOKUP($R617,'[1]Career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617" s="22" t="str">
        <f>J617</f>
        <v>P2</v>
      </c>
      <c r="U617" s="40" t="str">
        <f t="shared" si="19"/>
        <v>P2</v>
      </c>
      <c r="V617" s="22" t="str">
        <f>_xlfn.XLOOKUP(T617,'[1]Career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617" s="41" t="str">
        <f>J617&amp;"-"&amp;G617</f>
        <v>P2-10</v>
      </c>
      <c r="X617" s="42" t="str">
        <f>G617</f>
        <v>10</v>
      </c>
      <c r="Y617" s="22" t="str">
        <f>_xlfn.XLOOKUP(W617,'[1]Career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617" s="43" t="str">
        <f>IFERROR(O617&amp;" - "&amp;G617,"--")</f>
        <v>Senior Specialist Training - 10</v>
      </c>
      <c r="AA617" s="44" t="str">
        <f>_xlfn.XLOOKUP($H617,'[1]SIG Qualifications Input'!$D:$D,'[1]SIG Qualifications Input'!$H:$H)</f>
        <v>University degree or equivalent and 2-4 years of work experience or equivalent</v>
      </c>
    </row>
    <row r="618" spans="1:27" ht="169" thickBot="1" x14ac:dyDescent="0.2">
      <c r="A618" s="34" t="str">
        <f>_xlfn.XLOOKUP(C618,'[1]SIG Job Families &amp; Descriptions'!F:F,'[1]SIG Job Families &amp; Descriptions'!B:B)</f>
        <v>Technical Services</v>
      </c>
      <c r="B618" s="34" t="str">
        <f>_xlfn.XLOOKUP(C618,'[1]SIG Job Families &amp; Descriptions'!F:F,'[1]SIG Job Families &amp; Descriptions'!D:D)</f>
        <v>Technical Services</v>
      </c>
      <c r="C618" s="34" t="s">
        <v>126</v>
      </c>
      <c r="D618" s="30" t="str">
        <f t="shared" si="18"/>
        <v>CUT</v>
      </c>
      <c r="E618" s="31" t="str">
        <f>_xlfn.XLOOKUP(C618,'[1]SIG Job Families &amp; Descriptions'!F:F,'[1]SIG Job Families &amp; Descriptions'!A:A)</f>
        <v>CUT040</v>
      </c>
      <c r="F618" s="32" t="s">
        <v>32</v>
      </c>
      <c r="G618" s="33" t="s">
        <v>37</v>
      </c>
      <c r="H618" s="34" t="str">
        <f>F618&amp;"-"&amp;G618</f>
        <v>Professional-09</v>
      </c>
      <c r="I618" s="35" t="str">
        <f>IF(ISERROR(_xlfn.XLOOKUP(H618,'[1]SIG Level Structure'!D:D,'[1]SIG Level Structure'!D:D)),"0","1")</f>
        <v>1</v>
      </c>
      <c r="J618" s="36" t="str">
        <f>_xlfn.XLOOKUP($H618,'[1]SIG Level Structure'!$D:$D,'[1]SIG Level Structure'!F:F)</f>
        <v>P2</v>
      </c>
      <c r="K618" s="37" t="str">
        <f>E618&amp;"-"&amp;J618&amp;"-"&amp;G618</f>
        <v>CUT040-P2-09</v>
      </c>
      <c r="L618" s="37" t="str">
        <f>IFERROR(D618&amp;"-"&amp;LEFT(J618,1),"--")</f>
        <v>CUT-P</v>
      </c>
      <c r="M618" s="37" t="str">
        <f>VLOOKUP(L618,'[1]Compatible JC'!$A:$A,1,FALSE)</f>
        <v>CUT-P</v>
      </c>
      <c r="N618" s="37" t="str">
        <f>IFERROR(_xlfn.XLOOKUP(H618,'[1]SIG Level Structure'!D:D,'[1]SIG Level Structure'!C:C),"--")</f>
        <v>Senior Specialist</v>
      </c>
      <c r="O618" s="38" t="str">
        <f>IFERROR(TRIM(N618&amp;" "&amp;C618),"--")</f>
        <v>Senior Specialist Training</v>
      </c>
      <c r="P618" s="22" t="str">
        <f>_xlfn.XLOOKUP(E618,'[1]SIG Job Families &amp; Descriptions'!A:A,'[1]SIG Job Families &amp; Descriptions'!G:G)</f>
        <v>Provides technical expertise to internal stakeholders, e.g. from commercial area and customers. Performs technical support at customer sites or on a multiple-site basis.
Develops and implements training activities directed at both employee competencies and technical skills. Collaborates with other functions to ensure that current specifications and information on new processes and equipment is reflected.</v>
      </c>
      <c r="Q618" s="39" t="str">
        <f>_xlfn.XLOOKUP(E618,'[1]2022 GI Position Descriptions'!E:E,'[1]2022 GI Position Descriptions'!G:G)</f>
        <v>Develops, implements and/or delivers technical training as it relates to the organization's products | Works with product development teams to update training materials and ensure accuracy and effectiveness of courseware and supporting materials to align with new product releases | May provide technical product training to both internal staff (e.g., customer services, engineers, sales staff) and customers</v>
      </c>
      <c r="R618" s="22" t="str">
        <f>IF(LEFT(J618,1)="E","EX",LEFT(J618,1))</f>
        <v>P</v>
      </c>
      <c r="S618" s="22" t="str">
        <f>_xlfn.XLOOKUP($R618,'[1]Career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618" s="22" t="str">
        <f>J618</f>
        <v>P2</v>
      </c>
      <c r="U618" s="40" t="str">
        <f t="shared" si="19"/>
        <v>P2</v>
      </c>
      <c r="V618" s="22" t="str">
        <f>_xlfn.XLOOKUP(T618,'[1]Career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618" s="41" t="str">
        <f>J618&amp;"-"&amp;G618</f>
        <v>P2-09</v>
      </c>
      <c r="X618" s="42" t="str">
        <f>G618</f>
        <v>09</v>
      </c>
      <c r="Y618" s="22" t="str">
        <f>_xlfn.XLOOKUP(W618,'[1]Career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618" s="43" t="str">
        <f>IFERROR(O618&amp;" - "&amp;G618,"--")</f>
        <v>Senior Specialist Training - 09</v>
      </c>
      <c r="AA618" s="44" t="str">
        <f>_xlfn.XLOOKUP($H618,'[1]SIG Qualifications Input'!$D:$D,'[1]SIG Qualifications Input'!$H:$H)</f>
        <v>University degree or equivalent and 2-4 years of work experience or equivalent</v>
      </c>
    </row>
    <row r="619" spans="1:27" ht="169" thickBot="1" x14ac:dyDescent="0.2">
      <c r="A619" s="34" t="str">
        <f>_xlfn.XLOOKUP(C619,'[1]SIG Job Families &amp; Descriptions'!F:F,'[1]SIG Job Families &amp; Descriptions'!B:B)</f>
        <v>Technical Services</v>
      </c>
      <c r="B619" s="34" t="str">
        <f>_xlfn.XLOOKUP(C619,'[1]SIG Job Families &amp; Descriptions'!F:F,'[1]SIG Job Families &amp; Descriptions'!D:D)</f>
        <v>Technical Services</v>
      </c>
      <c r="C619" s="34" t="s">
        <v>127</v>
      </c>
      <c r="D619" s="30" t="str">
        <f t="shared" si="18"/>
        <v>CUT</v>
      </c>
      <c r="E619" s="31" t="str">
        <f>_xlfn.XLOOKUP(C619,'[1]SIG Job Families &amp; Descriptions'!F:F,'[1]SIG Job Families &amp; Descriptions'!A:A)</f>
        <v>CUT010</v>
      </c>
      <c r="F619" s="32" t="s">
        <v>32</v>
      </c>
      <c r="G619" s="33" t="s">
        <v>34</v>
      </c>
      <c r="H619" s="34" t="str">
        <f>F619&amp;"-"&amp;G619</f>
        <v>Professional-12</v>
      </c>
      <c r="I619" s="35" t="str">
        <f>IF(ISERROR(_xlfn.XLOOKUP(H619,'[1]SIG Level Structure'!D:D,'[1]SIG Level Structure'!D:D)),"0","1")</f>
        <v>1</v>
      </c>
      <c r="J619" s="36" t="str">
        <f>_xlfn.XLOOKUP($H619,'[1]SIG Level Structure'!$D:$D,'[1]SIG Level Structure'!F:F)</f>
        <v>P3</v>
      </c>
      <c r="K619" s="37" t="str">
        <f>E619&amp;"-"&amp;J619&amp;"-"&amp;G619</f>
        <v>CUT010-P3-12</v>
      </c>
      <c r="L619" s="37" t="str">
        <f>IFERROR(D619&amp;"-"&amp;LEFT(J619,1),"--")</f>
        <v>CUT-P</v>
      </c>
      <c r="M619" s="37" t="str">
        <f>VLOOKUP(L619,'[1]Compatible JC'!$A:$A,1,FALSE)</f>
        <v>CUT-P</v>
      </c>
      <c r="N619" s="37" t="str">
        <f>IFERROR(_xlfn.XLOOKUP(H619,'[1]SIG Level Structure'!D:D,'[1]SIG Level Structure'!C:C),"--")</f>
        <v>Expert</v>
      </c>
      <c r="O619" s="38" t="str">
        <f>IFERROR(TRIM(N619&amp;" "&amp;C619),"--")</f>
        <v>Expert Pre-Sales Technical Support</v>
      </c>
      <c r="P619" s="22" t="str">
        <f>_xlfn.XLOOKUP(E619,'[1]SIG Job Families &amp; Descriptions'!A:A,'[1]SIG Job Families &amp; Descriptions'!G:G)</f>
        <v>Provides technical expertise to internal stakeholders, e.g. from commercial area and customers. Performs technical support at customer sites or on a multiple-site basis.
Develops and implements training activities directed at both employee competencies and technical skills. Collaborates with other functions to ensure that current specifications and information on new processes and equipment is reflected.</v>
      </c>
      <c r="Q619" s="39" t="str">
        <f>_xlfn.XLOOKUP(E619,'[1]2022 GI Position Descriptions'!E:E,'[1]2022 GI Position Descriptions'!G:G)</f>
        <v>Provides pre-sales technical expertise to the sales team and customers during the sales process | Provides technical input into bid proposals, projects and technical documents within the sales process and identifies additional sales opportunities with existing customers | Installs and demonstrates the organization's products at customer sites | Collaborates with sales teams to develop and recommend products and services to meet customers' requirements | Maintains up-to-date and comprehensive knowledge of the organization's and competitors' products and/or services</v>
      </c>
      <c r="R619" s="22" t="str">
        <f>IF(LEFT(J619,1)="E","EX",LEFT(J619,1))</f>
        <v>P</v>
      </c>
      <c r="S619" s="22" t="str">
        <f>_xlfn.XLOOKUP($R619,'[1]Career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619" s="22" t="str">
        <f>J619</f>
        <v>P3</v>
      </c>
      <c r="U619" s="40" t="str">
        <f t="shared" si="19"/>
        <v>P3</v>
      </c>
      <c r="V619" s="22" t="str">
        <f>_xlfn.XLOOKUP(T619,'[1]Career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619" s="41" t="str">
        <f>J619&amp;"-"&amp;G619</f>
        <v>P3-12</v>
      </c>
      <c r="X619" s="42" t="str">
        <f>G619</f>
        <v>12</v>
      </c>
      <c r="Y619" s="22" t="str">
        <f>_xlfn.XLOOKUP(W619,'[1]Career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619" s="43" t="str">
        <f>IFERROR(O619&amp;" - "&amp;G619,"--")</f>
        <v>Expert Pre-Sales Technical Support - 12</v>
      </c>
      <c r="AA619" s="44" t="str">
        <f>_xlfn.XLOOKUP($H619,'[1]SIG Qualifications Input'!$D:$D,'[1]SIG Qualifications Input'!$H:$H)</f>
        <v>University degree or equivalent and 4-8 years of work experience or equivalent, 
Initial experience in functionally leading (sub-) projects</v>
      </c>
    </row>
    <row r="620" spans="1:27" ht="169" thickBot="1" x14ac:dyDescent="0.2">
      <c r="A620" s="34" t="str">
        <f>_xlfn.XLOOKUP(C620,'[1]SIG Job Families &amp; Descriptions'!F:F,'[1]SIG Job Families &amp; Descriptions'!B:B)</f>
        <v>Technical Services</v>
      </c>
      <c r="B620" s="34" t="str">
        <f>_xlfn.XLOOKUP(C620,'[1]SIG Job Families &amp; Descriptions'!F:F,'[1]SIG Job Families &amp; Descriptions'!D:D)</f>
        <v>Technical Services</v>
      </c>
      <c r="C620" s="34" t="s">
        <v>127</v>
      </c>
      <c r="D620" s="30" t="str">
        <f t="shared" si="18"/>
        <v>CUT</v>
      </c>
      <c r="E620" s="31" t="str">
        <f>_xlfn.XLOOKUP(C620,'[1]SIG Job Families &amp; Descriptions'!F:F,'[1]SIG Job Families &amp; Descriptions'!A:A)</f>
        <v>CUT010</v>
      </c>
      <c r="F620" s="32" t="s">
        <v>32</v>
      </c>
      <c r="G620" s="33" t="s">
        <v>35</v>
      </c>
      <c r="H620" s="34" t="str">
        <f>F620&amp;"-"&amp;G620</f>
        <v>Professional-11</v>
      </c>
      <c r="I620" s="35" t="str">
        <f>IF(ISERROR(_xlfn.XLOOKUP(H620,'[1]SIG Level Structure'!D:D,'[1]SIG Level Structure'!D:D)),"0","1")</f>
        <v>1</v>
      </c>
      <c r="J620" s="36" t="str">
        <f>_xlfn.XLOOKUP($H620,'[1]SIG Level Structure'!$D:$D,'[1]SIG Level Structure'!F:F)</f>
        <v>P3</v>
      </c>
      <c r="K620" s="37" t="str">
        <f>E620&amp;"-"&amp;J620&amp;"-"&amp;G620</f>
        <v>CUT010-P3-11</v>
      </c>
      <c r="L620" s="37" t="str">
        <f>IFERROR(D620&amp;"-"&amp;LEFT(J620,1),"--")</f>
        <v>CUT-P</v>
      </c>
      <c r="M620" s="37" t="str">
        <f>VLOOKUP(L620,'[1]Compatible JC'!$A:$A,1,FALSE)</f>
        <v>CUT-P</v>
      </c>
      <c r="N620" s="37" t="str">
        <f>IFERROR(_xlfn.XLOOKUP(H620,'[1]SIG Level Structure'!D:D,'[1]SIG Level Structure'!C:C),"--")</f>
        <v>Expert</v>
      </c>
      <c r="O620" s="38" t="str">
        <f>IFERROR(TRIM(N620&amp;" "&amp;C620),"--")</f>
        <v>Expert Pre-Sales Technical Support</v>
      </c>
      <c r="P620" s="22" t="str">
        <f>_xlfn.XLOOKUP(E620,'[1]SIG Job Families &amp; Descriptions'!A:A,'[1]SIG Job Families &amp; Descriptions'!G:G)</f>
        <v>Provides technical expertise to internal stakeholders, e.g. from commercial area and customers. Performs technical support at customer sites or on a multiple-site basis.
Develops and implements training activities directed at both employee competencies and technical skills. Collaborates with other functions to ensure that current specifications and information on new processes and equipment is reflected.</v>
      </c>
      <c r="Q620" s="39" t="str">
        <f>_xlfn.XLOOKUP(E620,'[1]2022 GI Position Descriptions'!E:E,'[1]2022 GI Position Descriptions'!G:G)</f>
        <v>Provides pre-sales technical expertise to the sales team and customers during the sales process | Provides technical input into bid proposals, projects and technical documents within the sales process and identifies additional sales opportunities with existing customers | Installs and demonstrates the organization's products at customer sites | Collaborates with sales teams to develop and recommend products and services to meet customers' requirements | Maintains up-to-date and comprehensive knowledge of the organization's and competitors' products and/or services</v>
      </c>
      <c r="R620" s="22" t="str">
        <f>IF(LEFT(J620,1)="E","EX",LEFT(J620,1))</f>
        <v>P</v>
      </c>
      <c r="S620" s="22" t="str">
        <f>_xlfn.XLOOKUP($R620,'[1]Career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620" s="22" t="str">
        <f>J620</f>
        <v>P3</v>
      </c>
      <c r="U620" s="40" t="str">
        <f t="shared" si="19"/>
        <v>P3</v>
      </c>
      <c r="V620" s="22" t="str">
        <f>_xlfn.XLOOKUP(T620,'[1]Career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620" s="41" t="str">
        <f>J620&amp;"-"&amp;G620</f>
        <v>P3-11</v>
      </c>
      <c r="X620" s="42" t="str">
        <f>G620</f>
        <v>11</v>
      </c>
      <c r="Y620" s="22" t="str">
        <f>_xlfn.XLOOKUP(W620,'[1]Career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620" s="43" t="str">
        <f>IFERROR(O620&amp;" - "&amp;G620,"--")</f>
        <v>Expert Pre-Sales Technical Support - 11</v>
      </c>
      <c r="AA620" s="44" t="str">
        <f>_xlfn.XLOOKUP($H620,'[1]SIG Qualifications Input'!$D:$D,'[1]SIG Qualifications Input'!$H:$H)</f>
        <v>University degree or equivalent and 4-8 years of work experience or equivalent, 
Initial experience in functionally leading (sub-) projects</v>
      </c>
    </row>
    <row r="621" spans="1:27" ht="169" thickBot="1" x14ac:dyDescent="0.2">
      <c r="A621" s="34" t="str">
        <f>_xlfn.XLOOKUP(C621,'[1]SIG Job Families &amp; Descriptions'!F:F,'[1]SIG Job Families &amp; Descriptions'!B:B)</f>
        <v>Technical Services</v>
      </c>
      <c r="B621" s="34" t="str">
        <f>_xlfn.XLOOKUP(C621,'[1]SIG Job Families &amp; Descriptions'!F:F,'[1]SIG Job Families &amp; Descriptions'!D:D)</f>
        <v>Technical Services</v>
      </c>
      <c r="C621" s="34" t="s">
        <v>127</v>
      </c>
      <c r="D621" s="30" t="str">
        <f t="shared" si="18"/>
        <v>CUT</v>
      </c>
      <c r="E621" s="31" t="str">
        <f>_xlfn.XLOOKUP(C621,'[1]SIG Job Families &amp; Descriptions'!F:F,'[1]SIG Job Families &amp; Descriptions'!A:A)</f>
        <v>CUT010</v>
      </c>
      <c r="F621" s="32" t="s">
        <v>32</v>
      </c>
      <c r="G621" s="33" t="s">
        <v>36</v>
      </c>
      <c r="H621" s="34" t="str">
        <f>F621&amp;"-"&amp;G621</f>
        <v>Professional-10</v>
      </c>
      <c r="I621" s="35" t="str">
        <f>IF(ISERROR(_xlfn.XLOOKUP(H621,'[1]SIG Level Structure'!D:D,'[1]SIG Level Structure'!D:D)),"0","1")</f>
        <v>1</v>
      </c>
      <c r="J621" s="36" t="str">
        <f>_xlfn.XLOOKUP($H621,'[1]SIG Level Structure'!$D:$D,'[1]SIG Level Structure'!F:F)</f>
        <v>P2</v>
      </c>
      <c r="K621" s="37" t="str">
        <f>E621&amp;"-"&amp;J621&amp;"-"&amp;G621</f>
        <v>CUT010-P2-10</v>
      </c>
      <c r="L621" s="37" t="str">
        <f>IFERROR(D621&amp;"-"&amp;LEFT(J621,1),"--")</f>
        <v>CUT-P</v>
      </c>
      <c r="M621" s="37" t="str">
        <f>VLOOKUP(L621,'[1]Compatible JC'!$A:$A,1,FALSE)</f>
        <v>CUT-P</v>
      </c>
      <c r="N621" s="37" t="str">
        <f>IFERROR(_xlfn.XLOOKUP(H621,'[1]SIG Level Structure'!D:D,'[1]SIG Level Structure'!C:C),"--")</f>
        <v>Senior Specialist</v>
      </c>
      <c r="O621" s="38" t="str">
        <f>IFERROR(TRIM(N621&amp;" "&amp;C621),"--")</f>
        <v>Senior Specialist Pre-Sales Technical Support</v>
      </c>
      <c r="P621" s="22" t="str">
        <f>_xlfn.XLOOKUP(E621,'[1]SIG Job Families &amp; Descriptions'!A:A,'[1]SIG Job Families &amp; Descriptions'!G:G)</f>
        <v>Provides technical expertise to internal stakeholders, e.g. from commercial area and customers. Performs technical support at customer sites or on a multiple-site basis.
Develops and implements training activities directed at both employee competencies and technical skills. Collaborates with other functions to ensure that current specifications and information on new processes and equipment is reflected.</v>
      </c>
      <c r="Q621" s="39" t="str">
        <f>_xlfn.XLOOKUP(E621,'[1]2022 GI Position Descriptions'!E:E,'[1]2022 GI Position Descriptions'!G:G)</f>
        <v>Provides pre-sales technical expertise to the sales team and customers during the sales process | Provides technical input into bid proposals, projects and technical documents within the sales process and identifies additional sales opportunities with existing customers | Installs and demonstrates the organization's products at customer sites | Collaborates with sales teams to develop and recommend products and services to meet customers' requirements | Maintains up-to-date and comprehensive knowledge of the organization's and competitors' products and/or services</v>
      </c>
      <c r="R621" s="22" t="str">
        <f>IF(LEFT(J621,1)="E","EX",LEFT(J621,1))</f>
        <v>P</v>
      </c>
      <c r="S621" s="22" t="str">
        <f>_xlfn.XLOOKUP($R621,'[1]Career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621" s="22" t="str">
        <f>J621</f>
        <v>P2</v>
      </c>
      <c r="U621" s="40" t="str">
        <f t="shared" si="19"/>
        <v>P2</v>
      </c>
      <c r="V621" s="22" t="str">
        <f>_xlfn.XLOOKUP(T621,'[1]Career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621" s="41" t="str">
        <f>J621&amp;"-"&amp;G621</f>
        <v>P2-10</v>
      </c>
      <c r="X621" s="42" t="str">
        <f>G621</f>
        <v>10</v>
      </c>
      <c r="Y621" s="22" t="str">
        <f>_xlfn.XLOOKUP(W621,'[1]Career Bands &amp; Levels'!A:A,'[1]Career Bands &amp; Levels'!C:C,"No Grade Differentiator")</f>
        <v xml:space="preserve">●	Typically follows prescribed guidelines or procedures to resolve problems		
●	Has working knowledge of basic concepts and procedures; performs a variety of routine tasks or assignments		
●	May train new team members and provide input to employee performance evaluations		
●	Works with a moderate level of guidance		</v>
      </c>
      <c r="Z621" s="43" t="str">
        <f>IFERROR(O621&amp;" - "&amp;G621,"--")</f>
        <v>Senior Specialist Pre-Sales Technical Support - 10</v>
      </c>
      <c r="AA621" s="44" t="str">
        <f>_xlfn.XLOOKUP($H621,'[1]SIG Qualifications Input'!$D:$D,'[1]SIG Qualifications Input'!$H:$H)</f>
        <v>University degree or equivalent and 2-4 years of work experience or equivalent</v>
      </c>
    </row>
    <row r="622" spans="1:27" ht="169" thickBot="1" x14ac:dyDescent="0.2">
      <c r="A622" s="34" t="str">
        <f>_xlfn.XLOOKUP(C622,'[1]SIG Job Families &amp; Descriptions'!F:F,'[1]SIG Job Families &amp; Descriptions'!B:B)</f>
        <v>Technical Services</v>
      </c>
      <c r="B622" s="34" t="str">
        <f>_xlfn.XLOOKUP(C622,'[1]SIG Job Families &amp; Descriptions'!F:F,'[1]SIG Job Families &amp; Descriptions'!D:D)</f>
        <v>Technical Services</v>
      </c>
      <c r="C622" s="34" t="s">
        <v>127</v>
      </c>
      <c r="D622" s="30" t="str">
        <f t="shared" si="18"/>
        <v>CUT</v>
      </c>
      <c r="E622" s="31" t="str">
        <f>_xlfn.XLOOKUP(C622,'[1]SIG Job Families &amp; Descriptions'!F:F,'[1]SIG Job Families &amp; Descriptions'!A:A)</f>
        <v>CUT010</v>
      </c>
      <c r="F622" s="32" t="s">
        <v>32</v>
      </c>
      <c r="G622" s="33" t="s">
        <v>37</v>
      </c>
      <c r="H622" s="34" t="str">
        <f>F622&amp;"-"&amp;G622</f>
        <v>Professional-09</v>
      </c>
      <c r="I622" s="35" t="str">
        <f>IF(ISERROR(_xlfn.XLOOKUP(H622,'[1]SIG Level Structure'!D:D,'[1]SIG Level Structure'!D:D)),"0","1")</f>
        <v>1</v>
      </c>
      <c r="J622" s="36" t="str">
        <f>_xlfn.XLOOKUP($H622,'[1]SIG Level Structure'!$D:$D,'[1]SIG Level Structure'!F:F)</f>
        <v>P2</v>
      </c>
      <c r="K622" s="37" t="str">
        <f>E622&amp;"-"&amp;J622&amp;"-"&amp;G622</f>
        <v>CUT010-P2-09</v>
      </c>
      <c r="L622" s="37" t="str">
        <f>IFERROR(D622&amp;"-"&amp;LEFT(J622,1),"--")</f>
        <v>CUT-P</v>
      </c>
      <c r="M622" s="37" t="str">
        <f>VLOOKUP(L622,'[1]Compatible JC'!$A:$A,1,FALSE)</f>
        <v>CUT-P</v>
      </c>
      <c r="N622" s="37" t="str">
        <f>IFERROR(_xlfn.XLOOKUP(H622,'[1]SIG Level Structure'!D:D,'[1]SIG Level Structure'!C:C),"--")</f>
        <v>Senior Specialist</v>
      </c>
      <c r="O622" s="38" t="str">
        <f>IFERROR(TRIM(N622&amp;" "&amp;C622),"--")</f>
        <v>Senior Specialist Pre-Sales Technical Support</v>
      </c>
      <c r="P622" s="22" t="str">
        <f>_xlfn.XLOOKUP(E622,'[1]SIG Job Families &amp; Descriptions'!A:A,'[1]SIG Job Families &amp; Descriptions'!G:G)</f>
        <v>Provides technical expertise to internal stakeholders, e.g. from commercial area and customers. Performs technical support at customer sites or on a multiple-site basis.
Develops and implements training activities directed at both employee competencies and technical skills. Collaborates with other functions to ensure that current specifications and information on new processes and equipment is reflected.</v>
      </c>
      <c r="Q622" s="39" t="str">
        <f>_xlfn.XLOOKUP(E622,'[1]2022 GI Position Descriptions'!E:E,'[1]2022 GI Position Descriptions'!G:G)</f>
        <v>Provides pre-sales technical expertise to the sales team and customers during the sales process | Provides technical input into bid proposals, projects and technical documents within the sales process and identifies additional sales opportunities with existing customers | Installs and demonstrates the organization's products at customer sites | Collaborates with sales teams to develop and recommend products and services to meet customers' requirements | Maintains up-to-date and comprehensive knowledge of the organization's and competitors' products and/or services</v>
      </c>
      <c r="R622" s="22" t="str">
        <f>IF(LEFT(J622,1)="E","EX",LEFT(J622,1))</f>
        <v>P</v>
      </c>
      <c r="S622" s="22" t="str">
        <f>_xlfn.XLOOKUP($R622,'[1]Career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622" s="22" t="str">
        <f>J622</f>
        <v>P2</v>
      </c>
      <c r="U622" s="40" t="str">
        <f t="shared" si="19"/>
        <v>P2</v>
      </c>
      <c r="V622" s="22" t="str">
        <f>_xlfn.XLOOKUP(T622,'[1]Career Bands &amp; Levels'!A:A,'[1]Career Bands &amp; Levels'!C:C)</f>
        <v xml:space="preserve">●	Has working knowledge and experience in own discipline		
●	Continues to build knowledge of the organization, processes and customers		
●	Performs a range of mainly straightforward assignments		
●	Uses prescribed guidelines or policies to analyze and resolve problems		
●	Receives a moderate level of guidance and direction		</v>
      </c>
      <c r="W622" s="41" t="str">
        <f>J622&amp;"-"&amp;G622</f>
        <v>P2-09</v>
      </c>
      <c r="X622" s="42" t="str">
        <f>G622</f>
        <v>09</v>
      </c>
      <c r="Y622" s="22" t="str">
        <f>_xlfn.XLOOKUP(W622,'[1]Career Bands &amp; Levels'!A:A,'[1]Career Bands &amp; Levels'!C:C,"No Grade Differentiator")</f>
        <v xml:space="preserve">●	Has limited work experience involving basic concepts and procedures		
●	Develops competence by performing structured work assignments		
●	Uses existing procedures to solve routine or standard problems		
●	Works under supervision and direction from more senior level roles		</v>
      </c>
      <c r="Z622" s="43" t="str">
        <f>IFERROR(O622&amp;" - "&amp;G622,"--")</f>
        <v>Senior Specialist Pre-Sales Technical Support - 09</v>
      </c>
      <c r="AA622" s="44" t="str">
        <f>_xlfn.XLOOKUP($H622,'[1]SIG Qualifications Input'!$D:$D,'[1]SIG Qualifications Input'!$H:$H)</f>
        <v>University degree or equivalent and 2-4 years of work experience or equivalent</v>
      </c>
    </row>
    <row r="623" spans="1:27" ht="169" thickBot="1" x14ac:dyDescent="0.2">
      <c r="A623" s="34" t="str">
        <f>_xlfn.XLOOKUP(C623,'[1]SIG Job Families &amp; Descriptions'!F:F,'[1]SIG Job Families &amp; Descriptions'!B:B)</f>
        <v>Technical Services</v>
      </c>
      <c r="B623" s="34" t="str">
        <f>_xlfn.XLOOKUP(C623,'[1]SIG Job Families &amp; Descriptions'!F:F,'[1]SIG Job Families &amp; Descriptions'!D:D)</f>
        <v>Technical Services</v>
      </c>
      <c r="C623" s="34" t="s">
        <v>125</v>
      </c>
      <c r="D623" s="30" t="str">
        <f t="shared" si="18"/>
        <v>AMT</v>
      </c>
      <c r="E623" s="31" t="str">
        <f>_xlfn.XLOOKUP(C623,'[1]SIG Job Families &amp; Descriptions'!F:F,'[1]SIG Job Families &amp; Descriptions'!A:A)</f>
        <v>AMT000</v>
      </c>
      <c r="F623" s="32" t="s">
        <v>32</v>
      </c>
      <c r="G623" s="33" t="s">
        <v>43</v>
      </c>
      <c r="H623" s="34" t="str">
        <f>F623&amp;"-"&amp;G623</f>
        <v>Professional-08</v>
      </c>
      <c r="I623" s="35" t="str">
        <f>IF(ISERROR(_xlfn.XLOOKUP(H623,'[1]SIG Level Structure'!D:D,'[1]SIG Level Structure'!D:D)),"0","1")</f>
        <v>1</v>
      </c>
      <c r="J623" s="36" t="str">
        <f>_xlfn.XLOOKUP($H623,'[1]SIG Level Structure'!$D:$D,'[1]SIG Level Structure'!F:F)</f>
        <v>P1</v>
      </c>
      <c r="K623" s="37" t="str">
        <f>E623&amp;"-"&amp;J623&amp;"-"&amp;G623</f>
        <v>AMT000-P1-08</v>
      </c>
      <c r="L623" s="37" t="str">
        <f>IFERROR(D623&amp;"-"&amp;LEFT(J623,1),"--")</f>
        <v>AMT-P</v>
      </c>
      <c r="M623" s="37" t="str">
        <f>VLOOKUP(L623,'[1]Compatible JC'!$A:$A,1,FALSE)</f>
        <v>AMT-P</v>
      </c>
      <c r="N623" s="37" t="str">
        <f>IFERROR(_xlfn.XLOOKUP(H623,'[1]SIG Level Structure'!D:D,'[1]SIG Level Structure'!C:C),"--")</f>
        <v>Specialist</v>
      </c>
      <c r="O623" s="38" t="str">
        <f>IFERROR(TRIM(N623&amp;" "&amp;C623),"--")</f>
        <v>Specialist Technical Services</v>
      </c>
      <c r="P623" s="22" t="str">
        <f>_xlfn.XLOOKUP(E623,'[1]SIG Job Families &amp; Descriptions'!A:A,'[1]SIG Job Families &amp; Descriptions'!G:G)</f>
        <v>Provides technical expertise to internal stakeholders, e.g. from commercial area and customers. Performs technical support at customer sites or on a multiple-site basis.
Develops and implements training activities directed at both employee competencies and technical skills. Collaborates with other functions to ensure that current specifications and information on new processes and equipment is reflected.</v>
      </c>
      <c r="Q623" s="39" t="str">
        <f>_xlfn.XLOOKUP(E623,'[1]2022 GI Position Descriptions'!E:E,'[1]2022 GI Position Descriptions'!G:G)</f>
        <v>Provides post-sale technical support services to customers, including installation, troubleshooting, problem resolution and maintenance of products and services | Responsibilities are within the Technical Customer Support Function as a generalist or in a combination of Disciplines</v>
      </c>
      <c r="R623" s="22" t="str">
        <f>IF(LEFT(J623,1)="E","EX",LEFT(J623,1))</f>
        <v>P</v>
      </c>
      <c r="S623" s="22" t="str">
        <f>_xlfn.XLOOKUP($R623,'[1]Career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623" s="22" t="str">
        <f>J623</f>
        <v>P1</v>
      </c>
      <c r="U623" s="40" t="str">
        <f t="shared" si="19"/>
        <v>P1</v>
      </c>
      <c r="V623" s="22" t="str">
        <f>_xlfn.XLOOKUP(T623,'[1]Career Bands &amp; Levels'!A:A,'[1]Career Bands &amp; Levels'!C:C)</f>
        <v xml:space="preserve">●	Performs routine assignments in the entry level of the Professional Career Band		
●	Typically requires a college or university degree or the equivalent work experience and has conceptual knowledge of fundamental theories, principles and practices 		
●	Has no discretion to vary from established procedures by performing structured work assignments		
●	Uses existing procedures to solve routine or standard problems		
●	Receives instruction, guidance and direction from more senior level roles		</v>
      </c>
      <c r="W623" s="41" t="str">
        <f>J623&amp;"-"&amp;G623</f>
        <v>P1-08</v>
      </c>
      <c r="X623" s="42" t="str">
        <f>G623</f>
        <v>08</v>
      </c>
      <c r="Y623" s="22" t="str">
        <f>_xlfn.XLOOKUP(W623,'[1]Career Bands &amp; Levels'!A:A,'[1]Career Bands &amp; Levels'!C:C,"No Grade Differentiator")</f>
        <v>No Grade Differentiator</v>
      </c>
      <c r="Z623" s="43" t="str">
        <f>IFERROR(O623&amp;" - "&amp;G623,"--")</f>
        <v>Specialist Technical Services - 08</v>
      </c>
      <c r="AA623" s="44" t="str">
        <f>_xlfn.XLOOKUP($H623,'[1]SIG Qualifications Input'!$D:$D,'[1]SIG Qualifications Input'!$H:$H)</f>
        <v>University degree or equivalent and 0-1 year of work experience or equivalent</v>
      </c>
    </row>
    <row r="624" spans="1:27" ht="127" thickBot="1" x14ac:dyDescent="0.2">
      <c r="A624" s="34" t="str">
        <f>_xlfn.XLOOKUP(C624,'[1]SIG Job Families &amp; Descriptions'!F:F,'[1]SIG Job Families &amp; Descriptions'!B:B)</f>
        <v>Technical Services</v>
      </c>
      <c r="B624" s="34" t="str">
        <f>_xlfn.XLOOKUP(C624,'[1]SIG Job Families &amp; Descriptions'!F:F,'[1]SIG Job Families &amp; Descriptions'!D:D)</f>
        <v>Technical Services</v>
      </c>
      <c r="C624" s="34" t="s">
        <v>125</v>
      </c>
      <c r="D624" s="30" t="str">
        <f t="shared" si="18"/>
        <v>AMT</v>
      </c>
      <c r="E624" s="31" t="str">
        <f>_xlfn.XLOOKUP(C624,'[1]SIG Job Families &amp; Descriptions'!F:F,'[1]SIG Job Families &amp; Descriptions'!A:A)</f>
        <v>AMT000</v>
      </c>
      <c r="F624" s="32" t="s">
        <v>50</v>
      </c>
      <c r="G624" s="33" t="s">
        <v>36</v>
      </c>
      <c r="H624" s="34" t="str">
        <f>F624&amp;"-"&amp;G624</f>
        <v>Operations-10</v>
      </c>
      <c r="I624" s="35" t="str">
        <f>IF(ISERROR(_xlfn.XLOOKUP(H624,'[1]SIG Level Structure'!D:D,'[1]SIG Level Structure'!D:D)),"0","1")</f>
        <v>1</v>
      </c>
      <c r="J624" s="36" t="str">
        <f>_xlfn.XLOOKUP($H624,'[1]SIG Level Structure'!$D:$D,'[1]SIG Level Structure'!F:F)</f>
        <v>T4</v>
      </c>
      <c r="K624" s="37" t="str">
        <f>E624&amp;"-"&amp;J624&amp;"-"&amp;G624</f>
        <v>AMT000-T4-10</v>
      </c>
      <c r="L624" s="37" t="str">
        <f>IFERROR(D624&amp;"-"&amp;LEFT(J624,1),"--")</f>
        <v>AMT-T</v>
      </c>
      <c r="M624" s="37" t="str">
        <f>VLOOKUP(L624,'[1]Compatible JC'!$A:$A,1,FALSE)</f>
        <v>AMT-T</v>
      </c>
      <c r="N624" s="37" t="str">
        <f>IFERROR(_xlfn.XLOOKUP(H624,'[1]SIG Level Structure'!D:D,'[1]SIG Level Structure'!C:C),"--")</f>
        <v>Senior Technician</v>
      </c>
      <c r="O624" s="38" t="str">
        <f>IFERROR(TRIM(N624&amp;" "&amp;C624),"--")</f>
        <v>Senior Technician Technical Services</v>
      </c>
      <c r="P624" s="22" t="str">
        <f>_xlfn.XLOOKUP(E624,'[1]SIG Job Families &amp; Descriptions'!A:A,'[1]SIG Job Families &amp; Descriptions'!G:G)</f>
        <v>Provides technical expertise to internal stakeholders, e.g. from commercial area and customers. Performs technical support at customer sites or on a multiple-site basis.
Develops and implements training activities directed at both employee competencies and technical skills. Collaborates with other functions to ensure that current specifications and information on new processes and equipment is reflected.</v>
      </c>
      <c r="Q624" s="39" t="str">
        <f>_xlfn.XLOOKUP(E624,'[1]2022 GI Position Descriptions'!E:E,'[1]2022 GI Position Descriptions'!G:G)</f>
        <v>Provides post-sale technical support services to customers, including installation, troubleshooting, problem resolution and maintenance of products and services | Responsibilities are within the Technical Customer Support Function as a generalist or in a combination of Disciplines</v>
      </c>
      <c r="R624" s="22" t="str">
        <f>IF(LEFT(J624,1)="E","EX",LEFT(J624,1))</f>
        <v>T</v>
      </c>
      <c r="S624" s="22" t="str">
        <f>_xlfn.XLOOKUP($R624,'[1]Career Bands &amp; Levels'!A:A,'[1]Career Bands &amp; Levels'!C:C)</f>
        <v>● Performs specialized technical tasks required to support operations (e.g., IT development, research support, skilled trade)
● Requires vocational training or the equivalent experience and may require external certification but typically does not require a university degree</v>
      </c>
      <c r="T624" s="22" t="str">
        <f>J624</f>
        <v>T4</v>
      </c>
      <c r="U624" s="40" t="str">
        <f t="shared" si="19"/>
        <v>T4</v>
      </c>
      <c r="V624" s="22" t="str">
        <f>_xlfn.XLOOKUP(T624,'[1]Career Bands &amp; Levels'!A:A,'[1]Career Bands &amp; Levels'!C:C)</f>
        <v xml:space="preserve">●	Has advanced and specialized expertise, typically developed through a combination of job-related training and considerable work experience		
●	Proposes improvements to processes		
●	May act as a lead, coordinating and facilitating the work of others but is not a supervisor		
●	Works autonomously within established procedures and practices		
●	Spends a majority of working time performing the same work processes and activities as employees on team		</v>
      </c>
      <c r="W624" s="41" t="str">
        <f>J624&amp;"-"&amp;G624</f>
        <v>T4-10</v>
      </c>
      <c r="X624" s="42" t="str">
        <f>G624</f>
        <v>10</v>
      </c>
      <c r="Y624" s="22" t="str">
        <f>_xlfn.XLOOKUP(W624,'[1]Career Bands &amp; Levels'!A:A,'[1]Career Bands &amp; Levels'!C:C,"No Grade Differentiator")</f>
        <v xml:space="preserve">●	Performs a variety of the most complex tasks and/or may lead one or more teams		
●	Analyzes the most complex technical problems and delivers solutions where precedent may not exist		</v>
      </c>
      <c r="Z624" s="43" t="str">
        <f>IFERROR(O624&amp;" - "&amp;G624,"--")</f>
        <v>Senior Technician Technical Services - 10</v>
      </c>
      <c r="AA624" s="44" t="str">
        <f>_xlfn.XLOOKUP($H624,'[1]SIG Qualifications Input'!$D:$D,'[1]SIG Qualifications Input'!$H:$H)</f>
        <v>Typically an Associate’s degree or 2 to 4 years of vocational technical training preferred. HS diploma or equivalent required. Specialized skill training/certification often required to meet specific needs. Deep and specialized practical experience required, often more then 10 years.</v>
      </c>
    </row>
    <row r="625" spans="1:27" ht="127" thickBot="1" x14ac:dyDescent="0.2">
      <c r="A625" s="34" t="str">
        <f>_xlfn.XLOOKUP(C625,'[1]SIG Job Families &amp; Descriptions'!F:F,'[1]SIG Job Families &amp; Descriptions'!B:B)</f>
        <v>Technical Services</v>
      </c>
      <c r="B625" s="34" t="str">
        <f>_xlfn.XLOOKUP(C625,'[1]SIG Job Families &amp; Descriptions'!F:F,'[1]SIG Job Families &amp; Descriptions'!D:D)</f>
        <v>Technical Services</v>
      </c>
      <c r="C625" s="34" t="s">
        <v>125</v>
      </c>
      <c r="D625" s="30" t="str">
        <f t="shared" si="18"/>
        <v>AMT</v>
      </c>
      <c r="E625" s="31" t="str">
        <f>_xlfn.XLOOKUP(C625,'[1]SIG Job Families &amp; Descriptions'!F:F,'[1]SIG Job Families &amp; Descriptions'!A:A)</f>
        <v>AMT000</v>
      </c>
      <c r="F625" s="32" t="s">
        <v>50</v>
      </c>
      <c r="G625" s="33" t="s">
        <v>37</v>
      </c>
      <c r="H625" s="34" t="str">
        <f>F625&amp;"-"&amp;G625</f>
        <v>Operations-09</v>
      </c>
      <c r="I625" s="35" t="str">
        <f>IF(ISERROR(_xlfn.XLOOKUP(H625,'[1]SIG Level Structure'!D:D,'[1]SIG Level Structure'!D:D)),"0","1")</f>
        <v>1</v>
      </c>
      <c r="J625" s="36" t="str">
        <f>_xlfn.XLOOKUP($H625,'[1]SIG Level Structure'!$D:$D,'[1]SIG Level Structure'!F:F)</f>
        <v>T4</v>
      </c>
      <c r="K625" s="37" t="str">
        <f>E625&amp;"-"&amp;J625&amp;"-"&amp;G625</f>
        <v>AMT000-T4-09</v>
      </c>
      <c r="L625" s="37" t="str">
        <f>IFERROR(D625&amp;"-"&amp;LEFT(J625,1),"--")</f>
        <v>AMT-T</v>
      </c>
      <c r="M625" s="37" t="str">
        <f>VLOOKUP(L625,'[1]Compatible JC'!$A:$A,1,FALSE)</f>
        <v>AMT-T</v>
      </c>
      <c r="N625" s="37" t="str">
        <f>IFERROR(_xlfn.XLOOKUP(H625,'[1]SIG Level Structure'!D:D,'[1]SIG Level Structure'!C:C),"--")</f>
        <v>Technician</v>
      </c>
      <c r="O625" s="38" t="str">
        <f>IFERROR(TRIM(N625&amp;" "&amp;C625),"--")</f>
        <v>Technician Technical Services</v>
      </c>
      <c r="P625" s="22" t="str">
        <f>_xlfn.XLOOKUP(E625,'[1]SIG Job Families &amp; Descriptions'!A:A,'[1]SIG Job Families &amp; Descriptions'!G:G)</f>
        <v>Provides technical expertise to internal stakeholders, e.g. from commercial area and customers. Performs technical support at customer sites or on a multiple-site basis.
Develops and implements training activities directed at both employee competencies and technical skills. Collaborates with other functions to ensure that current specifications and information on new processes and equipment is reflected.</v>
      </c>
      <c r="Q625" s="39" t="str">
        <f>_xlfn.XLOOKUP(E625,'[1]2022 GI Position Descriptions'!E:E,'[1]2022 GI Position Descriptions'!G:G)</f>
        <v>Provides post-sale technical support services to customers, including installation, troubleshooting, problem resolution and maintenance of products and services | Responsibilities are within the Technical Customer Support Function as a generalist or in a combination of Disciplines</v>
      </c>
      <c r="R625" s="22" t="str">
        <f>IF(LEFT(J625,1)="E","EX",LEFT(J625,1))</f>
        <v>T</v>
      </c>
      <c r="S625" s="22" t="str">
        <f>_xlfn.XLOOKUP($R625,'[1]Career Bands &amp; Levels'!A:A,'[1]Career Bands &amp; Levels'!C:C)</f>
        <v>● Performs specialized technical tasks required to support operations (e.g., IT development, research support, skilled trade)
● Requires vocational training or the equivalent experience and may require external certification but typically does not require a university degree</v>
      </c>
      <c r="T625" s="22" t="str">
        <f>J625</f>
        <v>T4</v>
      </c>
      <c r="U625" s="40" t="str">
        <f t="shared" si="19"/>
        <v>T4</v>
      </c>
      <c r="V625" s="22" t="str">
        <f>_xlfn.XLOOKUP(T625,'[1]Career Bands &amp; Levels'!A:A,'[1]Career Bands &amp; Levels'!C:C)</f>
        <v xml:space="preserve">●	Has advanced and specialized expertise, typically developed through a combination of job-related training and considerable work experience		
●	Proposes improvements to processes		
●	May act as a lead, coordinating and facilitating the work of others but is not a supervisor		
●	Works autonomously within established procedures and practices		
●	Spends a majority of working time performing the same work processes and activities as employees on team		</v>
      </c>
      <c r="W625" s="41" t="str">
        <f>J625&amp;"-"&amp;G625</f>
        <v>T4-09</v>
      </c>
      <c r="X625" s="42" t="str">
        <f>G625</f>
        <v>09</v>
      </c>
      <c r="Y625" s="22" t="str">
        <f>_xlfn.XLOOKUP(W625,'[1]Career Bands &amp; Levels'!A:A,'[1]Career Bands &amp; Levels'!C:C,"No Grade Differentiator")</f>
        <v xml:space="preserve">●	Performs a variety of complex tasks and/or may lead a team in the performance of a variety of tasks that are often routine		
●	Solves complex problems of a recurring nature		</v>
      </c>
      <c r="Z625" s="43" t="str">
        <f>IFERROR(O625&amp;" - "&amp;G625,"--")</f>
        <v>Technician Technical Services - 09</v>
      </c>
      <c r="AA625" s="44" t="str">
        <f>_xlfn.XLOOKUP($H625,'[1]SIG Qualifications Input'!$D:$D,'[1]SIG Qualifications Input'!$H:$H)</f>
        <v>Typically an Associate’s degree or 2 to 4 years of vocational technical training preferred. HS diploma or equivalent required. Specialized skill training/certification often required to meet specific needs. Up to 8 years of experience.</v>
      </c>
    </row>
    <row r="626" spans="1:27" ht="141" thickBot="1" x14ac:dyDescent="0.2">
      <c r="A626" s="34" t="str">
        <f>_xlfn.XLOOKUP(C626,'[1]SIG Job Families &amp; Descriptions'!F:F,'[1]SIG Job Families &amp; Descriptions'!B:B)</f>
        <v>Technical Services</v>
      </c>
      <c r="B626" s="34" t="str">
        <f>_xlfn.XLOOKUP(C626,'[1]SIG Job Families &amp; Descriptions'!F:F,'[1]SIG Job Families &amp; Descriptions'!D:D)</f>
        <v>Technical Services</v>
      </c>
      <c r="C626" s="34" t="s">
        <v>125</v>
      </c>
      <c r="D626" s="30" t="str">
        <f t="shared" si="18"/>
        <v>AMT</v>
      </c>
      <c r="E626" s="31" t="str">
        <f>_xlfn.XLOOKUP(C626,'[1]SIG Job Families &amp; Descriptions'!F:F,'[1]SIG Job Families &amp; Descriptions'!A:A)</f>
        <v>AMT000</v>
      </c>
      <c r="F626" s="32" t="s">
        <v>51</v>
      </c>
      <c r="G626" s="33" t="s">
        <v>43</v>
      </c>
      <c r="H626" s="34" t="str">
        <f>F626&amp;"-"&amp;G626</f>
        <v>Operations / Technician-08</v>
      </c>
      <c r="I626" s="35" t="str">
        <f>IF(ISERROR(_xlfn.XLOOKUP(H626,'[1]SIG Level Structure'!D:D,'[1]SIG Level Structure'!D:D)),"0","1")</f>
        <v>1</v>
      </c>
      <c r="J626" s="36" t="str">
        <f>_xlfn.XLOOKUP($H626,'[1]SIG Level Structure'!$D:$D,'[1]SIG Level Structure'!F:F)</f>
        <v>T3</v>
      </c>
      <c r="K626" s="37" t="str">
        <f>E626&amp;"-"&amp;J626&amp;"-"&amp;G626</f>
        <v>AMT000-T3-08</v>
      </c>
      <c r="L626" s="37" t="str">
        <f>IFERROR(D626&amp;"-"&amp;LEFT(J626,1),"--")</f>
        <v>AMT-T</v>
      </c>
      <c r="M626" s="37" t="str">
        <f>VLOOKUP(L626,'[1]Compatible JC'!$A:$A,1,FALSE)</f>
        <v>AMT-T</v>
      </c>
      <c r="N626" s="37" t="str">
        <f>IFERROR(_xlfn.XLOOKUP(H626,'[1]SIG Level Structure'!D:D,'[1]SIG Level Structure'!C:C),"--")</f>
        <v>Technician</v>
      </c>
      <c r="O626" s="38" t="str">
        <f>IFERROR(TRIM(N626&amp;" "&amp;C626),"--")</f>
        <v>Technician Technical Services</v>
      </c>
      <c r="P626" s="22" t="str">
        <f>_xlfn.XLOOKUP(E626,'[1]SIG Job Families &amp; Descriptions'!A:A,'[1]SIG Job Families &amp; Descriptions'!G:G)</f>
        <v>Provides technical expertise to internal stakeholders, e.g. from commercial area and customers. Performs technical support at customer sites or on a multiple-site basis.
Develops and implements training activities directed at both employee competencies and technical skills. Collaborates with other functions to ensure that current specifications and information on new processes and equipment is reflected.</v>
      </c>
      <c r="Q626" s="39" t="str">
        <f>_xlfn.XLOOKUP(E626,'[1]2022 GI Position Descriptions'!E:E,'[1]2022 GI Position Descriptions'!G:G)</f>
        <v>Provides post-sale technical support services to customers, including installation, troubleshooting, problem resolution and maintenance of products and services | Responsibilities are within the Technical Customer Support Function as a generalist or in a combination of Disciplines</v>
      </c>
      <c r="R626" s="22" t="str">
        <f>IF(LEFT(J626,1)="E","EX",LEFT(J626,1))</f>
        <v>T</v>
      </c>
      <c r="S626" s="22" t="str">
        <f>_xlfn.XLOOKUP($R626,'[1]Career Bands &amp; Levels'!A:A,'[1]Career Bands &amp; Levels'!C:C)</f>
        <v>● Performs specialized technical tasks required to support operations (e.g., IT development, research support, skilled trade)
● Requires vocational training or the equivalent experience and may require external certification but typically does not require a university degree</v>
      </c>
      <c r="T626" s="22" t="str">
        <f>J626</f>
        <v>T3</v>
      </c>
      <c r="U626" s="40" t="str">
        <f t="shared" si="19"/>
        <v>T3</v>
      </c>
      <c r="V626" s="22" t="str">
        <f>_xlfn.XLOOKUP(T626,'[1]Career Bands &amp; Levels'!A:A,'[1]Career Bands &amp; Levels'!C:C)</f>
        <v xml:space="preserve">●	Has full proficiency in a range of technical processes or procedures (or deep skills in a single area) through job-related training and considerable work experience		
●	Completes a variety of atypical assignments		
●	Works within defined technical processes and procedures or methodologies and may help determine the appropriate approach for new assignments		
●	Works with a limited degree of supervision, with oversight focused only on complex new assignments		
●	Acts as an informal resource for colleagues with less experience		</v>
      </c>
      <c r="W626" s="41" t="str">
        <f>J626&amp;"-"&amp;G626</f>
        <v>T3-08</v>
      </c>
      <c r="X626" s="42" t="str">
        <f>G626</f>
        <v>08</v>
      </c>
      <c r="Y626" s="22" t="str">
        <f>_xlfn.XLOOKUP(W626,'[1]Career Bands &amp; Levels'!A:A,'[1]Career Bands &amp; Levels'!C:C,"No Grade Differentiator")</f>
        <v xml:space="preserve">●	Performs highly complex and varied tasks		
●	Typically has specialized external certification		
●	Guides and supports junior team members; may assist in their formal orientation and training		</v>
      </c>
      <c r="Z626" s="43" t="str">
        <f>IFERROR(O626&amp;" - "&amp;G626,"--")</f>
        <v>Technician Technical Services - 08</v>
      </c>
      <c r="AA626" s="44" t="str">
        <f>_xlfn.XLOOKUP($H626,'[1]SIG Qualifications Input'!$D:$D,'[1]SIG Qualifications Input'!$H:$H)</f>
        <v>Typically an Associate’s degree or 2 to 4 years of vocational technical training preferred. HS diploma or equivalent required. Specialized skill training/certification often required to meet specific needs. Up to 8 years of experience.</v>
      </c>
    </row>
    <row r="627" spans="1:27" ht="141" thickBot="1" x14ac:dyDescent="0.2">
      <c r="A627" s="34" t="str">
        <f>_xlfn.XLOOKUP(C627,'[1]SIG Job Families &amp; Descriptions'!F:F,'[1]SIG Job Families &amp; Descriptions'!B:B)</f>
        <v>Technical Services</v>
      </c>
      <c r="B627" s="34" t="str">
        <f>_xlfn.XLOOKUP(C627,'[1]SIG Job Families &amp; Descriptions'!F:F,'[1]SIG Job Families &amp; Descriptions'!D:D)</f>
        <v>Technical Services</v>
      </c>
      <c r="C627" s="34" t="s">
        <v>125</v>
      </c>
      <c r="D627" s="30" t="str">
        <f t="shared" si="18"/>
        <v>AMT</v>
      </c>
      <c r="E627" s="31" t="str">
        <f>_xlfn.XLOOKUP(C627,'[1]SIG Job Families &amp; Descriptions'!F:F,'[1]SIG Job Families &amp; Descriptions'!A:A)</f>
        <v>AMT000</v>
      </c>
      <c r="F627" s="32" t="s">
        <v>51</v>
      </c>
      <c r="G627" s="33" t="s">
        <v>52</v>
      </c>
      <c r="H627" s="34" t="str">
        <f>F627&amp;"-"&amp;G627</f>
        <v>Operations / Technician-07</v>
      </c>
      <c r="I627" s="35" t="str">
        <f>IF(ISERROR(_xlfn.XLOOKUP(H627,'[1]SIG Level Structure'!D:D,'[1]SIG Level Structure'!D:D)),"0","1")</f>
        <v>1</v>
      </c>
      <c r="J627" s="36" t="str">
        <f>_xlfn.XLOOKUP($H627,'[1]SIG Level Structure'!$D:$D,'[1]SIG Level Structure'!F:F)</f>
        <v>T3</v>
      </c>
      <c r="K627" s="37" t="str">
        <f>E627&amp;"-"&amp;J627&amp;"-"&amp;G627</f>
        <v>AMT000-T3-07</v>
      </c>
      <c r="L627" s="37" t="str">
        <f>IFERROR(D627&amp;"-"&amp;LEFT(J627,1),"--")</f>
        <v>AMT-T</v>
      </c>
      <c r="M627" s="37" t="str">
        <f>VLOOKUP(L627,'[1]Compatible JC'!$A:$A,1,FALSE)</f>
        <v>AMT-T</v>
      </c>
      <c r="N627" s="37" t="str">
        <f>IFERROR(_xlfn.XLOOKUP(H627,'[1]SIG Level Structure'!D:D,'[1]SIG Level Structure'!C:C),"--")</f>
        <v>Technician</v>
      </c>
      <c r="O627" s="38" t="str">
        <f>IFERROR(TRIM(N627&amp;" "&amp;C627),"--")</f>
        <v>Technician Technical Services</v>
      </c>
      <c r="P627" s="22" t="str">
        <f>_xlfn.XLOOKUP(E627,'[1]SIG Job Families &amp; Descriptions'!A:A,'[1]SIG Job Families &amp; Descriptions'!G:G)</f>
        <v>Provides technical expertise to internal stakeholders, e.g. from commercial area and customers. Performs technical support at customer sites or on a multiple-site basis.
Develops and implements training activities directed at both employee competencies and technical skills. Collaborates with other functions to ensure that current specifications and information on new processes and equipment is reflected.</v>
      </c>
      <c r="Q627" s="39" t="str">
        <f>_xlfn.XLOOKUP(E627,'[1]2022 GI Position Descriptions'!E:E,'[1]2022 GI Position Descriptions'!G:G)</f>
        <v>Provides post-sale technical support services to customers, including installation, troubleshooting, problem resolution and maintenance of products and services | Responsibilities are within the Technical Customer Support Function as a generalist or in a combination of Disciplines</v>
      </c>
      <c r="R627" s="22" t="str">
        <f>IF(LEFT(J627,1)="E","EX",LEFT(J627,1))</f>
        <v>T</v>
      </c>
      <c r="S627" s="22" t="str">
        <f>_xlfn.XLOOKUP($R627,'[1]Career Bands &amp; Levels'!A:A,'[1]Career Bands &amp; Levels'!C:C)</f>
        <v>● Performs specialized technical tasks required to support operations (e.g., IT development, research support, skilled trade)
● Requires vocational training or the equivalent experience and may require external certification but typically does not require a university degree</v>
      </c>
      <c r="T627" s="22" t="str">
        <f>J627</f>
        <v>T3</v>
      </c>
      <c r="U627" s="40" t="str">
        <f t="shared" si="19"/>
        <v>T3</v>
      </c>
      <c r="V627" s="22" t="str">
        <f>_xlfn.XLOOKUP(T627,'[1]Career Bands &amp; Levels'!A:A,'[1]Career Bands &amp; Levels'!C:C)</f>
        <v xml:space="preserve">●	Has full proficiency in a range of technical processes or procedures (or deep skills in a single area) through job-related training and considerable work experience		
●	Completes a variety of atypical assignments		
●	Works within defined technical processes and procedures or methodologies and may help determine the appropriate approach for new assignments		
●	Works with a limited degree of supervision, with oversight focused only on complex new assignments		
●	Acts as an informal resource for colleagues with less experience		</v>
      </c>
      <c r="W627" s="41" t="str">
        <f>J627&amp;"-"&amp;G627</f>
        <v>T3-07</v>
      </c>
      <c r="X627" s="42" t="str">
        <f>G627</f>
        <v>07</v>
      </c>
      <c r="Y627" s="22" t="str">
        <f>_xlfn.XLOOKUP(W627,'[1]Career Bands &amp; Levels'!A:A,'[1]Career Bands &amp; Levels'!C:C,"No Grade Differentiator")</f>
        <v xml:space="preserve">●	Performs moderately complex and varied tasks		
●	May have specialized external certification		
●	Guides junior team members		</v>
      </c>
      <c r="Z627" s="43" t="str">
        <f>IFERROR(O627&amp;" - "&amp;G627,"--")</f>
        <v>Technician Technical Services - 07</v>
      </c>
      <c r="AA627" s="44" t="str">
        <f>_xlfn.XLOOKUP($H627,'[1]SIG Qualifications Input'!$D:$D,'[1]SIG Qualifications Input'!$H:$H)</f>
        <v>Typically an Associate’s degree or 2 to 4 years of vocational technical training preferred. HS diploma or equivalent required. Specialized skill training/certification often required to meet specific needs. Up to 8 years of experience.</v>
      </c>
    </row>
    <row r="628" spans="1:27" ht="183" thickBot="1" x14ac:dyDescent="0.2">
      <c r="A628" s="34" t="str">
        <f>_xlfn.XLOOKUP(C628,'[1]SIG Job Families &amp; Descriptions'!F:F,'[1]SIG Job Families &amp; Descriptions'!B:B)</f>
        <v>Technical Services</v>
      </c>
      <c r="B628" s="34" t="str">
        <f>_xlfn.XLOOKUP(C628,'[1]SIG Job Families &amp; Descriptions'!F:F,'[1]SIG Job Families &amp; Descriptions'!D:D)</f>
        <v>Technical Services</v>
      </c>
      <c r="C628" s="34" t="s">
        <v>125</v>
      </c>
      <c r="D628" s="30" t="str">
        <f t="shared" si="18"/>
        <v>AMT</v>
      </c>
      <c r="E628" s="31" t="str">
        <f>_xlfn.XLOOKUP(C628,'[1]SIG Job Families &amp; Descriptions'!F:F,'[1]SIG Job Families &amp; Descriptions'!A:A)</f>
        <v>AMT000</v>
      </c>
      <c r="F628" s="32" t="s">
        <v>29</v>
      </c>
      <c r="G628" s="33" t="s">
        <v>33</v>
      </c>
      <c r="H628" s="34" t="str">
        <f>F628&amp;"-"&amp;G628</f>
        <v>Management-13</v>
      </c>
      <c r="I628" s="35" t="str">
        <f>IF(ISERROR(_xlfn.XLOOKUP(H628,'[1]SIG Level Structure'!D:D,'[1]SIG Level Structure'!D:D)),"0","1")</f>
        <v>1</v>
      </c>
      <c r="J628" s="36" t="str">
        <f>_xlfn.XLOOKUP($H628,'[1]SIG Level Structure'!$D:$D,'[1]SIG Level Structure'!F:F)</f>
        <v>M2</v>
      </c>
      <c r="K628" s="37" t="str">
        <f>E628&amp;"-"&amp;J628&amp;"-"&amp;G628</f>
        <v>AMT000-M2-13</v>
      </c>
      <c r="L628" s="37" t="str">
        <f>IFERROR(D628&amp;"-"&amp;LEFT(J628,1),"--")</f>
        <v>AMT-M</v>
      </c>
      <c r="M628" s="37" t="str">
        <f>VLOOKUP(L628,'[1]Compatible JC'!$A:$A,1,FALSE)</f>
        <v>AMT-M</v>
      </c>
      <c r="N628" s="37" t="str">
        <f>IFERROR(_xlfn.XLOOKUP(H628,'[1]SIG Level Structure'!D:D,'[1]SIG Level Structure'!C:C),"--")</f>
        <v>Manager</v>
      </c>
      <c r="O628" s="38" t="str">
        <f>IFERROR(TRIM(N628&amp;" "&amp;C628),"--")</f>
        <v>Manager Technical Services</v>
      </c>
      <c r="P628" s="22" t="str">
        <f>_xlfn.XLOOKUP(E628,'[1]SIG Job Families &amp; Descriptions'!A:A,'[1]SIG Job Families &amp; Descriptions'!G:G)</f>
        <v>Provides technical expertise to internal stakeholders, e.g. from commercial area and customers. Performs technical support at customer sites or on a multiple-site basis.
Develops and implements training activities directed at both employee competencies and technical skills. Collaborates with other functions to ensure that current specifications and information on new processes and equipment is reflected.</v>
      </c>
      <c r="Q628" s="39" t="str">
        <f>_xlfn.XLOOKUP(E628,'[1]2022 GI Position Descriptions'!E:E,'[1]2022 GI Position Descriptions'!G:G)</f>
        <v>Provides post-sale technical support services to customers, including installation, troubleshooting, problem resolution and maintenance of products and services | Responsibilities are within the Technical Customer Support Function as a generalist or in a combination of Disciplines</v>
      </c>
      <c r="R628" s="22" t="str">
        <f>IF(LEFT(J628,1)="E","EX",LEFT(J628,1))</f>
        <v>M</v>
      </c>
      <c r="S628" s="22" t="str">
        <f>_xlfn.XLOOKUP($R628,'[1]Career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628" s="22" t="str">
        <f>J628</f>
        <v>M2</v>
      </c>
      <c r="U628" s="40" t="str">
        <f t="shared" si="19"/>
        <v>M2</v>
      </c>
      <c r="V628" s="22" t="str">
        <f>_xlfn.XLOOKUP(T628,'[1]Career Bands &amp; Levels'!A:A,'[1]Career Bands &amp; Levels'!C:C)</f>
        <v xml:space="preserve">●	Manages professional employees and/or supervisors or supervises large, complex support, production or operations team(s)		
●	Has accountability for the performance and results of a team within own discipline or function		
●	Adapts departmental plans and priorities to address resource and operational challenges		
●	Decisions and problem-solving are guided by policies, procedures and business plan; receives guidance from senior manager		
●	Provides technical guidance to employees, colleagues and/or customers		</v>
      </c>
      <c r="W628" s="41" t="str">
        <f>J628&amp;"-"&amp;G628</f>
        <v>M2-13</v>
      </c>
      <c r="X628" s="42" t="str">
        <f>G628</f>
        <v>13</v>
      </c>
      <c r="Y628" s="22" t="str">
        <f>_xlfn.XLOOKUP(W628,'[1]Career Bands &amp; Levels'!A:A,'[1]Career Bands &amp; Levels'!C:C,"No Grade Differentiator")</f>
        <v>●	Accountable for the budget, performance and results of a medium-sized team or multiple small teams of employees		
●	Exercises full management authority, including performance reviews, pay decisions, recruitment, discipline, termination and other personnel actions		
●	Addresses issues with impact beyond own team based on knowledge of related disciplines</v>
      </c>
      <c r="Z628" s="43" t="str">
        <f>IFERROR(O628&amp;" - "&amp;G628,"--")</f>
        <v>Manager Technical Services - 13</v>
      </c>
      <c r="AA628" s="44" t="str">
        <f>_xlfn.XLOOKUP($H628,'[1]SIG Qualifications Input'!$D:$D,'[1]SIG Qualifications Input'!$H:$H)</f>
        <v>University degree or equivalent and 7-10 years of work experience or equivalent
Experience in managing mixed-level team(s) of professionals and subordinate managers</v>
      </c>
    </row>
    <row r="629" spans="1:27" ht="183" thickBot="1" x14ac:dyDescent="0.2">
      <c r="A629" s="34" t="str">
        <f>_xlfn.XLOOKUP(C629,'[1]SIG Job Families &amp; Descriptions'!F:F,'[1]SIG Job Families &amp; Descriptions'!B:B)</f>
        <v>Technical Services</v>
      </c>
      <c r="B629" s="34" t="str">
        <f>_xlfn.XLOOKUP(C629,'[1]SIG Job Families &amp; Descriptions'!F:F,'[1]SIG Job Families &amp; Descriptions'!D:D)</f>
        <v>Technical Services</v>
      </c>
      <c r="C629" s="34" t="s">
        <v>125</v>
      </c>
      <c r="D629" s="30" t="str">
        <f t="shared" si="18"/>
        <v>AMT</v>
      </c>
      <c r="E629" s="31" t="str">
        <f>_xlfn.XLOOKUP(C629,'[1]SIG Job Families &amp; Descriptions'!F:F,'[1]SIG Job Families &amp; Descriptions'!A:A)</f>
        <v>AMT000</v>
      </c>
      <c r="F629" s="32" t="s">
        <v>29</v>
      </c>
      <c r="G629" s="33" t="s">
        <v>35</v>
      </c>
      <c r="H629" s="34" t="str">
        <f>F629&amp;"-"&amp;G629</f>
        <v>Management-11</v>
      </c>
      <c r="I629" s="35" t="str">
        <f>IF(ISERROR(_xlfn.XLOOKUP(H629,'[1]SIG Level Structure'!D:D,'[1]SIG Level Structure'!D:D)),"0","1")</f>
        <v>1</v>
      </c>
      <c r="J629" s="36" t="str">
        <f>_xlfn.XLOOKUP($H629,'[1]SIG Level Structure'!$D:$D,'[1]SIG Level Structure'!F:F)</f>
        <v>M1</v>
      </c>
      <c r="K629" s="37" t="str">
        <f>E629&amp;"-"&amp;J629&amp;"-"&amp;G629</f>
        <v>AMT000-M1-11</v>
      </c>
      <c r="L629" s="37" t="str">
        <f>IFERROR(D629&amp;"-"&amp;LEFT(J629,1),"--")</f>
        <v>AMT-M</v>
      </c>
      <c r="M629" s="37" t="str">
        <f>VLOOKUP(L629,'[1]Compatible JC'!$A:$A,1,FALSE)</f>
        <v>AMT-M</v>
      </c>
      <c r="N629" s="37" t="str">
        <f>IFERROR(_xlfn.XLOOKUP(H629,'[1]SIG Level Structure'!D:D,'[1]SIG Level Structure'!C:C),"--")</f>
        <v>Supervisor</v>
      </c>
      <c r="O629" s="38" t="str">
        <f>IFERROR(TRIM(N629&amp;" "&amp;C629),"--")</f>
        <v>Supervisor Technical Services</v>
      </c>
      <c r="P629" s="22" t="str">
        <f>_xlfn.XLOOKUP(E629,'[1]SIG Job Families &amp; Descriptions'!A:A,'[1]SIG Job Families &amp; Descriptions'!G:G)</f>
        <v>Provides technical expertise to internal stakeholders, e.g. from commercial area and customers. Performs technical support at customer sites or on a multiple-site basis.
Develops and implements training activities directed at both employee competencies and technical skills. Collaborates with other functions to ensure that current specifications and information on new processes and equipment is reflected.</v>
      </c>
      <c r="Q629" s="39" t="str">
        <f>_xlfn.XLOOKUP(E629,'[1]2022 GI Position Descriptions'!E:E,'[1]2022 GI Position Descriptions'!G:G)</f>
        <v>Provides post-sale technical support services to customers, including installation, troubleshooting, problem resolution and maintenance of products and services | Responsibilities are within the Technical Customer Support Function as a generalist or in a combination of Disciplines</v>
      </c>
      <c r="R629" s="22" t="str">
        <f>IF(LEFT(J629,1)="E","EX",LEFT(J629,1))</f>
        <v>M</v>
      </c>
      <c r="S629" s="22" t="str">
        <f>_xlfn.XLOOKUP($R629,'[1]Career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629" s="22" t="str">
        <f>J629</f>
        <v>M1</v>
      </c>
      <c r="U629" s="40" t="str">
        <f t="shared" si="19"/>
        <v>M1</v>
      </c>
      <c r="V629" s="22" t="str">
        <f>_xlfn.XLOOKUP(T629,'[1]Career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629" s="41" t="str">
        <f>J629&amp;"-"&amp;G629</f>
        <v>M1-11</v>
      </c>
      <c r="X629" s="42" t="str">
        <f>G629</f>
        <v>11</v>
      </c>
      <c r="Y629" s="22" t="str">
        <f>_xlfn.XLOOKUP(W629,'[1]Career Bands &amp; Levels'!A:A,'[1]Career Bands &amp; Levels'!C:C,"No Grade Differentiator")</f>
        <v xml:space="preserve">●	Accountable for the results of a large and/or moderately complex support or production operations team including subordinate work leaders		
●	Applies acquired expertise to analyze and solve problems without clear precedent		
●	Provides input on resource planning and policy development		
●	Coaches team members on performance, completes employee performance evaluations and recommends pay actions		</v>
      </c>
      <c r="Z629" s="43" t="str">
        <f>IFERROR(O629&amp;" - "&amp;G629,"--")</f>
        <v>Supervisor Technical Services - 11</v>
      </c>
      <c r="AA629" s="44" t="str">
        <f>_xlfn.XLOOKUP($H629,'[1]SIG Qualifications Input'!$D:$D,'[1]SIG Qualifications Input'!$H:$H)</f>
        <v>University degree or equivalent and 5-7 years of work experience or equivalent
Experienced in application of management techniques
Experience in operationally managing a mixed-level team</v>
      </c>
    </row>
    <row r="630" spans="1:27" ht="183" thickBot="1" x14ac:dyDescent="0.2">
      <c r="A630" s="34" t="str">
        <f>_xlfn.XLOOKUP(C630,'[1]SIG Job Families &amp; Descriptions'!F:F,'[1]SIG Job Families &amp; Descriptions'!B:B)</f>
        <v>Technical Services</v>
      </c>
      <c r="B630" s="34" t="str">
        <f>_xlfn.XLOOKUP(C630,'[1]SIG Job Families &amp; Descriptions'!F:F,'[1]SIG Job Families &amp; Descriptions'!D:D)</f>
        <v>Technical Services</v>
      </c>
      <c r="C630" s="34" t="s">
        <v>125</v>
      </c>
      <c r="D630" s="30" t="str">
        <f t="shared" si="18"/>
        <v>AMT</v>
      </c>
      <c r="E630" s="31" t="str">
        <f>_xlfn.XLOOKUP(C630,'[1]SIG Job Families &amp; Descriptions'!F:F,'[1]SIG Job Families &amp; Descriptions'!A:A)</f>
        <v>AMT000</v>
      </c>
      <c r="F630" s="32" t="s">
        <v>29</v>
      </c>
      <c r="G630" s="33" t="s">
        <v>36</v>
      </c>
      <c r="H630" s="34" t="str">
        <f>F630&amp;"-"&amp;G630</f>
        <v>Management-10</v>
      </c>
      <c r="I630" s="35" t="str">
        <f>IF(ISERROR(_xlfn.XLOOKUP(H630,'[1]SIG Level Structure'!D:D,'[1]SIG Level Structure'!D:D)),"0","1")</f>
        <v>1</v>
      </c>
      <c r="J630" s="36" t="str">
        <f>_xlfn.XLOOKUP($H630,'[1]SIG Level Structure'!$D:$D,'[1]SIG Level Structure'!F:F)</f>
        <v>M1</v>
      </c>
      <c r="K630" s="37" t="str">
        <f>E630&amp;"-"&amp;J630&amp;"-"&amp;G630</f>
        <v>AMT000-M1-10</v>
      </c>
      <c r="L630" s="37" t="str">
        <f>IFERROR(D630&amp;"-"&amp;LEFT(J630,1),"--")</f>
        <v>AMT-M</v>
      </c>
      <c r="M630" s="37" t="str">
        <f>VLOOKUP(L630,'[1]Compatible JC'!$A:$A,1,FALSE)</f>
        <v>AMT-M</v>
      </c>
      <c r="N630" s="37" t="str">
        <f>IFERROR(_xlfn.XLOOKUP(H630,'[1]SIG Level Structure'!D:D,'[1]SIG Level Structure'!C:C),"--")</f>
        <v>Supervisor</v>
      </c>
      <c r="O630" s="38" t="str">
        <f>IFERROR(TRIM(N630&amp;" "&amp;C630),"--")</f>
        <v>Supervisor Technical Services</v>
      </c>
      <c r="P630" s="22" t="str">
        <f>_xlfn.XLOOKUP(E630,'[1]SIG Job Families &amp; Descriptions'!A:A,'[1]SIG Job Families &amp; Descriptions'!G:G)</f>
        <v>Provides technical expertise to internal stakeholders, e.g. from commercial area and customers. Performs technical support at customer sites or on a multiple-site basis.
Develops and implements training activities directed at both employee competencies and technical skills. Collaborates with other functions to ensure that current specifications and information on new processes and equipment is reflected.</v>
      </c>
      <c r="Q630" s="39" t="str">
        <f>_xlfn.XLOOKUP(E630,'[1]2022 GI Position Descriptions'!E:E,'[1]2022 GI Position Descriptions'!G:G)</f>
        <v>Provides post-sale technical support services to customers, including installation, troubleshooting, problem resolution and maintenance of products and services | Responsibilities are within the Technical Customer Support Function as a generalist or in a combination of Disciplines</v>
      </c>
      <c r="R630" s="22" t="str">
        <f>IF(LEFT(J630,1)="E","EX",LEFT(J630,1))</f>
        <v>M</v>
      </c>
      <c r="S630" s="22" t="str">
        <f>_xlfn.XLOOKUP($R630,'[1]Career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630" s="22" t="str">
        <f>J630</f>
        <v>M1</v>
      </c>
      <c r="U630" s="40" t="str">
        <f t="shared" si="19"/>
        <v>M1</v>
      </c>
      <c r="V630" s="22" t="str">
        <f>_xlfn.XLOOKUP(T630,'[1]Career Bands &amp; Levels'!A:A,'[1]Career Bands &amp; Levels'!C:C)</f>
        <v xml:space="preserve">●	Coordinates and supervises the daily activities of typically a support, production or operations team
●	Sets priorities for the team to ensure task completion; coordinates work activities with other supervisors
●	Decisions and problem-solving are guided by policies, procedures and business plan; receives guidance and oversight from manager		
●	Typically does not spend more than 20% of time performing the work supervised		</v>
      </c>
      <c r="W630" s="41" t="str">
        <f>J630&amp;"-"&amp;G630</f>
        <v>M1-10</v>
      </c>
      <c r="X630" s="42" t="str">
        <f>G630</f>
        <v>10</v>
      </c>
      <c r="Y630" s="22" t="str">
        <f>_xlfn.XLOOKUP(W630,'[1]Career Bands &amp; Levels'!A:A,'[1]Career Bands &amp; Levels'!C:C,"No Grade Differentiator")</f>
        <v xml:space="preserve">●	Accountable for the results of medium-sized routine support or production operations teams		
●	Solves problems based on practice and precedent		
●	Trains team members and provides input to employee performance evaluations		</v>
      </c>
      <c r="Z630" s="43" t="str">
        <f>IFERROR(O630&amp;" - "&amp;G630,"--")</f>
        <v>Supervisor Technical Services - 10</v>
      </c>
      <c r="AA630" s="44" t="str">
        <f>_xlfn.XLOOKUP($H630,'[1]SIG Qualifications Input'!$D:$D,'[1]SIG Qualifications Input'!$H:$H)</f>
        <v>University degree or equivalent and 5-7 years of work experience or equivalent
Experienced in application of management techniques
Experience in operationally managing a mixed-level team</v>
      </c>
    </row>
    <row r="631" spans="1:27" ht="183" thickBot="1" x14ac:dyDescent="0.2">
      <c r="A631" s="34" t="str">
        <f>_xlfn.XLOOKUP(C631,'[1]SIG Job Families &amp; Descriptions'!F:F,'[1]SIG Job Families &amp; Descriptions'!B:B)</f>
        <v>Technical Services</v>
      </c>
      <c r="B631" s="34" t="str">
        <f>_xlfn.XLOOKUP(C631,'[1]SIG Job Families &amp; Descriptions'!F:F,'[1]SIG Job Families &amp; Descriptions'!D:D)</f>
        <v>Technical Services</v>
      </c>
      <c r="C631" s="34" t="s">
        <v>125</v>
      </c>
      <c r="D631" s="30" t="str">
        <f t="shared" si="18"/>
        <v>AMT</v>
      </c>
      <c r="E631" s="31" t="str">
        <f>_xlfn.XLOOKUP(C631,'[1]SIG Job Families &amp; Descriptions'!F:F,'[1]SIG Job Families &amp; Descriptions'!A:A)</f>
        <v>AMT000</v>
      </c>
      <c r="F631" s="32" t="s">
        <v>29</v>
      </c>
      <c r="G631" s="33" t="s">
        <v>31</v>
      </c>
      <c r="H631" s="34" t="str">
        <f>F631&amp;"-"&amp;G631</f>
        <v>Management-14</v>
      </c>
      <c r="I631" s="35" t="str">
        <f>IF(ISERROR(_xlfn.XLOOKUP(H631,'[1]SIG Level Structure'!D:D,'[1]SIG Level Structure'!D:D)),"0","1")</f>
        <v>1</v>
      </c>
      <c r="J631" s="36" t="str">
        <f>_xlfn.XLOOKUP($H631,'[1]SIG Level Structure'!$D:$D,'[1]SIG Level Structure'!F:F)</f>
        <v>M3</v>
      </c>
      <c r="K631" s="37" t="str">
        <f>E631&amp;"-"&amp;J631&amp;"-"&amp;G631</f>
        <v>AMT000-M3-14</v>
      </c>
      <c r="L631" s="37" t="str">
        <f>IFERROR(D631&amp;"-"&amp;LEFT(J631,1),"--")</f>
        <v>AMT-M</v>
      </c>
      <c r="M631" s="37" t="str">
        <f>VLOOKUP(L631,'[1]Compatible JC'!$A:$A,1,FALSE)</f>
        <v>AMT-M</v>
      </c>
      <c r="N631" s="37" t="str">
        <f>IFERROR(_xlfn.XLOOKUP(H631,'[1]SIG Level Structure'!D:D,'[1]SIG Level Structure'!C:C),"--")</f>
        <v>Senior Manager</v>
      </c>
      <c r="O631" s="38" t="str">
        <f>IFERROR(TRIM(N631&amp;" "&amp;C631),"--")</f>
        <v>Senior Manager Technical Services</v>
      </c>
      <c r="P631" s="22" t="str">
        <f>_xlfn.XLOOKUP(E631,'[1]SIG Job Families &amp; Descriptions'!A:A,'[1]SIG Job Families &amp; Descriptions'!G:G)</f>
        <v>Provides technical expertise to internal stakeholders, e.g. from commercial area and customers. Performs technical support at customer sites or on a multiple-site basis.
Develops and implements training activities directed at both employee competencies and technical skills. Collaborates with other functions to ensure that current specifications and information on new processes and equipment is reflected.</v>
      </c>
      <c r="Q631" s="39" t="str">
        <f>_xlfn.XLOOKUP(E631,'[1]2022 GI Position Descriptions'!E:E,'[1]2022 GI Position Descriptions'!G:G)</f>
        <v>Provides post-sale technical support services to customers, including installation, troubleshooting, problem resolution and maintenance of products and services | Responsibilities are within the Technical Customer Support Function as a generalist or in a combination of Disciplines</v>
      </c>
      <c r="R631" s="22" t="str">
        <f>IF(LEFT(J631,1)="E","EX",LEFT(J631,1))</f>
        <v>M</v>
      </c>
      <c r="S631" s="22" t="str">
        <f>_xlfn.XLOOKUP($R631,'[1]Career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631" s="22" t="str">
        <f>J631</f>
        <v>M3</v>
      </c>
      <c r="U631" s="40" t="str">
        <f t="shared" si="19"/>
        <v>M3</v>
      </c>
      <c r="V631" s="22" t="str">
        <f>_xlfn.XLOOKUP(T631,'[1]Career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631" s="41" t="str">
        <f>J631&amp;"-"&amp;G631</f>
        <v>M3-14</v>
      </c>
      <c r="X631" s="42" t="str">
        <f>G631</f>
        <v>14</v>
      </c>
      <c r="Y631" s="22" t="str">
        <f>_xlfn.XLOOKUP(W631,'[1]Career Bands &amp; Levels'!A:A,'[1]Career Bands &amp; Levels'!C:C,"No Grade Differentiator")</f>
        <v xml:space="preserve">●	Identifies applications of functional knowledge and existing methodologies to complex problems	
●	Manages large teams of professionals and/or junior managers		
		</v>
      </c>
      <c r="Z631" s="43" t="str">
        <f>IFERROR(O631&amp;" - "&amp;G631,"--")</f>
        <v>Senior Manager Technical Services - 14</v>
      </c>
      <c r="AA631" s="44" t="str">
        <f>_xlfn.XLOOKUP($H631,'[1]SIG Qualifications Input'!$D:$D,'[1]SIG Qualifications Input'!$H:$H)</f>
        <v xml:space="preserve">University degree or equivalent and 10+ years of work experience or equivalent
Profound experience in managing performance and results of diverse activities / multiple teams </v>
      </c>
    </row>
    <row r="632" spans="1:27" ht="183" thickBot="1" x14ac:dyDescent="0.2">
      <c r="A632" s="34" t="str">
        <f>_xlfn.XLOOKUP(C632,'[1]SIG Job Families &amp; Descriptions'!F:F,'[1]SIG Job Families &amp; Descriptions'!B:B)</f>
        <v>Technical Services</v>
      </c>
      <c r="B632" s="34" t="str">
        <f>_xlfn.XLOOKUP(C632,'[1]SIG Job Families &amp; Descriptions'!F:F,'[1]SIG Job Families &amp; Descriptions'!D:D)</f>
        <v>Technical Services</v>
      </c>
      <c r="C632" s="34" t="s">
        <v>125</v>
      </c>
      <c r="D632" s="30" t="str">
        <f t="shared" si="18"/>
        <v>AMT</v>
      </c>
      <c r="E632" s="31" t="str">
        <f>_xlfn.XLOOKUP(C632,'[1]SIG Job Families &amp; Descriptions'!F:F,'[1]SIG Job Families &amp; Descriptions'!A:A)</f>
        <v>AMT000</v>
      </c>
      <c r="F632" s="32" t="s">
        <v>29</v>
      </c>
      <c r="G632" s="33" t="s">
        <v>30</v>
      </c>
      <c r="H632" s="34" t="str">
        <f>F632&amp;"-"&amp;G632</f>
        <v>Management-15</v>
      </c>
      <c r="I632" s="35" t="str">
        <f>IF(ISERROR(_xlfn.XLOOKUP(H632,'[1]SIG Level Structure'!D:D,'[1]SIG Level Structure'!D:D)),"0","1")</f>
        <v>1</v>
      </c>
      <c r="J632" s="36" t="str">
        <f>_xlfn.XLOOKUP($H632,'[1]SIG Level Structure'!$D:$D,'[1]SIG Level Structure'!F:F)</f>
        <v>M3</v>
      </c>
      <c r="K632" s="37" t="str">
        <f>E632&amp;"-"&amp;J632&amp;"-"&amp;G632</f>
        <v>AMT000-M3-15</v>
      </c>
      <c r="L632" s="37" t="str">
        <f>IFERROR(D632&amp;"-"&amp;LEFT(J632,1),"--")</f>
        <v>AMT-M</v>
      </c>
      <c r="M632" s="37" t="str">
        <f>VLOOKUP(L632,'[1]Compatible JC'!$A:$A,1,FALSE)</f>
        <v>AMT-M</v>
      </c>
      <c r="N632" s="37" t="str">
        <f>IFERROR(_xlfn.XLOOKUP(H632,'[1]SIG Level Structure'!D:D,'[1]SIG Level Structure'!C:C),"--")</f>
        <v>Senior Manager</v>
      </c>
      <c r="O632" s="38" t="str">
        <f>IFERROR(TRIM(N632&amp;" "&amp;C632),"--")</f>
        <v>Senior Manager Technical Services</v>
      </c>
      <c r="P632" s="22" t="str">
        <f>_xlfn.XLOOKUP(E632,'[1]SIG Job Families &amp; Descriptions'!A:A,'[1]SIG Job Families &amp; Descriptions'!G:G)</f>
        <v>Provides technical expertise to internal stakeholders, e.g. from commercial area and customers. Performs technical support at customer sites or on a multiple-site basis.
Develops and implements training activities directed at both employee competencies and technical skills. Collaborates with other functions to ensure that current specifications and information on new processes and equipment is reflected.</v>
      </c>
      <c r="Q632" s="39" t="str">
        <f>_xlfn.XLOOKUP(E632,'[1]2022 GI Position Descriptions'!E:E,'[1]2022 GI Position Descriptions'!G:G)</f>
        <v>Provides post-sale technical support services to customers, including installation, troubleshooting, problem resolution and maintenance of products and services | Responsibilities are within the Technical Customer Support Function as a generalist or in a combination of Disciplines</v>
      </c>
      <c r="R632" s="22" t="str">
        <f>IF(LEFT(J632,1)="E","EX",LEFT(J632,1))</f>
        <v>M</v>
      </c>
      <c r="S632" s="22" t="str">
        <f>_xlfn.XLOOKUP($R632,'[1]Career Bands &amp; Levels'!A:A,'[1]Career Bands &amp; Levels'!C:C)</f>
        <v>● Accountable for managing people, setting direction and deploying resources; typically is responsible for performance evaluation, pay reviews and hire/fire decisions 
● Results are primarily achieved through the work of others and typically depend on the manager's ability to influence and negotiate with parts of the organization where formal authority is not held
● Progression within Career Band reflects acquisition of broad technical expertise, business and industry knowledge, and process and people leadership capabilities 
● Accountable for business, functional or operational areas, processes or programs, which may include dotted-line or matrixed management</v>
      </c>
      <c r="T632" s="22" t="str">
        <f>J632</f>
        <v>M3</v>
      </c>
      <c r="U632" s="40" t="str">
        <f t="shared" si="19"/>
        <v>M3</v>
      </c>
      <c r="V632" s="22" t="str">
        <f>_xlfn.XLOOKUP(T632,'[1]Career Bands &amp; Levels'!A:A,'[1]Career Bands &amp; Levels'!C:C)</f>
        <v xml:space="preserve">●	Provides leadership to managers; may also provide leadership to supervisors and/or professional staff		
●	Has accountability for the performance and results of multiple related units		
●	Develops departmental plans, including business, production, operational and/or organizational priorities		
●	Controls resources and policy formation in area of responsibility		
●	Decisions are guided by resource availability and functional objectives		</v>
      </c>
      <c r="W632" s="41" t="str">
        <f>J632&amp;"-"&amp;G632</f>
        <v>M3-15</v>
      </c>
      <c r="X632" s="42" t="str">
        <f>G632</f>
        <v>15</v>
      </c>
      <c r="Y632" s="22" t="str">
        <f>_xlfn.XLOOKUP(W632,'[1]Career Bands &amp; Levels'!A:A,'[1]Career Bands &amp; Levels'!C:C,"No Grade Differentiator")</f>
        <v xml:space="preserve">●	Looks beyond existing methodologies and own discipline to define and resolve complex problems
●	Develops plans and delivers results in fast-changing businesses and/or regulatory environments
●	Provides input to functional or departmental strategy		
●	Manages large, potentially diverse teams of managers and/or senior professionals		
		</v>
      </c>
      <c r="Z632" s="43" t="str">
        <f>IFERROR(O632&amp;" - "&amp;G632,"--")</f>
        <v>Senior Manager Technical Services - 15</v>
      </c>
      <c r="AA632" s="44" t="str">
        <f>_xlfn.XLOOKUP($H632,'[1]SIG Qualifications Input'!$D:$D,'[1]SIG Qualifications Input'!$H:$H)</f>
        <v xml:space="preserve">University degree or equivalent and 10+ years of work experience or equivalent
Profound experience in managing performance and results of diverse activities / multiple teams </v>
      </c>
    </row>
    <row r="633" spans="1:27" ht="169" thickBot="1" x14ac:dyDescent="0.2">
      <c r="A633" s="34" t="str">
        <f>_xlfn.XLOOKUP(C633,'[1]SIG Job Families &amp; Descriptions'!F:F,'[1]SIG Job Families &amp; Descriptions'!B:B)</f>
        <v>Technical Services</v>
      </c>
      <c r="B633" s="34" t="str">
        <f>_xlfn.XLOOKUP(C633,'[1]SIG Job Families &amp; Descriptions'!F:F,'[1]SIG Job Families &amp; Descriptions'!D:D)</f>
        <v>Technical Services</v>
      </c>
      <c r="C633" s="34" t="s">
        <v>125</v>
      </c>
      <c r="D633" s="30" t="str">
        <f t="shared" si="18"/>
        <v>AMT</v>
      </c>
      <c r="E633" s="31" t="str">
        <f>_xlfn.XLOOKUP(C633,'[1]SIG Job Families &amp; Descriptions'!F:F,'[1]SIG Job Families &amp; Descriptions'!A:A)</f>
        <v>AMT000</v>
      </c>
      <c r="F633" s="32" t="s">
        <v>32</v>
      </c>
      <c r="G633" s="33" t="s">
        <v>31</v>
      </c>
      <c r="H633" s="34" t="str">
        <f>F633&amp;"-"&amp;G633</f>
        <v>Professional-14</v>
      </c>
      <c r="I633" s="35" t="str">
        <f>IF(ISERROR(_xlfn.XLOOKUP(H633,'[1]SIG Level Structure'!D:D,'[1]SIG Level Structure'!D:D)),"0","1")</f>
        <v>1</v>
      </c>
      <c r="J633" s="36" t="str">
        <f>_xlfn.XLOOKUP($H633,'[1]SIG Level Structure'!$D:$D,'[1]SIG Level Structure'!F:F)</f>
        <v>P4</v>
      </c>
      <c r="K633" s="37" t="str">
        <f>E633&amp;"-"&amp;J633&amp;"-"&amp;G633</f>
        <v>AMT000-P4-14</v>
      </c>
      <c r="L633" s="37" t="str">
        <f>IFERROR(D633&amp;"-"&amp;LEFT(J633,1),"--")</f>
        <v>AMT-P</v>
      </c>
      <c r="M633" s="37" t="str">
        <f>VLOOKUP(L633,'[1]Compatible JC'!$A:$A,1,FALSE)</f>
        <v>AMT-P</v>
      </c>
      <c r="N633" s="37" t="str">
        <f>IFERROR(_xlfn.XLOOKUP(H633,'[1]SIG Level Structure'!D:D,'[1]SIG Level Structure'!C:C),"--")</f>
        <v>Senior Expert</v>
      </c>
      <c r="O633" s="38" t="str">
        <f>IFERROR(TRIM(N633&amp;" "&amp;C633),"--")</f>
        <v>Senior Expert Technical Services</v>
      </c>
      <c r="P633" s="22" t="str">
        <f>_xlfn.XLOOKUP(E633,'[1]SIG Job Families &amp; Descriptions'!A:A,'[1]SIG Job Families &amp; Descriptions'!G:G)</f>
        <v>Provides technical expertise to internal stakeholders, e.g. from commercial area and customers. Performs technical support at customer sites or on a multiple-site basis.
Develops and implements training activities directed at both employee competencies and technical skills. Collaborates with other functions to ensure that current specifications and information on new processes and equipment is reflected.</v>
      </c>
      <c r="Q633" s="39" t="str">
        <f>_xlfn.XLOOKUP(E633,'[1]2022 GI Position Descriptions'!E:E,'[1]2022 GI Position Descriptions'!G:G)</f>
        <v>Provides post-sale technical support services to customers, including installation, troubleshooting, problem resolution and maintenance of products and services | Responsibilities are within the Technical Customer Support Function as a generalist or in a combination of Disciplines</v>
      </c>
      <c r="R633" s="22" t="str">
        <f>IF(LEFT(J633,1)="E","EX",LEFT(J633,1))</f>
        <v>P</v>
      </c>
      <c r="S633" s="22" t="str">
        <f>_xlfn.XLOOKUP($R633,'[1]Career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633" s="22" t="str">
        <f>J633</f>
        <v>P4</v>
      </c>
      <c r="U633" s="40" t="str">
        <f t="shared" si="19"/>
        <v>P4</v>
      </c>
      <c r="V633" s="22" t="str">
        <f>_xlfn.XLOOKUP(T633,'[1]Career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633" s="41" t="str">
        <f>J633&amp;"-"&amp;G633</f>
        <v>P4-14</v>
      </c>
      <c r="X633" s="42" t="str">
        <f>G633</f>
        <v>14</v>
      </c>
      <c r="Y633" s="22" t="str">
        <f>_xlfn.XLOOKUP(W633,'[1]Career Bands &amp; Levels'!A:A,'[1]Career Bands &amp; Levels'!C:C,"No Grade Differentiator")</f>
        <v xml:space="preserve">●	Guides others in resolving complex issues in own specialized area and solves complex problems with implications on cross-functional business processes and outcomes		
●	Serves as an advisor and applies knowledge of strategies that can be deployed within own function and discipline		
●	Applies working knowledge of the theories and concepts in other disciplines		
●	May lead teams or projects with broad visibility		</v>
      </c>
      <c r="Z633" s="43" t="str">
        <f>IFERROR(O633&amp;" - "&amp;G633,"--")</f>
        <v>Senior Expert Technical Services - 14</v>
      </c>
      <c r="AA633" s="44" t="str">
        <f>_xlfn.XLOOKUP($H633,'[1]SIG Qualifications Input'!$D:$D,'[1]SIG Qualifications Input'!$H:$H)</f>
        <v>University degree or equivalent and 8-10 years of work experience or equivalent, 
Experience in functionally leading (sub-)projects / teams</v>
      </c>
    </row>
    <row r="634" spans="1:27" ht="169" thickBot="1" x14ac:dyDescent="0.2">
      <c r="A634" s="34" t="str">
        <f>_xlfn.XLOOKUP(C634,'[1]SIG Job Families &amp; Descriptions'!F:F,'[1]SIG Job Families &amp; Descriptions'!B:B)</f>
        <v>Technical Services</v>
      </c>
      <c r="B634" s="34" t="str">
        <f>_xlfn.XLOOKUP(C634,'[1]SIG Job Families &amp; Descriptions'!F:F,'[1]SIG Job Families &amp; Descriptions'!D:D)</f>
        <v>Technical Services</v>
      </c>
      <c r="C634" s="34" t="s">
        <v>125</v>
      </c>
      <c r="D634" s="30" t="str">
        <f t="shared" si="18"/>
        <v>AMT</v>
      </c>
      <c r="E634" s="31" t="str">
        <f>_xlfn.XLOOKUP(C634,'[1]SIG Job Families &amp; Descriptions'!F:F,'[1]SIG Job Families &amp; Descriptions'!A:A)</f>
        <v>AMT000</v>
      </c>
      <c r="F634" s="32" t="s">
        <v>32</v>
      </c>
      <c r="G634" s="33" t="s">
        <v>33</v>
      </c>
      <c r="H634" s="34" t="str">
        <f>F634&amp;"-"&amp;G634</f>
        <v>Professional-13</v>
      </c>
      <c r="I634" s="35" t="str">
        <f>IF(ISERROR(_xlfn.XLOOKUP(H634,'[1]SIG Level Structure'!D:D,'[1]SIG Level Structure'!D:D)),"0","1")</f>
        <v>1</v>
      </c>
      <c r="J634" s="36" t="str">
        <f>_xlfn.XLOOKUP($H634,'[1]SIG Level Structure'!$D:$D,'[1]SIG Level Structure'!F:F)</f>
        <v>P4</v>
      </c>
      <c r="K634" s="37" t="str">
        <f>E634&amp;"-"&amp;J634&amp;"-"&amp;G634</f>
        <v>AMT000-P4-13</v>
      </c>
      <c r="L634" s="37" t="str">
        <f>IFERROR(D634&amp;"-"&amp;LEFT(J634,1),"--")</f>
        <v>AMT-P</v>
      </c>
      <c r="M634" s="37" t="str">
        <f>VLOOKUP(L634,'[1]Compatible JC'!$A:$A,1,FALSE)</f>
        <v>AMT-P</v>
      </c>
      <c r="N634" s="37" t="str">
        <f>IFERROR(_xlfn.XLOOKUP(H634,'[1]SIG Level Structure'!D:D,'[1]SIG Level Structure'!C:C),"--")</f>
        <v>Senior Expert</v>
      </c>
      <c r="O634" s="38" t="str">
        <f>IFERROR(TRIM(N634&amp;" "&amp;C634),"--")</f>
        <v>Senior Expert Technical Services</v>
      </c>
      <c r="P634" s="22" t="str">
        <f>_xlfn.XLOOKUP(E634,'[1]SIG Job Families &amp; Descriptions'!A:A,'[1]SIG Job Families &amp; Descriptions'!G:G)</f>
        <v>Provides technical expertise to internal stakeholders, e.g. from commercial area and customers. Performs technical support at customer sites or on a multiple-site basis.
Develops and implements training activities directed at both employee competencies and technical skills. Collaborates with other functions to ensure that current specifications and information on new processes and equipment is reflected.</v>
      </c>
      <c r="Q634" s="39" t="str">
        <f>_xlfn.XLOOKUP(E634,'[1]2022 GI Position Descriptions'!E:E,'[1]2022 GI Position Descriptions'!G:G)</f>
        <v>Provides post-sale technical support services to customers, including installation, troubleshooting, problem resolution and maintenance of products and services | Responsibilities are within the Technical Customer Support Function as a generalist or in a combination of Disciplines</v>
      </c>
      <c r="R634" s="22" t="str">
        <f>IF(LEFT(J634,1)="E","EX",LEFT(J634,1))</f>
        <v>P</v>
      </c>
      <c r="S634" s="22" t="str">
        <f>_xlfn.XLOOKUP($R634,'[1]Career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634" s="22" t="str">
        <f>J634</f>
        <v>P4</v>
      </c>
      <c r="U634" s="40" t="str">
        <f t="shared" si="19"/>
        <v>P4</v>
      </c>
      <c r="V634" s="22" t="str">
        <f>_xlfn.XLOOKUP(T634,'[1]Career Bands &amp; Levels'!A:A,'[1]Career Bands &amp; Levels'!C:C)</f>
        <v xml:space="preserve">●	Is recognized as an expert in own area within the organization		
●	Has specialized depth and/or breadth of expertise in own discipline or function		
●	Interprets internal or external issues and recommends solutions/best practices		
●	Solves complex problems; takes a broad perspective to identify solutions		
●	May lead functional teams or projects		
●	Works independently, with guidance in only the most complex situations		
●	Progression to this level is typically restricted on the basis of business requirement		</v>
      </c>
      <c r="W634" s="41" t="str">
        <f>J634&amp;"-"&amp;G634</f>
        <v>P4-13</v>
      </c>
      <c r="X634" s="42" t="str">
        <f>G634</f>
        <v>13</v>
      </c>
      <c r="Y634" s="22" t="str">
        <f>_xlfn.XLOOKUP(W634,'[1]Career Bands &amp; Levels'!A:A,'[1]Career Bands &amp; Levels'!C:C,"No Grade Differentiator")</f>
        <v xml:space="preserve">●	Guides others in resolving complex issues in specialized area based on existing solutions and procedures		
●	Serves as an expert within own discipline		
●	May lead function teams or projects and serves as a best practices/quality resource		
●	Trains/mentors junior staff		</v>
      </c>
      <c r="Z634" s="43" t="str">
        <f>IFERROR(O634&amp;" - "&amp;G634,"--")</f>
        <v>Senior Expert Technical Services - 13</v>
      </c>
      <c r="AA634" s="44" t="str">
        <f>_xlfn.XLOOKUP($H634,'[1]SIG Qualifications Input'!$D:$D,'[1]SIG Qualifications Input'!$H:$H)</f>
        <v>University degree or equivalent and 8-10 years of work experience or equivalent, 
Experience in functionally leading (sub-)projects / teams</v>
      </c>
    </row>
    <row r="635" spans="1:27" ht="169" thickBot="1" x14ac:dyDescent="0.2">
      <c r="A635" s="34" t="str">
        <f>_xlfn.XLOOKUP(C635,'[1]SIG Job Families &amp; Descriptions'!F:F,'[1]SIG Job Families &amp; Descriptions'!B:B)</f>
        <v>Technical Services</v>
      </c>
      <c r="B635" s="34" t="str">
        <f>_xlfn.XLOOKUP(C635,'[1]SIG Job Families &amp; Descriptions'!F:F,'[1]SIG Job Families &amp; Descriptions'!D:D)</f>
        <v>Technical Services</v>
      </c>
      <c r="C635" s="34" t="s">
        <v>125</v>
      </c>
      <c r="D635" s="30" t="str">
        <f t="shared" si="18"/>
        <v>AMT</v>
      </c>
      <c r="E635" s="31" t="str">
        <f>_xlfn.XLOOKUP(C635,'[1]SIG Job Families &amp; Descriptions'!F:F,'[1]SIG Job Families &amp; Descriptions'!A:A)</f>
        <v>AMT000</v>
      </c>
      <c r="F635" s="32" t="s">
        <v>32</v>
      </c>
      <c r="G635" s="33" t="s">
        <v>34</v>
      </c>
      <c r="H635" s="34" t="str">
        <f>F635&amp;"-"&amp;G635</f>
        <v>Professional-12</v>
      </c>
      <c r="I635" s="35" t="str">
        <f>IF(ISERROR(_xlfn.XLOOKUP(H635,'[1]SIG Level Structure'!D:D,'[1]SIG Level Structure'!D:D)),"0","1")</f>
        <v>1</v>
      </c>
      <c r="J635" s="36" t="str">
        <f>_xlfn.XLOOKUP($H635,'[1]SIG Level Structure'!$D:$D,'[1]SIG Level Structure'!F:F)</f>
        <v>P3</v>
      </c>
      <c r="K635" s="37" t="str">
        <f>E635&amp;"-"&amp;J635&amp;"-"&amp;G635</f>
        <v>AMT000-P3-12</v>
      </c>
      <c r="L635" s="37" t="str">
        <f>IFERROR(D635&amp;"-"&amp;LEFT(J635,1),"--")</f>
        <v>AMT-P</v>
      </c>
      <c r="M635" s="37" t="str">
        <f>VLOOKUP(L635,'[1]Compatible JC'!$A:$A,1,FALSE)</f>
        <v>AMT-P</v>
      </c>
      <c r="N635" s="37" t="str">
        <f>IFERROR(_xlfn.XLOOKUP(H635,'[1]SIG Level Structure'!D:D,'[1]SIG Level Structure'!C:C),"--")</f>
        <v>Expert</v>
      </c>
      <c r="O635" s="38" t="str">
        <f>IFERROR(TRIM(N635&amp;" "&amp;C635),"--")</f>
        <v>Expert Technical Services</v>
      </c>
      <c r="P635" s="22" t="str">
        <f>_xlfn.XLOOKUP(E635,'[1]SIG Job Families &amp; Descriptions'!A:A,'[1]SIG Job Families &amp; Descriptions'!G:G)</f>
        <v>Provides technical expertise to internal stakeholders, e.g. from commercial area and customers. Performs technical support at customer sites or on a multiple-site basis.
Develops and implements training activities directed at both employee competencies and technical skills. Collaborates with other functions to ensure that current specifications and information on new processes and equipment is reflected.</v>
      </c>
      <c r="Q635" s="39" t="str">
        <f>_xlfn.XLOOKUP(E635,'[1]2022 GI Position Descriptions'!E:E,'[1]2022 GI Position Descriptions'!G:G)</f>
        <v>Provides post-sale technical support services to customers, including installation, troubleshooting, problem resolution and maintenance of products and services | Responsibilities are within the Technical Customer Support Function as a generalist or in a combination of Disciplines</v>
      </c>
      <c r="R635" s="22" t="str">
        <f>IF(LEFT(J635,1)="E","EX",LEFT(J635,1))</f>
        <v>P</v>
      </c>
      <c r="S635" s="22" t="str">
        <f>_xlfn.XLOOKUP($R635,'[1]Career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635" s="22" t="str">
        <f>J635</f>
        <v>P3</v>
      </c>
      <c r="U635" s="40" t="str">
        <f t="shared" si="19"/>
        <v>P3</v>
      </c>
      <c r="V635" s="22" t="str">
        <f>_xlfn.XLOOKUP(T635,'[1]Career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635" s="41" t="str">
        <f>J635&amp;"-"&amp;G635</f>
        <v>P3-12</v>
      </c>
      <c r="X635" s="42" t="str">
        <f>G635</f>
        <v>12</v>
      </c>
      <c r="Y635" s="22" t="str">
        <f>_xlfn.XLOOKUP(W635,'[1]Career Bands &amp; Levels'!A:A,'[1]Career Bands &amp; Levels'!C:C,"No Grade Differentiator")</f>
        <v xml:space="preserve">●	Uses best practices and knowledge of internal or external business issues to improve products/services or processes		
●	Typically resolves complex problems or problems where precedent may not exist		
●	Often leads the work of small project teams; may formally train junior staff		
●	Works independently		</v>
      </c>
      <c r="Z635" s="43" t="str">
        <f>IFERROR(O635&amp;" - "&amp;G635,"--")</f>
        <v>Expert Technical Services - 12</v>
      </c>
      <c r="AA635" s="44" t="str">
        <f>_xlfn.XLOOKUP($H635,'[1]SIG Qualifications Input'!$D:$D,'[1]SIG Qualifications Input'!$H:$H)</f>
        <v>University degree or equivalent and 4-8 years of work experience or equivalent, 
Initial experience in functionally leading (sub-) projects</v>
      </c>
    </row>
    <row r="636" spans="1:27" ht="169" thickBot="1" x14ac:dyDescent="0.2">
      <c r="A636" s="34" t="str">
        <f>_xlfn.XLOOKUP(C636,'[1]SIG Job Families &amp; Descriptions'!F:F,'[1]SIG Job Families &amp; Descriptions'!B:B)</f>
        <v>Technical Services</v>
      </c>
      <c r="B636" s="34" t="str">
        <f>_xlfn.XLOOKUP(C636,'[1]SIG Job Families &amp; Descriptions'!F:F,'[1]SIG Job Families &amp; Descriptions'!D:D)</f>
        <v>Technical Services</v>
      </c>
      <c r="C636" s="34" t="s">
        <v>125</v>
      </c>
      <c r="D636" s="30" t="str">
        <f t="shared" si="18"/>
        <v>AMT</v>
      </c>
      <c r="E636" s="31" t="str">
        <f>_xlfn.XLOOKUP(C636,'[1]SIG Job Families &amp; Descriptions'!F:F,'[1]SIG Job Families &amp; Descriptions'!A:A)</f>
        <v>AMT000</v>
      </c>
      <c r="F636" s="32" t="s">
        <v>32</v>
      </c>
      <c r="G636" s="33" t="s">
        <v>35</v>
      </c>
      <c r="H636" s="34" t="str">
        <f>F636&amp;"-"&amp;G636</f>
        <v>Professional-11</v>
      </c>
      <c r="I636" s="35" t="str">
        <f>IF(ISERROR(_xlfn.XLOOKUP(H636,'[1]SIG Level Structure'!D:D,'[1]SIG Level Structure'!D:D)),"0","1")</f>
        <v>1</v>
      </c>
      <c r="J636" s="36" t="str">
        <f>_xlfn.XLOOKUP($H636,'[1]SIG Level Structure'!$D:$D,'[1]SIG Level Structure'!F:F)</f>
        <v>P3</v>
      </c>
      <c r="K636" s="37" t="str">
        <f>E636&amp;"-"&amp;J636&amp;"-"&amp;G636</f>
        <v>AMT000-P3-11</v>
      </c>
      <c r="L636" s="37" t="str">
        <f>IFERROR(D636&amp;"-"&amp;LEFT(J636,1),"--")</f>
        <v>AMT-P</v>
      </c>
      <c r="M636" s="37" t="str">
        <f>VLOOKUP(L636,'[1]Compatible JC'!$A:$A,1,FALSE)</f>
        <v>AMT-P</v>
      </c>
      <c r="N636" s="37" t="str">
        <f>IFERROR(_xlfn.XLOOKUP(H636,'[1]SIG Level Structure'!D:D,'[1]SIG Level Structure'!C:C),"--")</f>
        <v>Expert</v>
      </c>
      <c r="O636" s="38" t="str">
        <f>IFERROR(TRIM(N636&amp;" "&amp;C636),"--")</f>
        <v>Expert Technical Services</v>
      </c>
      <c r="P636" s="22" t="str">
        <f>_xlfn.XLOOKUP(E636,'[1]SIG Job Families &amp; Descriptions'!A:A,'[1]SIG Job Families &amp; Descriptions'!G:G)</f>
        <v>Provides technical expertise to internal stakeholders, e.g. from commercial area and customers. Performs technical support at customer sites or on a multiple-site basis.
Develops and implements training activities directed at both employee competencies and technical skills. Collaborates with other functions to ensure that current specifications and information on new processes and equipment is reflected.</v>
      </c>
      <c r="Q636" s="39" t="str">
        <f>_xlfn.XLOOKUP(E636,'[1]2022 GI Position Descriptions'!E:E,'[1]2022 GI Position Descriptions'!G:G)</f>
        <v>Provides post-sale technical support services to customers, including installation, troubleshooting, problem resolution and maintenance of products and services | Responsibilities are within the Technical Customer Support Function as a generalist or in a combination of Disciplines</v>
      </c>
      <c r="R636" s="22" t="str">
        <f>IF(LEFT(J636,1)="E","EX",LEFT(J636,1))</f>
        <v>P</v>
      </c>
      <c r="S636" s="22" t="str">
        <f>_xlfn.XLOOKUP($R636,'[1]Career Bands &amp; Levels'!A:A,'[1]Career Bands &amp; Levels'!C:C)</f>
        <v>● Work is primarily achieved by an individual or through project teams, with emphasis on technical/discipline knowledge rather than managing people
● Requires the application of expertise in professional area(s) to achieve results
● Progression within the Career Band reflects increasing depth of professional knowledge, project management and ability to influence others 
● Entry-level jobs within the Professional Career Band typically require a university degree or equivalent work experience that provides knowledge of and exposure to fundamental theories, principles and practices</v>
      </c>
      <c r="T636" s="22" t="str">
        <f>J636</f>
        <v>P3</v>
      </c>
      <c r="U636" s="40" t="str">
        <f t="shared" si="19"/>
        <v>P3</v>
      </c>
      <c r="V636" s="22" t="str">
        <f>_xlfn.XLOOKUP(T636,'[1]Career Bands &amp; Levels'!A:A,'[1]Career Bands &amp; Levels'!C:C)</f>
        <v xml:space="preserve">●	Has in-depth knowledge in own discipline and basic knowledge of related disciplines		
●	Solves complex problems; takes a new perspective on existing solutions		
●	Works independently; receives minimal guidance		
●	May lead projects or project steps within a broader project or have accountability for ongoing activities or objectives		
●	Acts as a resource for colleagues with less experience		
●	May represent the level at which career may stabilize for many years or even until retirement		</v>
      </c>
      <c r="W636" s="41" t="str">
        <f>J636&amp;"-"&amp;G636</f>
        <v>P3-11</v>
      </c>
      <c r="X636" s="42" t="str">
        <f>G636</f>
        <v>11</v>
      </c>
      <c r="Y636" s="22" t="str">
        <f>_xlfn.XLOOKUP(W636,'[1]Career Bands &amp; Levels'!A:A,'[1]Career Bands &amp; Levels'!C:C,"No Grade Differentiator")</f>
        <v xml:space="preserve">●	Contributes to process improvements		
●	Typically resolves problems using existing solutions		
●	Occasionally leads the work of small project teams; provides informal guidance to junior staff		
●	Works with minimal guidance		</v>
      </c>
      <c r="Z636" s="43" t="str">
        <f>IFERROR(O636&amp;" - "&amp;G636,"--")</f>
        <v>Expert Technical Services - 11</v>
      </c>
      <c r="AA636" s="44" t="str">
        <f>_xlfn.XLOOKUP($H636,'[1]SIG Qualifications Input'!$D:$D,'[1]SIG Qualifications Input'!$H:$H)</f>
        <v>University degree or equivalent and 4-8 years of work experience or equivalent, 
Initial experience in functionally leading (sub-) projects</v>
      </c>
    </row>
    <row r="637" spans="1:27" ht="211" thickBot="1" x14ac:dyDescent="0.2">
      <c r="A637" s="34" t="str">
        <f>_xlfn.XLOOKUP(C637,'[1]SIG Job Families &amp; Descriptions'!F:F,'[1]SIG Job Families &amp; Descriptions'!B:B)</f>
        <v xml:space="preserve">Top Executive/General Management </v>
      </c>
      <c r="B637" s="34" t="str">
        <f>_xlfn.XLOOKUP(C637,'[1]SIG Job Families &amp; Descriptions'!F:F,'[1]SIG Job Families &amp; Descriptions'!D:D)</f>
        <v>Top Executive/General Management</v>
      </c>
      <c r="C637" s="34" t="s">
        <v>128</v>
      </c>
      <c r="D637" s="30" t="str">
        <f t="shared" si="18"/>
        <v>AAA</v>
      </c>
      <c r="E637" s="31" t="str">
        <f>_xlfn.XLOOKUP(C637,'[1]SIG Job Families &amp; Descriptions'!F:F,'[1]SIG Job Families &amp; Descriptions'!A:A)</f>
        <v>AAA000</v>
      </c>
      <c r="F637" s="32" t="s">
        <v>29</v>
      </c>
      <c r="G637" s="33" t="s">
        <v>129</v>
      </c>
      <c r="H637" s="34" t="str">
        <f>F637&amp;"-"&amp;G637</f>
        <v>Management-18</v>
      </c>
      <c r="I637" s="35" t="str">
        <f>IF(ISERROR(_xlfn.XLOOKUP(H637,'[1]SIG Level Structure'!D:D,'[1]SIG Level Structure'!D:D)),"0","1")</f>
        <v>1</v>
      </c>
      <c r="J637" s="36" t="str">
        <f>_xlfn.XLOOKUP($H637,'[1]SIG Level Structure'!$D:$D,'[1]SIG Level Structure'!F:F)</f>
        <v>EX</v>
      </c>
      <c r="K637" s="37" t="str">
        <f>E637&amp;"-"&amp;J637&amp;"-"&amp;G637</f>
        <v>AAA000-EX-18</v>
      </c>
      <c r="L637" s="37" t="str">
        <f>IFERROR(D637&amp;"-"&amp;LEFT(J637,1),"--")</f>
        <v>AAA-E</v>
      </c>
      <c r="M637" s="37" t="str">
        <f>VLOOKUP(L637,'[1]Compatible JC'!$A:$A,1,FALSE)</f>
        <v>AAA-E</v>
      </c>
      <c r="N637" s="37" t="str">
        <f>IFERROR(_xlfn.XLOOKUP(H637,'[1]SIG Level Structure'!D:D,'[1]SIG Level Structure'!C:C),"--")</f>
        <v>Executive Manager</v>
      </c>
      <c r="O637" s="38" t="str">
        <f>IFERROR(TRIM(N637&amp;" "&amp;C637),"--")</f>
        <v>Executive Manager Top Executive/General Management</v>
      </c>
      <c r="P637" s="22" t="str">
        <f>_xlfn.XLOOKUP(E637,'[1]SIG Job Families &amp; Descriptions'!A:A,'[1]SIG Job Families &amp; Descriptions'!G:G)</f>
        <v xml:space="preserve">Has primary responsibility for the organization's operations in a single country or group of countries or the assinged Business Line. Sets the overall strategic direction and the establishment of long-range plans and policy of the respective area, region or country. Manages the line and staff operations. Includes country General Manager Roles or Business Line management roles. 
In case of the Management Board: Establishes the overall strategic direction of the company as a member of the Management Board. Is accountable for long-range planning and major initiatives of the company. Has direct and lasting impact on overall corporate performance and image.
</v>
      </c>
      <c r="Q637" s="39" t="str">
        <f>_xlfn.XLOOKUP(E637,'[1]2022 GI Position Descriptions'!E:E,'[1]2022 GI Position Descriptions'!G:G)</f>
        <v>Manages the profitability and growth of the organization | Accountable to the Board of Directors for all activities of the organization | Directs the organization in establishing long-range plans, strategy and policy</v>
      </c>
      <c r="R637" s="22" t="str">
        <f>IF(LEFT(J637,1)="E","EX",LEFT(J637,1))</f>
        <v>EX</v>
      </c>
      <c r="S637" s="22" t="str">
        <f>_xlfn.XLOOKUP($R637,'[1]Career Bands &amp; Levels'!A:A,'[1]Career Bands &amp; Levels'!C:C)</f>
        <v>● Holds management accountability for a business, division, major geography, corporate function or major corporate sub-function
● Develops, establishes and approves long-term vision and strategy for the area managed
● May be a board or executive committee member or have a comparable level of influence</v>
      </c>
      <c r="T637" s="22" t="str">
        <f>J637</f>
        <v>EX</v>
      </c>
      <c r="U637" s="40" t="str">
        <f t="shared" si="19"/>
        <v>EX</v>
      </c>
      <c r="V637" s="22" t="str">
        <f>_xlfn.XLOOKUP(T637,'[1]Career Bands &amp; Levels'!A:A,'[1]Career Bands &amp; Levels'!C:C)</f>
        <v>● Holds management accountability for a business, division, major geography, corporate function or major corporate sub-function
● Develops, establishes and approves long-term vision and strategy for the area managed
● May be a board or executive committee member or have a comparable level of influence</v>
      </c>
      <c r="W637" s="41" t="str">
        <f>J637&amp;"-"&amp;G637</f>
        <v>EX-18</v>
      </c>
      <c r="X637" s="42" t="str">
        <f>G637</f>
        <v>18</v>
      </c>
      <c r="Y637" s="22" t="str">
        <f>_xlfn.XLOOKUP(W637,'[1]Career Bands &amp; Levels'!A:A,'[1]Career Bands &amp; Levels'!C:C,"No Grade Differentiator")</f>
        <v>No Grade Differentiator</v>
      </c>
      <c r="Z637" s="43" t="str">
        <f>IFERROR(O637&amp;" - "&amp;G637,"--")</f>
        <v>Executive Manager Top Executive/General Management - 18</v>
      </c>
      <c r="AA637" s="44" t="str">
        <f>_xlfn.XLOOKUP($H637,'[1]SIG Qualifications Input'!$D:$D,'[1]SIG Qualifications Input'!$H:$H)</f>
        <v xml:space="preserve">University degree or equivalent and 15+ years of work experience or equivalent
Extensive leadership experience of a major, business critical and strategic segment
</v>
      </c>
    </row>
    <row r="638" spans="1:27" ht="211" thickBot="1" x14ac:dyDescent="0.2">
      <c r="A638" s="34" t="str">
        <f>_xlfn.XLOOKUP(C638,'[1]SIG Job Families &amp; Descriptions'!F:F,'[1]SIG Job Families &amp; Descriptions'!B:B)</f>
        <v xml:space="preserve">Top Executive/General Management </v>
      </c>
      <c r="B638" s="34" t="str">
        <f>_xlfn.XLOOKUP(C638,'[1]SIG Job Families &amp; Descriptions'!F:F,'[1]SIG Job Families &amp; Descriptions'!D:D)</f>
        <v>Top Executive/General Management</v>
      </c>
      <c r="C638" s="34" t="s">
        <v>128</v>
      </c>
      <c r="D638" s="30" t="str">
        <f t="shared" si="18"/>
        <v>AAA</v>
      </c>
      <c r="E638" s="31" t="str">
        <f>_xlfn.XLOOKUP(C638,'[1]SIG Job Families &amp; Descriptions'!F:F,'[1]SIG Job Families &amp; Descriptions'!A:A)</f>
        <v>AAA000</v>
      </c>
      <c r="F638" s="32" t="s">
        <v>29</v>
      </c>
      <c r="G638" s="33" t="s">
        <v>130</v>
      </c>
      <c r="H638" s="34" t="str">
        <f>F638&amp;"-"&amp;G638</f>
        <v>Management-19</v>
      </c>
      <c r="I638" s="35" t="str">
        <f>IF(ISERROR(_xlfn.XLOOKUP(H638,'[1]SIG Level Structure'!D:D,'[1]SIG Level Structure'!D:D)),"0","1")</f>
        <v>1</v>
      </c>
      <c r="J638" s="36" t="str">
        <f>_xlfn.XLOOKUP($H638,'[1]SIG Level Structure'!$D:$D,'[1]SIG Level Structure'!F:F)</f>
        <v>EX</v>
      </c>
      <c r="K638" s="37" t="str">
        <f>E638&amp;"-"&amp;J638&amp;"-"&amp;G638</f>
        <v>AAA000-EX-19</v>
      </c>
      <c r="L638" s="37" t="str">
        <f>IFERROR(D638&amp;"-"&amp;LEFT(J638,1),"--")</f>
        <v>AAA-E</v>
      </c>
      <c r="M638" s="37" t="str">
        <f>VLOOKUP(L638,'[1]Compatible JC'!$A:$A,1,FALSE)</f>
        <v>AAA-E</v>
      </c>
      <c r="N638" s="37" t="str">
        <f>IFERROR(_xlfn.XLOOKUP(H638,'[1]SIG Level Structure'!D:D,'[1]SIG Level Structure'!C:C),"--")</f>
        <v>Executive Manager</v>
      </c>
      <c r="O638" s="38" t="str">
        <f>IFERROR(TRIM(N638&amp;" "&amp;C638),"--")</f>
        <v>Executive Manager Top Executive/General Management</v>
      </c>
      <c r="P638" s="22" t="str">
        <f>_xlfn.XLOOKUP(E638,'[1]SIG Job Families &amp; Descriptions'!A:A,'[1]SIG Job Families &amp; Descriptions'!G:G)</f>
        <v xml:space="preserve">Has primary responsibility for the organization's operations in a single country or group of countries or the assinged Business Line. Sets the overall strategic direction and the establishment of long-range plans and policy of the respective area, region or country. Manages the line and staff operations. Includes country General Manager Roles or Business Line management roles. 
In case of the Management Board: Establishes the overall strategic direction of the company as a member of the Management Board. Is accountable for long-range planning and major initiatives of the company. Has direct and lasting impact on overall corporate performance and image.
</v>
      </c>
      <c r="Q638" s="39" t="str">
        <f>_xlfn.XLOOKUP(E638,'[1]2022 GI Position Descriptions'!E:E,'[1]2022 GI Position Descriptions'!G:G)</f>
        <v>Manages the profitability and growth of the organization | Accountable to the Board of Directors for all activities of the organization | Directs the organization in establishing long-range plans, strategy and policy</v>
      </c>
      <c r="R638" s="22" t="str">
        <f>IF(LEFT(J638,1)="E","EX",LEFT(J638,1))</f>
        <v>EX</v>
      </c>
      <c r="S638" s="22" t="str">
        <f>_xlfn.XLOOKUP($R638,'[1]Career Bands &amp; Levels'!A:A,'[1]Career Bands &amp; Levels'!C:C)</f>
        <v>● Holds management accountability for a business, division, major geography, corporate function or major corporate sub-function
● Develops, establishes and approves long-term vision and strategy for the area managed
● May be a board or executive committee member or have a comparable level of influence</v>
      </c>
      <c r="T638" s="22" t="str">
        <f>J638</f>
        <v>EX</v>
      </c>
      <c r="U638" s="40" t="str">
        <f t="shared" si="19"/>
        <v>EX</v>
      </c>
      <c r="V638" s="22" t="str">
        <f>_xlfn.XLOOKUP(T638,'[1]Career Bands &amp; Levels'!A:A,'[1]Career Bands &amp; Levels'!C:C)</f>
        <v>● Holds management accountability for a business, division, major geography, corporate function or major corporate sub-function
● Develops, establishes and approves long-term vision and strategy for the area managed
● May be a board or executive committee member or have a comparable level of influence</v>
      </c>
      <c r="W638" s="41" t="str">
        <f>J638&amp;"-"&amp;G638</f>
        <v>EX-19</v>
      </c>
      <c r="X638" s="42" t="str">
        <f>G638</f>
        <v>19</v>
      </c>
      <c r="Y638" s="22" t="str">
        <f>_xlfn.XLOOKUP(W638,'[1]Career Bands &amp; Levels'!A:A,'[1]Career Bands &amp; Levels'!C:C,"No Grade Differentiator")</f>
        <v>No Grade Differentiator</v>
      </c>
      <c r="Z638" s="43" t="str">
        <f>IFERROR(O638&amp;" - "&amp;G638,"--")</f>
        <v>Executive Manager Top Executive/General Management - 19</v>
      </c>
      <c r="AA638" s="44" t="str">
        <f>_xlfn.XLOOKUP($H638,'[1]SIG Qualifications Input'!$D:$D,'[1]SIG Qualifications Input'!$H:$H)</f>
        <v xml:space="preserve">University degree or equivalent and 15+ years of work experience or equivalent
Extensive leadership experience of a major, business critical and strategic segment
</v>
      </c>
    </row>
    <row r="639" spans="1:27" ht="211" thickBot="1" x14ac:dyDescent="0.2">
      <c r="A639" s="34" t="str">
        <f>_xlfn.XLOOKUP(C639,'[1]SIG Job Families &amp; Descriptions'!F:F,'[1]SIG Job Families &amp; Descriptions'!B:B)</f>
        <v xml:space="preserve">Top Executive/General Management </v>
      </c>
      <c r="B639" s="34" t="str">
        <f>_xlfn.XLOOKUP(C639,'[1]SIG Job Families &amp; Descriptions'!F:F,'[1]SIG Job Families &amp; Descriptions'!D:D)</f>
        <v>Top Executive/General Management</v>
      </c>
      <c r="C639" s="34" t="s">
        <v>128</v>
      </c>
      <c r="D639" s="30" t="str">
        <f t="shared" si="18"/>
        <v>AAA</v>
      </c>
      <c r="E639" s="31" t="str">
        <f>_xlfn.XLOOKUP(C639,'[1]SIG Job Families &amp; Descriptions'!F:F,'[1]SIG Job Families &amp; Descriptions'!A:A)</f>
        <v>AAA000</v>
      </c>
      <c r="F639" s="32" t="s">
        <v>29</v>
      </c>
      <c r="G639" s="33" t="s">
        <v>131</v>
      </c>
      <c r="H639" s="34" t="str">
        <f>F639&amp;"-"&amp;G639</f>
        <v>Management-20</v>
      </c>
      <c r="I639" s="35" t="str">
        <f>IF(ISERROR(_xlfn.XLOOKUP(H639,'[1]SIG Level Structure'!D:D,'[1]SIG Level Structure'!D:D)),"0","1")</f>
        <v>1</v>
      </c>
      <c r="J639" s="36" t="str">
        <f>_xlfn.XLOOKUP($H639,'[1]SIG Level Structure'!$D:$D,'[1]SIG Level Structure'!F:F)</f>
        <v>EX</v>
      </c>
      <c r="K639" s="37" t="str">
        <f>E639&amp;"-"&amp;J639&amp;"-"&amp;G639</f>
        <v>AAA000-EX-20</v>
      </c>
      <c r="L639" s="37" t="str">
        <f>IFERROR(D639&amp;"-"&amp;LEFT(J639,1),"--")</f>
        <v>AAA-E</v>
      </c>
      <c r="M639" s="37" t="str">
        <f>VLOOKUP(L639,'[1]Compatible JC'!$A:$A,1,FALSE)</f>
        <v>AAA-E</v>
      </c>
      <c r="N639" s="37" t="str">
        <f>IFERROR(_xlfn.XLOOKUP(H639,'[1]SIG Level Structure'!D:D,'[1]SIG Level Structure'!C:C),"--")</f>
        <v>Executive Manager</v>
      </c>
      <c r="O639" s="38" t="str">
        <f>IFERROR(TRIM(N639&amp;" "&amp;C639),"--")</f>
        <v>Executive Manager Top Executive/General Management</v>
      </c>
      <c r="P639" s="22" t="str">
        <f>_xlfn.XLOOKUP(E639,'[1]SIG Job Families &amp; Descriptions'!A:A,'[1]SIG Job Families &amp; Descriptions'!G:G)</f>
        <v xml:space="preserve">Has primary responsibility for the organization's operations in a single country or group of countries or the assinged Business Line. Sets the overall strategic direction and the establishment of long-range plans and policy of the respective area, region or country. Manages the line and staff operations. Includes country General Manager Roles or Business Line management roles. 
In case of the Management Board: Establishes the overall strategic direction of the company as a member of the Management Board. Is accountable for long-range planning and major initiatives of the company. Has direct and lasting impact on overall corporate performance and image.
</v>
      </c>
      <c r="Q639" s="39" t="str">
        <f>_xlfn.XLOOKUP(E639,'[1]2022 GI Position Descriptions'!E:E,'[1]2022 GI Position Descriptions'!G:G)</f>
        <v>Manages the profitability and growth of the organization | Accountable to the Board of Directors for all activities of the organization | Directs the organization in establishing long-range plans, strategy and policy</v>
      </c>
      <c r="R639" s="22" t="str">
        <f>IF(LEFT(J639,1)="E","EX",LEFT(J639,1))</f>
        <v>EX</v>
      </c>
      <c r="S639" s="22" t="str">
        <f>_xlfn.XLOOKUP($R639,'[1]Career Bands &amp; Levels'!A:A,'[1]Career Bands &amp; Levels'!C:C)</f>
        <v>● Holds management accountability for a business, division, major geography, corporate function or major corporate sub-function
● Develops, establishes and approves long-term vision and strategy for the area managed
● May be a board or executive committee member or have a comparable level of influence</v>
      </c>
      <c r="T639" s="22" t="str">
        <f>J639</f>
        <v>EX</v>
      </c>
      <c r="U639" s="40" t="str">
        <f t="shared" si="19"/>
        <v>EX</v>
      </c>
      <c r="V639" s="22" t="str">
        <f>_xlfn.XLOOKUP(T639,'[1]Career Bands &amp; Levels'!A:A,'[1]Career Bands &amp; Levels'!C:C)</f>
        <v>● Holds management accountability for a business, division, major geography, corporate function or major corporate sub-function
● Develops, establishes and approves long-term vision and strategy for the area managed
● May be a board or executive committee member or have a comparable level of influence</v>
      </c>
      <c r="W639" s="41" t="str">
        <f>J639&amp;"-"&amp;G639</f>
        <v>EX-20</v>
      </c>
      <c r="X639" s="42" t="str">
        <f>G639</f>
        <v>20</v>
      </c>
      <c r="Y639" s="22" t="str">
        <f>_xlfn.XLOOKUP(W639,'[1]Career Bands &amp; Levels'!A:A,'[1]Career Bands &amp; Levels'!C:C,"No Grade Differentiator")</f>
        <v>No Grade Differentiator</v>
      </c>
      <c r="Z639" s="43" t="str">
        <f>IFERROR(O639&amp;" - "&amp;G639,"--")</f>
        <v>Executive Manager Top Executive/General Management - 20</v>
      </c>
      <c r="AA639" s="44" t="str">
        <f>_xlfn.XLOOKUP($H639,'[1]SIG Qualifications Input'!$D:$D,'[1]SIG Qualifications Input'!$H:$H)</f>
        <v xml:space="preserve">University degree or equivalent and 15+ years of work experience or equivalent
Extensive leadership experience of a major, business critical and strategic segment
</v>
      </c>
    </row>
  </sheetData>
  <sheetProtection formatCells="0" autoFilter="0"/>
  <autoFilter ref="A1:O639" xr:uid="{59AEDB5A-4865-46CE-94E3-2F4E4842A462}"/>
  <conditionalFormatting sqref="I3:I639">
    <cfRule type="expression" dxfId="3" priority="1">
      <formula>0</formula>
    </cfRule>
    <cfRule type="expression" dxfId="2" priority="2">
      <formula>1</formula>
    </cfRule>
  </conditionalFormatting>
  <conditionalFormatting sqref="M3:M639">
    <cfRule type="expression" dxfId="1" priority="3">
      <formula>ISNA(M3)=TRUE</formula>
    </cfRule>
    <cfRule type="expression" dxfId="0" priority="4">
      <formula>ISNA(M3)=FALSE</formula>
    </cfRule>
  </conditionalFormatting>
  <pageMargins left="0.7" right="0.7" top="0.78740157499999996" bottom="0.78740157499999996"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1</vt:i4>
      </vt:variant>
    </vt:vector>
  </HeadingPairs>
  <TitlesOfParts>
    <vt:vector size="1" baseType="lpstr">
      <vt:lpstr>Job Profile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Alexandre Savoy</dc:creator>
  <cp:lastModifiedBy>Alexandre Savoy</cp:lastModifiedBy>
  <dcterms:created xsi:type="dcterms:W3CDTF">2025-11-09T02:09:57Z</dcterms:created>
  <dcterms:modified xsi:type="dcterms:W3CDTF">2025-11-09T02:16:56Z</dcterms:modified>
</cp:coreProperties>
</file>