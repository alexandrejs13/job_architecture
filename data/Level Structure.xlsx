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lexandresavoy/Library/Mobile Documents/com~apple~CloudDocs/Job Architecture/"/>
    </mc:Choice>
  </mc:AlternateContent>
  <xr:revisionPtr revIDLastSave="0" documentId="8_{023D6F6E-3E7D-CE48-A858-21C6679CF944}" xr6:coauthVersionLast="47" xr6:coauthVersionMax="47" xr10:uidLastSave="{00000000-0000-0000-0000-000000000000}"/>
  <bookViews>
    <workbookView xWindow="11880" yWindow="6000" windowWidth="27840" windowHeight="16740" xr2:uid="{0C9FDCB4-257A-5D4A-9154-CBCAFD2DF075}"/>
  </bookViews>
  <sheets>
    <sheet name="Level Structur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A">#REF!</definedName>
    <definedName name="ACB_X">#REF!</definedName>
    <definedName name="_xlnm.Print_Area" localSheetId="0">'Level Structure'!$A$1:$G$54</definedName>
    <definedName name="Band">#REF!</definedName>
    <definedName name="Bands">#REF!</definedName>
    <definedName name="Changes">#REF!</definedName>
    <definedName name="CodeTitle">#REF!</definedName>
    <definedName name="DescriptionsMaster">#REF!</definedName>
    <definedName name="Functions">#REF!</definedName>
    <definedName name="Master">#REF!</definedName>
    <definedName name="Matrix">#REF!</definedName>
    <definedName name="PD_SOURCE">#REF!</definedName>
    <definedName name="PDs">#REF!</definedName>
    <definedName name="PGContent_EN">#REF!</definedName>
    <definedName name="pidA21258872585">[2]PickLists!$C$1:$C$3</definedName>
    <definedName name="pidA21258872611">[2]PickLists!$D$1:$D$16</definedName>
    <definedName name="pidA21258872613">[2]PickLists!$E$1:$E$2</definedName>
    <definedName name="pidA21258872615">[2]PickLists!$F$1:$F$13</definedName>
    <definedName name="pidA21258872617">[2]PickLists!$G$1:$G$177</definedName>
    <definedName name="pidA21258872619">[2]PickLists!$H$1:$H$236</definedName>
    <definedName name="pidA21258872621">[2]PickLists!$I$1:$I$4</definedName>
    <definedName name="pidA21258872623">[2]PickLists!$J$1:$J$118</definedName>
    <definedName name="pidA21258872625">[2]PickLists!$K$1:$K$2</definedName>
    <definedName name="pidA21258872627">[2]PickLists!$L$1:$L$2</definedName>
    <definedName name="pidA21258872629">[2]PickLists!$M$1:$M$6</definedName>
    <definedName name="pidA21258872631">[2]PickLists!$N$1:$N$4</definedName>
    <definedName name="pidA21258872633">[2]PickLists!$O$1:$O$7</definedName>
    <definedName name="pidA21258872635">[2]PickLists!$P$1:$P$3</definedName>
    <definedName name="pidA21258872637">[2]PickLists!$Q$1:$Q$4</definedName>
    <definedName name="pidA21258872639">[2]PickLists!$R$1:$R$5</definedName>
    <definedName name="pidA21258872641">[2]PickLists!$S$1:$S$4</definedName>
    <definedName name="pidA21258872643">[2]PickLists!$T$1:$T$236</definedName>
    <definedName name="pidA21258872645">[2]PickLists!$U$1:$U$34</definedName>
    <definedName name="pidA21258872649">[2]PickLists!$V$1:$V$10</definedName>
    <definedName name="pidA21258872651">[2]PickLists!$W$1:$W$116</definedName>
    <definedName name="pidA21258872653">[2]PickLists!$X$1:$X$10</definedName>
    <definedName name="pidA21258872655">[2]PickLists!$Y$1:$Y$236</definedName>
    <definedName name="pidA21258872657">[2]PickLists!$Z$1:$Z$10</definedName>
    <definedName name="pidA21258872659">[2]PickLists!$AA$1:$AA$10</definedName>
    <definedName name="pidA21258872661">[2]PickLists!$AB$1:$AB$177</definedName>
    <definedName name="pidA21258872663">[2]PickLists!$AC$1:$AC$4</definedName>
    <definedName name="pidA21258872665">[2]PickLists!$AD$1:$AD$15</definedName>
    <definedName name="pidA21258872667">[2]PickLists!$AE$1:$AE$21</definedName>
    <definedName name="pidA21258872669">[2]PickLists!$AF$1:$AF$5</definedName>
    <definedName name="pidA21258872671">[2]PickLists!$AG$1:$AG$4</definedName>
    <definedName name="pidA21258872673">[2]PickLists!$AH$1:$AH$2</definedName>
    <definedName name="pidA21258872677">[2]PickLists!$AI$1:$AI$2</definedName>
    <definedName name="pidA21258872679">[2]PickLists!$AJ$1:$AJ$4</definedName>
    <definedName name="pidA21258872681">[2]PickLists!$AK$1:$AK$9</definedName>
    <definedName name="pidA21258872683">[2]PickLists!$AL$1:$AL$118</definedName>
    <definedName name="pidA21258872685">[2]PickLists!$AM$1:$AM$19</definedName>
    <definedName name="pidA21258872691">[2]PickLists!$AN$1:$AN$835</definedName>
    <definedName name="pidA21258872693">[2]PickLists!$AO$1:$AO$3</definedName>
    <definedName name="pidA21277312319">[3]PickLists!$C$1:$C$3</definedName>
    <definedName name="pidA21277312339">[3]PickLists!$D$1:$D$8</definedName>
    <definedName name="pidA21277312341">[3]PickLists!$E$1:$E$2</definedName>
    <definedName name="pidA21277312343">[3]PickLists!$F$1:$F$13</definedName>
    <definedName name="pidA21277312345">[3]PickLists!$G$1:$G$177</definedName>
    <definedName name="pidA21277312347">[3]PickLists!$H$1:$H$236</definedName>
    <definedName name="pidA21277312349">[3]PickLists!$I$1:$I$4</definedName>
    <definedName name="pidA21277312351">[3]PickLists!$J$1:$J$118</definedName>
    <definedName name="pidA21277312353">[3]PickLists!$K$1:$K$2</definedName>
    <definedName name="pidA21277312355">[3]PickLists!$L$1:$L$2</definedName>
    <definedName name="pidA21277312357">[3]PickLists!$M$1:$M$4</definedName>
    <definedName name="pidA21277312359">[3]PickLists!$N$1:$N$4</definedName>
    <definedName name="pidA21277312361">[3]PickLists!$O$1:$O$3</definedName>
    <definedName name="pidA21277312363">[3]PickLists!$P$1:$P$4</definedName>
    <definedName name="pidA21277312365">[3]PickLists!$Q$1:$Q$236</definedName>
    <definedName name="pidA21277312369">[3]PickLists!$R$1:$R$10</definedName>
    <definedName name="pidA21277312371">[3]PickLists!$S$1:$S$116</definedName>
    <definedName name="pidA21277312373">[3]PickLists!$T$1:$T$10</definedName>
    <definedName name="pidA21277312375">[3]PickLists!$U$1:$U$236</definedName>
    <definedName name="pidA21277312377">[3]PickLists!$V$1:$V$10</definedName>
    <definedName name="pidA21277312379">[3]PickLists!$W$1:$W$10</definedName>
    <definedName name="pidA21277312381">[3]PickLists!$X$1:$X$177</definedName>
    <definedName name="pidA21277312383">[3]PickLists!$Y$1:$Y$4</definedName>
    <definedName name="pidA21277312385">[3]PickLists!$Z$1:$Z$21</definedName>
    <definedName name="pidA21277312387">[3]PickLists!$AA$1:$AA$5</definedName>
    <definedName name="pidA21277312389">[3]PickLists!$AB$1:$AB$4</definedName>
    <definedName name="pidA21277312391">[3]PickLists!$AC$1:$AC$2</definedName>
    <definedName name="pidA21277312395">[3]PickLists!$AD$1:$AD$2</definedName>
    <definedName name="pidA21277312397">[3]PickLists!$AE$1:$AE$4</definedName>
    <definedName name="pidA21277312399">[3]PickLists!$AF$1:$AF$9</definedName>
    <definedName name="pidA21277312401">[3]PickLists!$AG$1:$AG$118</definedName>
    <definedName name="pidA21277312403">[3]PickLists!$AH$1:$AH$362</definedName>
    <definedName name="pidA21277312405">[3]PickLists!$AI$1:$AI$3</definedName>
    <definedName name="pidA21278320865">[4]PickLists!$C$1:$C$3</definedName>
    <definedName name="pidA21278320881">[4]PickLists!$D$1:$D$2</definedName>
    <definedName name="pidA21278320883">[5]PickLists!$E$1:$E$13</definedName>
    <definedName name="pidA21278320885">[5]PickLists!$F$1:$F$177</definedName>
    <definedName name="pidA21278320887">[5]PickLists!$G$1:$G$236</definedName>
    <definedName name="pidA21278320889">[4]PickLists!$H$1:$H$4</definedName>
    <definedName name="pidA21278320891">[4]PickLists!$I$1:$I$118</definedName>
    <definedName name="pidA21278320893">[4]PickLists!$J$1:$J$2</definedName>
    <definedName name="pidA21278320895">[5]PickLists!$K$1:$K$2</definedName>
    <definedName name="pidA21278320897">[4]PickLists!$L$1:$L$6</definedName>
    <definedName name="pidA21278320899">[4]PickLists!$M$1:$M$3</definedName>
    <definedName name="pidA21278320901">[4]PickLists!$N$1:$N$4</definedName>
    <definedName name="pidA21278320903">[5]PickLists!$O$1:$O$236</definedName>
    <definedName name="pidA21278320907">[5]PickLists!$P$1:$P$10</definedName>
    <definedName name="pidA21278320909">[5]PickLists!$Q$1:$Q$116</definedName>
    <definedName name="pidA21278320911">[5]PickLists!$R$1:$R$10</definedName>
    <definedName name="pidA21278320913">[5]PickLists!$S$1:$S$236</definedName>
    <definedName name="pidA21278320915">[5]PickLists!$T$1:$T$10</definedName>
    <definedName name="pidA21278320917">[5]PickLists!$U$1:$U$10</definedName>
    <definedName name="pidA21278320919">[5]PickLists!$V$1:$V$177</definedName>
    <definedName name="pidA21278320921">[5]PickLists!$W$1:$W$4</definedName>
    <definedName name="pidA21278320923">[4]PickLists!$X$1:$X$2</definedName>
    <definedName name="pidA21278320925">[4]PickLists!$Y$1:$Y$5</definedName>
    <definedName name="pidA21278320927">[5]PickLists!$Z$1:$Z$4</definedName>
    <definedName name="pidA21278320929">[5]PickLists!$AA$1:$AA$2</definedName>
    <definedName name="pidA21278320933">[5]PickLists!$AB$1:$AB$2</definedName>
    <definedName name="pidA21278320935">[5]PickLists!$AC$1:$AC$4</definedName>
    <definedName name="pidA21278320937">[4]PickLists!$AD$1:$AD$9</definedName>
    <definedName name="pidA21278320939">[4]PickLists!$AE$1:$AE$118</definedName>
    <definedName name="pidA21278320941">[4]PickLists!$AF$1:$AF$124</definedName>
    <definedName name="pidA21278320943">[4]PickLists!$AG$1:$AG$3</definedName>
    <definedName name="pidBOOLEAN">[2]PickLists!$AP$1:$AP$2</definedName>
    <definedName name="pidCOUNTRYCODE">[2]PickLists!$AR$1:$AR$188</definedName>
    <definedName name="pidCURRENCY">[2]PickLists!$AQ$1:$AQ$179</definedName>
    <definedName name="pidJOBFUNCTIONCODE">[2]PickLists!$AS$1:$AS$353</definedName>
    <definedName name="pidJOBLEVELCODE">[2]PickLists!$AU$1:$AU$53</definedName>
    <definedName name="pidJOBSPECIALTYCODE">[2]PickLists!$AT$1:$AT$3078</definedName>
    <definedName name="Professional">'Level Structure'!$A$14:$A$25</definedName>
    <definedName name="Projects">'Level Structure'!$A$26:$A$34</definedName>
    <definedName name="ProtoPDs">'[6]2017 Position Descriptions'!$A$4:$BX$5342</definedName>
    <definedName name="Reference">#REF!</definedName>
    <definedName name="TestDataSource">#REF!</definedName>
    <definedName name="TestSource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G2" i="1"/>
  <c r="D3" i="1"/>
  <c r="G3" i="1"/>
  <c r="D4" i="1"/>
  <c r="G4" i="1"/>
  <c r="D5" i="1"/>
  <c r="G5" i="1"/>
  <c r="D6" i="1"/>
  <c r="G6" i="1"/>
  <c r="D7" i="1"/>
  <c r="G7" i="1"/>
  <c r="D8" i="1"/>
  <c r="G8" i="1"/>
  <c r="D9" i="1"/>
  <c r="G9" i="1"/>
  <c r="D10" i="1"/>
  <c r="G10" i="1"/>
  <c r="D11" i="1"/>
  <c r="G11" i="1"/>
  <c r="D12" i="1"/>
  <c r="G12" i="1"/>
  <c r="D13" i="1"/>
  <c r="G13" i="1"/>
  <c r="D14" i="1"/>
  <c r="G14" i="1"/>
  <c r="D15" i="1"/>
  <c r="G15" i="1"/>
  <c r="D16" i="1"/>
  <c r="G16" i="1"/>
  <c r="D17" i="1"/>
  <c r="G17" i="1"/>
  <c r="D18" i="1"/>
  <c r="G18" i="1"/>
  <c r="D19" i="1"/>
  <c r="G19" i="1"/>
  <c r="D20" i="1"/>
  <c r="G20" i="1"/>
  <c r="D21" i="1"/>
  <c r="G21" i="1"/>
  <c r="D22" i="1"/>
  <c r="G22" i="1"/>
  <c r="D23" i="1"/>
  <c r="G23" i="1"/>
  <c r="D24" i="1"/>
  <c r="G24" i="1"/>
  <c r="D25" i="1"/>
  <c r="G25" i="1"/>
  <c r="D26" i="1"/>
  <c r="G26" i="1"/>
  <c r="D27" i="1"/>
  <c r="G27" i="1"/>
  <c r="D28" i="1"/>
  <c r="G28" i="1"/>
  <c r="D29" i="1"/>
  <c r="G29" i="1"/>
  <c r="D30" i="1"/>
  <c r="G30" i="1"/>
  <c r="D31" i="1"/>
  <c r="G31" i="1"/>
  <c r="D32" i="1"/>
  <c r="G32" i="1"/>
  <c r="D33" i="1"/>
  <c r="G33" i="1"/>
  <c r="D34" i="1"/>
  <c r="G34" i="1"/>
  <c r="D35" i="1"/>
  <c r="G35" i="1"/>
  <c r="D36" i="1"/>
  <c r="G36" i="1"/>
  <c r="D37" i="1"/>
  <c r="G37" i="1"/>
  <c r="D38" i="1"/>
  <c r="G38" i="1"/>
  <c r="D39" i="1"/>
  <c r="G39" i="1"/>
  <c r="D40" i="1"/>
  <c r="G40" i="1"/>
  <c r="D41" i="1"/>
  <c r="G41" i="1"/>
  <c r="D42" i="1"/>
  <c r="G42" i="1"/>
  <c r="D43" i="1"/>
  <c r="G43" i="1"/>
  <c r="D44" i="1"/>
  <c r="G44" i="1"/>
  <c r="D45" i="1"/>
  <c r="G45" i="1"/>
  <c r="D46" i="1"/>
  <c r="G46" i="1"/>
  <c r="D47" i="1"/>
  <c r="G47" i="1"/>
  <c r="D48" i="1"/>
  <c r="G48" i="1"/>
  <c r="D49" i="1"/>
  <c r="G49" i="1"/>
  <c r="D50" i="1"/>
  <c r="G50" i="1"/>
  <c r="D51" i="1"/>
  <c r="G51" i="1"/>
  <c r="D52" i="1"/>
  <c r="G52" i="1"/>
  <c r="D53" i="1"/>
  <c r="G53" i="1"/>
  <c r="D54" i="1"/>
  <c r="G54" i="1"/>
</calcChain>
</file>

<file path=xl/sharedStrings.xml><?xml version="1.0" encoding="utf-8"?>
<sst xmlns="http://schemas.openxmlformats.org/spreadsheetml/2006/main" count="246" uniqueCount="86">
  <si>
    <t>W1</t>
  </si>
  <si>
    <t>W</t>
  </si>
  <si>
    <t>Worker</t>
  </si>
  <si>
    <t>Operations</t>
  </si>
  <si>
    <t>02</t>
  </si>
  <si>
    <t>03</t>
  </si>
  <si>
    <t>W2</t>
  </si>
  <si>
    <t>Operator</t>
  </si>
  <si>
    <t>04</t>
  </si>
  <si>
    <t>05</t>
  </si>
  <si>
    <t>W3</t>
  </si>
  <si>
    <t>06</t>
  </si>
  <si>
    <t>T3</t>
  </si>
  <si>
    <t>T</t>
  </si>
  <si>
    <t>Technician</t>
  </si>
  <si>
    <t>Operations / Technician</t>
  </si>
  <si>
    <t>07</t>
  </si>
  <si>
    <t>W4</t>
  </si>
  <si>
    <t>Senior Operator</t>
  </si>
  <si>
    <t>08</t>
  </si>
  <si>
    <t>T4</t>
  </si>
  <si>
    <t>09</t>
  </si>
  <si>
    <t>Senior Technician</t>
  </si>
  <si>
    <t>10</t>
  </si>
  <si>
    <t>S1</t>
  </si>
  <si>
    <t>S</t>
  </si>
  <si>
    <t>Sales Coordinator</t>
  </si>
  <si>
    <t>Sales</t>
  </si>
  <si>
    <t>S2</t>
  </si>
  <si>
    <t>Senior Sales Coordinator</t>
  </si>
  <si>
    <t>S3</t>
  </si>
  <si>
    <t>Sales Manager</t>
  </si>
  <si>
    <t>11</t>
  </si>
  <si>
    <t>12</t>
  </si>
  <si>
    <t>S4</t>
  </si>
  <si>
    <t>Senior Sales Manager</t>
  </si>
  <si>
    <t>13</t>
  </si>
  <si>
    <t>14</t>
  </si>
  <si>
    <t>S5</t>
  </si>
  <si>
    <t>Lead Sales Manager</t>
  </si>
  <si>
    <t>15</t>
  </si>
  <si>
    <t>S6</t>
  </si>
  <si>
    <t>16</t>
  </si>
  <si>
    <t>P1</t>
  </si>
  <si>
    <t>P</t>
  </si>
  <si>
    <t>Project Coordinator</t>
  </si>
  <si>
    <t>Projects</t>
  </si>
  <si>
    <t>P2</t>
  </si>
  <si>
    <t>Senior Project Coordinator</t>
  </si>
  <si>
    <t>P3</t>
  </si>
  <si>
    <t>Project Manager</t>
  </si>
  <si>
    <t>P4</t>
  </si>
  <si>
    <t>Senior Project Manager</t>
  </si>
  <si>
    <t>M3</t>
  </si>
  <si>
    <t>M</t>
  </si>
  <si>
    <t>Program Manager</t>
  </si>
  <si>
    <t>M4</t>
  </si>
  <si>
    <t>U2</t>
  </si>
  <si>
    <t>U</t>
  </si>
  <si>
    <t>Assistant / Analyst</t>
  </si>
  <si>
    <t>Professional</t>
  </si>
  <si>
    <t>U3</t>
  </si>
  <si>
    <t>Specialist</t>
  </si>
  <si>
    <t>Senior Specialist</t>
  </si>
  <si>
    <t>Expert</t>
  </si>
  <si>
    <t>Senior Expert</t>
  </si>
  <si>
    <t>P5</t>
  </si>
  <si>
    <t>Lead Expert</t>
  </si>
  <si>
    <t>P6</t>
  </si>
  <si>
    <t>M1</t>
  </si>
  <si>
    <t>Supervisor</t>
  </si>
  <si>
    <t>Management</t>
  </si>
  <si>
    <t>M2</t>
  </si>
  <si>
    <t>Manager</t>
  </si>
  <si>
    <t>Senior Manager</t>
  </si>
  <si>
    <t>Group Manager</t>
  </si>
  <si>
    <t>EX</t>
  </si>
  <si>
    <t>Executive Manager</t>
  </si>
  <si>
    <t>CEO</t>
  </si>
  <si>
    <t>CL-SG</t>
  </si>
  <si>
    <t>Career Level</t>
  </si>
  <si>
    <t>Career Band</t>
  </si>
  <si>
    <t>Career Path-SG</t>
  </si>
  <si>
    <t xml:space="preserve">Level </t>
  </si>
  <si>
    <t>Career Path</t>
  </si>
  <si>
    <t>Global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</si>
</sst>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font>
        <color auto="1"/>
      </font>
      <fill>
        <patternFill>
          <bgColor theme="6" tint="0.79998168889431442"/>
        </patternFill>
      </fill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exandresavoy/Downloads/SIG_Job%20Architecture_Tool%20(1).xlsx" TargetMode="External"/><Relationship Id="rId1" Type="http://schemas.openxmlformats.org/officeDocument/2006/relationships/externalLinkPath" Target="/Users/alexandresavoy/Downloads/SIG_Job%20Architecture_Tool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twonlinede.sharepoint.com/sites/hwc-sig-prj-eur/Shared%20Documents/General/Prototyp/01_Survey%20Daten/ARE_065697_SIG%20Combibloc_G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twonlinede.sharepoint.com/sites/hwc-sig-prj-eur/Shared%20Documents/General/Prototyp/01_Survey%20Daten/CHN_065697_SIG%20Combibloc_20230206_10_41_4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twonlinede.sharepoint.com/sites/hwc-sig-prj-eur/Shared%20Documents/General/Prototyp/01_Survey%20Daten/DEU_065697_SIG%20Combibloc_G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twonlinede.sharepoint.com/sites/hwc-sig-prj-eur/Shared%20Documents/General/Prototyp/01_Survey%20Daten/BRA_065697_SIG%20Combibloc_20230206_10_41_4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twonlineap-my.sharepoint.com/nonclients/GDSPDASN/2018%20PG%20WIP/GI%20-%20General%20Industry/xls/2018%20PG%20Prototype%20-%20MOCK-UP%20for%20presentation%208.8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vigation Menu"/>
      <sheetName val="SIG Profile Description"/>
      <sheetName val="Overview"/>
      <sheetName val="Profile Comparison"/>
      <sheetName val="Generic Job Profile Map"/>
      <sheetName val="Job Families and Sub Families"/>
      <sheetName val="Setup"/>
      <sheetName val="SIG Job Families &amp; Descriptions"/>
      <sheetName val="SIG Position Input"/>
      <sheetName val="SIG Qualifications Input"/>
      <sheetName val="2022 GI Position Descriptions"/>
      <sheetName val="Compatible JC"/>
      <sheetName val="Career Bands &amp; Leve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efinitions for Data Elements"/>
      <sheetName val="Contact Data"/>
      <sheetName val="Organization Data"/>
      <sheetName val="Incumbent Data"/>
      <sheetName val="Country Codes"/>
      <sheetName val="PickLis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efinitions for Data Elements"/>
      <sheetName val="Contact Data"/>
      <sheetName val="Organization Data"/>
      <sheetName val="Incumbent Data"/>
      <sheetName val="Country Codes"/>
      <sheetName val="PickLis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efinitions for Data Elements"/>
      <sheetName val="Contact Data"/>
      <sheetName val="Organization Data"/>
      <sheetName val="Incumbent Data"/>
      <sheetName val="Country Codes"/>
      <sheetName val="PickLis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efinitions for Data Elements"/>
      <sheetName val="Contact Data"/>
      <sheetName val="Organization Data"/>
      <sheetName val="Incumbent Data"/>
      <sheetName val="Country Codes"/>
      <sheetName val="Industry Groups"/>
      <sheetName val="Pick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erms and Conditions"/>
      <sheetName val="Table of Contents"/>
      <sheetName val="Introduction"/>
      <sheetName val="Changes Reference"/>
      <sheetName val="Job Matching"/>
      <sheetName val="Leveling"/>
      <sheetName val="F &amp; D - Listing"/>
      <sheetName val="Career Bands by Function"/>
      <sheetName val="Pos Coverage Ref"/>
      <sheetName val="Country.Area.City Codes"/>
      <sheetName val="Industry Groups Reference"/>
      <sheetName val="HR Policies and Practices Ref"/>
      <sheetName val="Benefits Design Practices Ref"/>
      <sheetName val="4 F.D. (VALUES)"/>
      <sheetName val="4 F.D MOCK-UP"/>
      <sheetName val="2017 Position Descri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72794-CBC8-4F4E-8F3A-CD228F0A87DA}" name="Tabelle3" displayName="Tabelle3" ref="A1:G54" totalsRowShown="0">
  <autoFilter ref="A1:G54" xr:uid="{6B58760F-EB59-4905-AD49-14DA4BDE9750}"/>
  <tableColumns count="7">
    <tableColumn id="1" xr3:uid="{380330F0-A790-44BB-BA2B-2B86B7EFC1ED}" name="Global Grade" dataDxfId="3"/>
    <tableColumn id="2" xr3:uid="{BE56A6A2-DD57-491C-8321-377A49952077}" name="Career Path"/>
    <tableColumn id="3" xr3:uid="{5A5AFFA0-CB7A-44D0-A2A8-197D9B0D7B27}" name="Level "/>
    <tableColumn id="7" xr3:uid="{5171C783-F797-45F0-93BE-19F5B277731A}" name="Career Path-SG" dataDxfId="2">
      <calculatedColumnFormula>Tabelle3[[#This Row],[Career Path]]&amp;"-"&amp;Tabelle3[[#This Row],[Global Grade]]</calculatedColumnFormula>
    </tableColumn>
    <tableColumn id="4" xr3:uid="{D5683C4D-BA89-4B92-A035-DDF031BED633}" name="Career Band"/>
    <tableColumn id="6" xr3:uid="{710669F1-3DF1-49BB-AFD8-484D520C76A6}" name="Career Level"/>
    <tableColumn id="5" xr3:uid="{61EC3158-FD63-4B23-89DD-3EC1FAD8F037}" name="CL-SG" dataDxfId="1">
      <calculatedColumnFormula>Tabelle3[[#This Row],[Career Level]]&amp;"-"&amp;Tabelle3[[#This Row],[Global Grade]]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WTW_2022">
  <a:themeElements>
    <a:clrScheme name="Custom 37">
      <a:dk1>
        <a:srgbClr val="000000"/>
      </a:dk1>
      <a:lt1>
        <a:srgbClr val="FFFFFF"/>
      </a:lt1>
      <a:dk2>
        <a:srgbClr val="7F35B2"/>
      </a:dk2>
      <a:lt2>
        <a:srgbClr val="E6E6E6"/>
      </a:lt2>
      <a:accent1>
        <a:srgbClr val="48086F"/>
      </a:accent1>
      <a:accent2>
        <a:srgbClr val="C900AC"/>
      </a:accent2>
      <a:accent3>
        <a:srgbClr val="F6517F"/>
      </a:accent3>
      <a:accent4>
        <a:srgbClr val="FF8204"/>
      </a:accent4>
      <a:accent5>
        <a:srgbClr val="FFB92A"/>
      </a:accent5>
      <a:accent6>
        <a:srgbClr val="3ADCC9"/>
      </a:accent6>
      <a:hlink>
        <a:srgbClr val="7F34B2"/>
      </a:hlink>
      <a:folHlink>
        <a:srgbClr val="48086F"/>
      </a:folHlink>
    </a:clrScheme>
    <a:fontScheme name="Times New Roman-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solidFill>
          <a:schemeClr val="accent1"/>
        </a:solidFill>
        <a:ln>
          <a:noFill/>
        </a:ln>
        <a:effectLst/>
      </a:spPr>
      <a:bodyPr rot="0" spcFirstLastPara="0" vertOverflow="overflow" horzOverflow="overflow" vert="horz" wrap="square" lIns="182880" tIns="0" rIns="182880" bIns="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600" b="0" i="0">
            <a:solidFill>
              <a:schemeClr val="bg1"/>
            </a:solidFill>
            <a:latin typeface="+mn-lt"/>
            <a:ea typeface="Roboto" panose="02000000000000000000" pitchFamily="2" charset="0"/>
            <a:cs typeface="Roboto" panose="02000000000000000000" pitchFamily="2" charset="0"/>
          </a:defRPr>
        </a:defPPr>
      </a:lstStyle>
    </a:spDef>
    <a:txDef>
      <a:spPr>
        <a:noFill/>
      </a:spPr>
      <a:bodyPr wrap="square" lIns="0" tIns="91440" rIns="0" bIns="0" rtlCol="0">
        <a:normAutofit/>
      </a:bodyPr>
      <a:lstStyle>
        <a:defPPr marL="0" indent="-3657600" algn="l">
          <a:spcAft>
            <a:spcPts val="600"/>
          </a:spcAft>
          <a:defRPr sz="1600" b="0" i="0">
            <a:solidFill>
              <a:schemeClr val="tx2"/>
            </a:solidFill>
            <a:latin typeface="+mn-lt"/>
            <a:ea typeface="Roboto" panose="02000000000000000000" pitchFamily="2" charset="0"/>
            <a:cs typeface="Times New Roman" panose="02020603050405020304" pitchFamily="18" charset="0"/>
          </a:defRPr>
        </a:defPPr>
      </a:lstStyle>
    </a:txDef>
  </a:objectDefaults>
  <a:extraClrSchemeLst/>
  <a:custClrLst>
    <a:custClr name="Ultraviolet">
      <a:srgbClr val="7F35B2"/>
    </a:custClr>
    <a:custClr name="Black">
      <a:srgbClr val="000000"/>
    </a:custClr>
    <a:custClr name="White">
      <a:srgbClr val="FFFFFF"/>
    </a:custClr>
    <a:custClr name="Gray Matter Light">
      <a:srgbClr val="E6E6E6"/>
    </a:custClr>
    <a:custClr name="Gray Matter">
      <a:srgbClr val="BFBFBF"/>
    </a:custClr>
    <a:custClr name="Gray Matter Dark">
      <a:srgbClr val="808080"/>
    </a:custClr>
    <a:custClr name="White">
      <a:srgbClr val="FFFFFF"/>
    </a:custClr>
    <a:custClr name="White">
      <a:srgbClr val="FFFFFF"/>
    </a:custClr>
    <a:custClr name="White">
      <a:srgbClr val="FFFFFF"/>
    </a:custClr>
    <a:custClr name="White">
      <a:srgbClr val="FFFFFF"/>
    </a:custClr>
    <a:custClr name="Ultraviolet Dark">
      <a:srgbClr val="48086F"/>
    </a:custClr>
    <a:custClr name="Fireworks">
      <a:srgbClr val="C900AC"/>
    </a:custClr>
    <a:custClr name="Coral Reef">
      <a:srgbClr val="F6517F"/>
    </a:custClr>
    <a:custClr name="Mandarin">
      <a:srgbClr val="FF8204"/>
    </a:custClr>
    <a:custClr name="Submarine">
      <a:srgbClr val="FFB92A"/>
    </a:custClr>
    <a:custClr name="Infinity">
      <a:srgbClr val="3ADCC9"/>
    </a:custClr>
    <a:custClr name="Stratosphere">
      <a:srgbClr val="327FEF"/>
    </a:custClr>
    <a:custClr name="White">
      <a:srgbClr val="FFFFFF"/>
    </a:custClr>
    <a:custClr name="White">
      <a:srgbClr val="FFFFFF"/>
    </a:custClr>
    <a:custClr name="White">
      <a:srgbClr val="FFFFFF"/>
    </a:custClr>
    <a:custClr name="Ultraviolet Light">
      <a:srgbClr val="C2A8F0"/>
    </a:custClr>
    <a:custClr name="Fireworks Light">
      <a:srgbClr val="E377DC"/>
    </a:custClr>
    <a:custClr name="Coral Reef Light">
      <a:srgbClr val="FFA3C2"/>
    </a:custClr>
    <a:custClr name="Mandarin Light">
      <a:srgbClr val="FFBFAC"/>
    </a:custClr>
    <a:custClr name="Submarine Light">
      <a:srgbClr val="F8E19A"/>
    </a:custClr>
    <a:custClr name="Infinity Light">
      <a:srgbClr val="A8E8E2"/>
    </a:custClr>
    <a:custClr name="Stratosphere Light">
      <a:srgbClr val="C3D7FE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WTW_2022" id="{3DC6405E-D6AC-4F2E-A3D2-755339B4E3C5}" vid="{C14EC84F-CF3F-4126-8C6E-3F16F558F8E2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E893-6253-AD42-B67B-0BC429D49DC2}">
  <sheetPr>
    <tabColor rgb="FFFF0000"/>
  </sheetPr>
  <dimension ref="A1:G54"/>
  <sheetViews>
    <sheetView tabSelected="1" zoomScaleNormal="100" workbookViewId="0">
      <selection activeCell="C44" sqref="C44"/>
    </sheetView>
  </sheetViews>
  <sheetFormatPr baseColWidth="10" defaultColWidth="11.5" defaultRowHeight="13" x14ac:dyDescent="0.15"/>
  <cols>
    <col min="1" max="1" width="14.5" bestFit="1" customWidth="1"/>
    <col min="2" max="2" width="24.5" bestFit="1" customWidth="1"/>
    <col min="3" max="3" width="42.6640625" bestFit="1" customWidth="1"/>
    <col min="4" max="4" width="27.33203125" bestFit="1" customWidth="1"/>
    <col min="5" max="5" width="13.6640625" bestFit="1" customWidth="1"/>
    <col min="6" max="6" width="13.6640625" customWidth="1"/>
    <col min="7" max="7" width="13.6640625" bestFit="1" customWidth="1"/>
    <col min="9" max="9" width="11.5" customWidth="1"/>
  </cols>
  <sheetData>
    <row r="1" spans="1:7" x14ac:dyDescent="0.15">
      <c r="A1" t="s">
        <v>85</v>
      </c>
      <c r="B1" t="s">
        <v>84</v>
      </c>
      <c r="C1" t="s">
        <v>83</v>
      </c>
      <c r="D1" t="s">
        <v>82</v>
      </c>
      <c r="E1" s="2" t="s">
        <v>81</v>
      </c>
      <c r="F1" s="2" t="s">
        <v>80</v>
      </c>
      <c r="G1" s="2" t="s">
        <v>79</v>
      </c>
    </row>
    <row r="2" spans="1:7" x14ac:dyDescent="0.15">
      <c r="A2" s="1">
        <v>21</v>
      </c>
      <c r="B2" t="s">
        <v>71</v>
      </c>
      <c r="C2" t="s">
        <v>78</v>
      </c>
      <c r="D2" t="str">
        <f>Tabelle3[[#This Row],[Career Path]]&amp;"-"&amp;Tabelle3[[#This Row],[Global Grade]]</f>
        <v>Management-21</v>
      </c>
      <c r="E2" t="s">
        <v>76</v>
      </c>
      <c r="F2" t="s">
        <v>76</v>
      </c>
      <c r="G2" t="str">
        <f>Tabelle3[[#This Row],[Career Level]]&amp;"-"&amp;Tabelle3[[#This Row],[Global Grade]]</f>
        <v>EX-21</v>
      </c>
    </row>
    <row r="3" spans="1:7" x14ac:dyDescent="0.15">
      <c r="A3" s="1">
        <v>20</v>
      </c>
      <c r="B3" t="s">
        <v>71</v>
      </c>
      <c r="C3" t="s">
        <v>77</v>
      </c>
      <c r="D3" t="str">
        <f>Tabelle3[[#This Row],[Career Path]]&amp;"-"&amp;Tabelle3[[#This Row],[Global Grade]]</f>
        <v>Management-20</v>
      </c>
      <c r="E3" t="s">
        <v>76</v>
      </c>
      <c r="F3" t="s">
        <v>76</v>
      </c>
      <c r="G3" t="str">
        <f>Tabelle3[[#This Row],[Career Level]]&amp;"-"&amp;Tabelle3[[#This Row],[Global Grade]]</f>
        <v>EX-20</v>
      </c>
    </row>
    <row r="4" spans="1:7" x14ac:dyDescent="0.15">
      <c r="A4" s="1">
        <v>19</v>
      </c>
      <c r="B4" t="s">
        <v>71</v>
      </c>
      <c r="C4" t="s">
        <v>77</v>
      </c>
      <c r="D4" t="str">
        <f>Tabelle3[[#This Row],[Career Path]]&amp;"-"&amp;Tabelle3[[#This Row],[Global Grade]]</f>
        <v>Management-19</v>
      </c>
      <c r="E4" t="s">
        <v>76</v>
      </c>
      <c r="F4" t="s">
        <v>76</v>
      </c>
      <c r="G4" t="str">
        <f>Tabelle3[[#This Row],[Career Level]]&amp;"-"&amp;Tabelle3[[#This Row],[Global Grade]]</f>
        <v>EX-19</v>
      </c>
    </row>
    <row r="5" spans="1:7" x14ac:dyDescent="0.15">
      <c r="A5" s="1">
        <v>18</v>
      </c>
      <c r="B5" t="s">
        <v>71</v>
      </c>
      <c r="C5" t="s">
        <v>77</v>
      </c>
      <c r="D5" t="str">
        <f>Tabelle3[[#This Row],[Career Path]]&amp;"-"&amp;Tabelle3[[#This Row],[Global Grade]]</f>
        <v>Management-18</v>
      </c>
      <c r="E5" t="s">
        <v>76</v>
      </c>
      <c r="F5" t="s">
        <v>76</v>
      </c>
      <c r="G5" t="str">
        <f>Tabelle3[[#This Row],[Career Level]]&amp;"-"&amp;Tabelle3[[#This Row],[Global Grade]]</f>
        <v>EX-18</v>
      </c>
    </row>
    <row r="6" spans="1:7" x14ac:dyDescent="0.15">
      <c r="A6" s="1">
        <v>17</v>
      </c>
      <c r="B6" t="s">
        <v>71</v>
      </c>
      <c r="C6" t="s">
        <v>75</v>
      </c>
      <c r="D6" t="str">
        <f>Tabelle3[[#This Row],[Career Path]]&amp;"-"&amp;Tabelle3[[#This Row],[Global Grade]]</f>
        <v>Management-17</v>
      </c>
      <c r="E6" t="s">
        <v>76</v>
      </c>
      <c r="F6" t="s">
        <v>76</v>
      </c>
      <c r="G6" t="str">
        <f>Tabelle3[[#This Row],[Career Level]]&amp;"-"&amp;Tabelle3[[#This Row],[Global Grade]]</f>
        <v>EX-17</v>
      </c>
    </row>
    <row r="7" spans="1:7" x14ac:dyDescent="0.15">
      <c r="A7" s="1">
        <v>16</v>
      </c>
      <c r="B7" t="s">
        <v>71</v>
      </c>
      <c r="C7" t="s">
        <v>75</v>
      </c>
      <c r="D7" t="str">
        <f>Tabelle3[[#This Row],[Career Path]]&amp;"-"&amp;Tabelle3[[#This Row],[Global Grade]]</f>
        <v>Management-16</v>
      </c>
      <c r="E7" t="s">
        <v>54</v>
      </c>
      <c r="F7" t="s">
        <v>56</v>
      </c>
      <c r="G7" t="str">
        <f>Tabelle3[[#This Row],[Career Level]]&amp;"-"&amp;Tabelle3[[#This Row],[Global Grade]]</f>
        <v>M4-16</v>
      </c>
    </row>
    <row r="8" spans="1:7" x14ac:dyDescent="0.15">
      <c r="A8" s="1">
        <v>15</v>
      </c>
      <c r="B8" t="s">
        <v>71</v>
      </c>
      <c r="C8" t="s">
        <v>74</v>
      </c>
      <c r="D8" t="str">
        <f>Tabelle3[[#This Row],[Career Path]]&amp;"-"&amp;Tabelle3[[#This Row],[Global Grade]]</f>
        <v>Management-15</v>
      </c>
      <c r="E8" t="s">
        <v>54</v>
      </c>
      <c r="F8" t="s">
        <v>53</v>
      </c>
      <c r="G8" t="str">
        <f>Tabelle3[[#This Row],[Career Level]]&amp;"-"&amp;Tabelle3[[#This Row],[Global Grade]]</f>
        <v>M3-15</v>
      </c>
    </row>
    <row r="9" spans="1:7" x14ac:dyDescent="0.15">
      <c r="A9" s="1">
        <v>14</v>
      </c>
      <c r="B9" t="s">
        <v>71</v>
      </c>
      <c r="C9" t="s">
        <v>74</v>
      </c>
      <c r="D9" t="str">
        <f>Tabelle3[[#This Row],[Career Path]]&amp;"-"&amp;Tabelle3[[#This Row],[Global Grade]]</f>
        <v>Management-14</v>
      </c>
      <c r="E9" t="s">
        <v>54</v>
      </c>
      <c r="F9" t="s">
        <v>53</v>
      </c>
      <c r="G9" t="str">
        <f>Tabelle3[[#This Row],[Career Level]]&amp;"-"&amp;Tabelle3[[#This Row],[Global Grade]]</f>
        <v>M3-14</v>
      </c>
    </row>
    <row r="10" spans="1:7" x14ac:dyDescent="0.15">
      <c r="A10" s="1">
        <v>13</v>
      </c>
      <c r="B10" t="s">
        <v>71</v>
      </c>
      <c r="C10" t="s">
        <v>73</v>
      </c>
      <c r="D10" t="str">
        <f>Tabelle3[[#This Row],[Career Path]]&amp;"-"&amp;Tabelle3[[#This Row],[Global Grade]]</f>
        <v>Management-13</v>
      </c>
      <c r="E10" t="s">
        <v>54</v>
      </c>
      <c r="F10" t="s">
        <v>72</v>
      </c>
      <c r="G10" t="str">
        <f>Tabelle3[[#This Row],[Career Level]]&amp;"-"&amp;Tabelle3[[#This Row],[Global Grade]]</f>
        <v>M2-13</v>
      </c>
    </row>
    <row r="11" spans="1:7" x14ac:dyDescent="0.15">
      <c r="A11" s="1">
        <v>12</v>
      </c>
      <c r="B11" t="s">
        <v>71</v>
      </c>
      <c r="C11" t="s">
        <v>73</v>
      </c>
      <c r="D11" t="str">
        <f>Tabelle3[[#This Row],[Career Path]]&amp;"-"&amp;Tabelle3[[#This Row],[Global Grade]]</f>
        <v>Management-12</v>
      </c>
      <c r="E11" t="s">
        <v>54</v>
      </c>
      <c r="F11" t="s">
        <v>72</v>
      </c>
      <c r="G11" t="str">
        <f>Tabelle3[[#This Row],[Career Level]]&amp;"-"&amp;Tabelle3[[#This Row],[Global Grade]]</f>
        <v>M2-12</v>
      </c>
    </row>
    <row r="12" spans="1:7" x14ac:dyDescent="0.15">
      <c r="A12" s="1">
        <v>11</v>
      </c>
      <c r="B12" t="s">
        <v>71</v>
      </c>
      <c r="C12" t="s">
        <v>70</v>
      </c>
      <c r="D12" t="str">
        <f>Tabelle3[[#This Row],[Career Path]]&amp;"-"&amp;Tabelle3[[#This Row],[Global Grade]]</f>
        <v>Management-11</v>
      </c>
      <c r="E12" t="s">
        <v>54</v>
      </c>
      <c r="F12" t="s">
        <v>69</v>
      </c>
      <c r="G12" t="str">
        <f>Tabelle3[[#This Row],[Career Level]]&amp;"-"&amp;Tabelle3[[#This Row],[Global Grade]]</f>
        <v>M1-11</v>
      </c>
    </row>
    <row r="13" spans="1:7" x14ac:dyDescent="0.15">
      <c r="A13" s="1">
        <v>10</v>
      </c>
      <c r="B13" t="s">
        <v>71</v>
      </c>
      <c r="C13" t="s">
        <v>70</v>
      </c>
      <c r="D13" t="str">
        <f>Tabelle3[[#This Row],[Career Path]]&amp;"-"&amp;Tabelle3[[#This Row],[Global Grade]]</f>
        <v>Management-10</v>
      </c>
      <c r="E13" t="s">
        <v>54</v>
      </c>
      <c r="F13" t="s">
        <v>69</v>
      </c>
      <c r="G13" t="str">
        <f>Tabelle3[[#This Row],[Career Level]]&amp;"-"&amp;Tabelle3[[#This Row],[Global Grade]]</f>
        <v>M1-10</v>
      </c>
    </row>
    <row r="14" spans="1:7" x14ac:dyDescent="0.15">
      <c r="A14" s="1">
        <v>16</v>
      </c>
      <c r="B14" t="s">
        <v>60</v>
      </c>
      <c r="C14" t="s">
        <v>67</v>
      </c>
      <c r="D14" t="str">
        <f>Tabelle3[[#This Row],[Career Path]]&amp;"-"&amp;Tabelle3[[#This Row],[Global Grade]]</f>
        <v>Professional-16</v>
      </c>
      <c r="E14" t="s">
        <v>44</v>
      </c>
      <c r="F14" t="s">
        <v>68</v>
      </c>
      <c r="G14" t="str">
        <f>Tabelle3[[#This Row],[Career Level]]&amp;"-"&amp;Tabelle3[[#This Row],[Global Grade]]</f>
        <v>P6-16</v>
      </c>
    </row>
    <row r="15" spans="1:7" x14ac:dyDescent="0.15">
      <c r="A15" s="1">
        <v>15</v>
      </c>
      <c r="B15" t="s">
        <v>60</v>
      </c>
      <c r="C15" t="s">
        <v>67</v>
      </c>
      <c r="D15" t="str">
        <f>Tabelle3[[#This Row],[Career Path]]&amp;"-"&amp;Tabelle3[[#This Row],[Global Grade]]</f>
        <v>Professional-15</v>
      </c>
      <c r="E15" t="s">
        <v>44</v>
      </c>
      <c r="F15" t="s">
        <v>66</v>
      </c>
      <c r="G15" t="str">
        <f>Tabelle3[[#This Row],[Career Level]]&amp;"-"&amp;Tabelle3[[#This Row],[Global Grade]]</f>
        <v>P5-15</v>
      </c>
    </row>
    <row r="16" spans="1:7" x14ac:dyDescent="0.15">
      <c r="A16" s="1">
        <v>14</v>
      </c>
      <c r="B16" t="s">
        <v>60</v>
      </c>
      <c r="C16" t="s">
        <v>65</v>
      </c>
      <c r="D16" t="str">
        <f>Tabelle3[[#This Row],[Career Path]]&amp;"-"&amp;Tabelle3[[#This Row],[Global Grade]]</f>
        <v>Professional-14</v>
      </c>
      <c r="E16" t="s">
        <v>44</v>
      </c>
      <c r="F16" t="s">
        <v>51</v>
      </c>
      <c r="G16" t="str">
        <f>Tabelle3[[#This Row],[Career Level]]&amp;"-"&amp;Tabelle3[[#This Row],[Global Grade]]</f>
        <v>P4-14</v>
      </c>
    </row>
    <row r="17" spans="1:7" x14ac:dyDescent="0.15">
      <c r="A17" s="1">
        <v>13</v>
      </c>
      <c r="B17" t="s">
        <v>60</v>
      </c>
      <c r="C17" t="s">
        <v>65</v>
      </c>
      <c r="D17" t="str">
        <f>Tabelle3[[#This Row],[Career Path]]&amp;"-"&amp;Tabelle3[[#This Row],[Global Grade]]</f>
        <v>Professional-13</v>
      </c>
      <c r="E17" t="s">
        <v>44</v>
      </c>
      <c r="F17" t="s">
        <v>51</v>
      </c>
      <c r="G17" t="str">
        <f>Tabelle3[[#This Row],[Career Level]]&amp;"-"&amp;Tabelle3[[#This Row],[Global Grade]]</f>
        <v>P4-13</v>
      </c>
    </row>
    <row r="18" spans="1:7" x14ac:dyDescent="0.15">
      <c r="A18" s="1">
        <v>12</v>
      </c>
      <c r="B18" t="s">
        <v>60</v>
      </c>
      <c r="C18" t="s">
        <v>64</v>
      </c>
      <c r="D18" t="str">
        <f>Tabelle3[[#This Row],[Career Path]]&amp;"-"&amp;Tabelle3[[#This Row],[Global Grade]]</f>
        <v>Professional-12</v>
      </c>
      <c r="E18" t="s">
        <v>44</v>
      </c>
      <c r="F18" t="s">
        <v>49</v>
      </c>
      <c r="G18" t="str">
        <f>Tabelle3[[#This Row],[Career Level]]&amp;"-"&amp;Tabelle3[[#This Row],[Global Grade]]</f>
        <v>P3-12</v>
      </c>
    </row>
    <row r="19" spans="1:7" x14ac:dyDescent="0.15">
      <c r="A19" s="1">
        <v>11</v>
      </c>
      <c r="B19" t="s">
        <v>60</v>
      </c>
      <c r="C19" t="s">
        <v>64</v>
      </c>
      <c r="D19" t="str">
        <f>Tabelle3[[#This Row],[Career Path]]&amp;"-"&amp;Tabelle3[[#This Row],[Global Grade]]</f>
        <v>Professional-11</v>
      </c>
      <c r="E19" t="s">
        <v>44</v>
      </c>
      <c r="F19" t="s">
        <v>49</v>
      </c>
      <c r="G19" t="str">
        <f>Tabelle3[[#This Row],[Career Level]]&amp;"-"&amp;Tabelle3[[#This Row],[Global Grade]]</f>
        <v>P3-11</v>
      </c>
    </row>
    <row r="20" spans="1:7" x14ac:dyDescent="0.15">
      <c r="A20" s="1">
        <v>10</v>
      </c>
      <c r="B20" t="s">
        <v>60</v>
      </c>
      <c r="C20" t="s">
        <v>63</v>
      </c>
      <c r="D20" t="str">
        <f>Tabelle3[[#This Row],[Career Path]]&amp;"-"&amp;Tabelle3[[#This Row],[Global Grade]]</f>
        <v>Professional-10</v>
      </c>
      <c r="E20" t="s">
        <v>44</v>
      </c>
      <c r="F20" t="s">
        <v>47</v>
      </c>
      <c r="G20" t="str">
        <f>Tabelle3[[#This Row],[Career Level]]&amp;"-"&amp;Tabelle3[[#This Row],[Global Grade]]</f>
        <v>P2-10</v>
      </c>
    </row>
    <row r="21" spans="1:7" x14ac:dyDescent="0.15">
      <c r="A21" s="1" t="s">
        <v>21</v>
      </c>
      <c r="B21" t="s">
        <v>60</v>
      </c>
      <c r="C21" t="s">
        <v>63</v>
      </c>
      <c r="D21" t="str">
        <f>Tabelle3[[#This Row],[Career Path]]&amp;"-"&amp;Tabelle3[[#This Row],[Global Grade]]</f>
        <v>Professional-09</v>
      </c>
      <c r="E21" t="s">
        <v>44</v>
      </c>
      <c r="F21" t="s">
        <v>47</v>
      </c>
      <c r="G21" t="str">
        <f>Tabelle3[[#This Row],[Career Level]]&amp;"-"&amp;Tabelle3[[#This Row],[Global Grade]]</f>
        <v>P2-09</v>
      </c>
    </row>
    <row r="22" spans="1:7" x14ac:dyDescent="0.15">
      <c r="A22" s="1" t="s">
        <v>19</v>
      </c>
      <c r="B22" t="s">
        <v>60</v>
      </c>
      <c r="C22" t="s">
        <v>62</v>
      </c>
      <c r="D22" t="str">
        <f>Tabelle3[[#This Row],[Career Path]]&amp;"-"&amp;Tabelle3[[#This Row],[Global Grade]]</f>
        <v>Professional-08</v>
      </c>
      <c r="E22" t="s">
        <v>44</v>
      </c>
      <c r="F22" t="s">
        <v>43</v>
      </c>
      <c r="G22" t="str">
        <f>Tabelle3[[#This Row],[Career Level]]&amp;"-"&amp;Tabelle3[[#This Row],[Global Grade]]</f>
        <v>P1-08</v>
      </c>
    </row>
    <row r="23" spans="1:7" x14ac:dyDescent="0.15">
      <c r="A23" s="1" t="s">
        <v>16</v>
      </c>
      <c r="B23" t="s">
        <v>60</v>
      </c>
      <c r="C23" t="s">
        <v>59</v>
      </c>
      <c r="D23" t="str">
        <f>Tabelle3[[#This Row],[Career Path]]&amp;"-"&amp;Tabelle3[[#This Row],[Global Grade]]</f>
        <v>Professional-07</v>
      </c>
      <c r="E23" t="s">
        <v>58</v>
      </c>
      <c r="F23" t="s">
        <v>61</v>
      </c>
      <c r="G23" t="str">
        <f>Tabelle3[[#This Row],[Career Level]]&amp;"-"&amp;Tabelle3[[#This Row],[Global Grade]]</f>
        <v>U3-07</v>
      </c>
    </row>
    <row r="24" spans="1:7" x14ac:dyDescent="0.15">
      <c r="A24" s="1" t="s">
        <v>11</v>
      </c>
      <c r="B24" t="s">
        <v>60</v>
      </c>
      <c r="C24" t="s">
        <v>59</v>
      </c>
      <c r="D24" t="str">
        <f>Tabelle3[[#This Row],[Career Path]]&amp;"-"&amp;Tabelle3[[#This Row],[Global Grade]]</f>
        <v>Professional-06</v>
      </c>
      <c r="E24" t="s">
        <v>58</v>
      </c>
      <c r="F24" t="s">
        <v>57</v>
      </c>
      <c r="G24" t="str">
        <f>Tabelle3[[#This Row],[Career Level]]&amp;"-"&amp;Tabelle3[[#This Row],[Global Grade]]</f>
        <v>U2-06</v>
      </c>
    </row>
    <row r="25" spans="1:7" x14ac:dyDescent="0.15">
      <c r="A25" s="1" t="s">
        <v>9</v>
      </c>
      <c r="B25" t="s">
        <v>60</v>
      </c>
      <c r="C25" t="s">
        <v>59</v>
      </c>
      <c r="D25" t="str">
        <f>Tabelle3[[#This Row],[Career Path]]&amp;"-"&amp;Tabelle3[[#This Row],[Global Grade]]</f>
        <v>Professional-05</v>
      </c>
      <c r="E25" t="s">
        <v>58</v>
      </c>
      <c r="F25" t="s">
        <v>57</v>
      </c>
      <c r="G25" t="str">
        <f>Tabelle3[[#This Row],[Career Level]]&amp;"-"&amp;Tabelle3[[#This Row],[Global Grade]]</f>
        <v>U2-05</v>
      </c>
    </row>
    <row r="26" spans="1:7" x14ac:dyDescent="0.15">
      <c r="A26" s="1">
        <v>16</v>
      </c>
      <c r="B26" t="s">
        <v>46</v>
      </c>
      <c r="C26" t="s">
        <v>55</v>
      </c>
      <c r="D26" t="str">
        <f>Tabelle3[[#This Row],[Career Path]]&amp;"-"&amp;Tabelle3[[#This Row],[Global Grade]]</f>
        <v>Projects-16</v>
      </c>
      <c r="E26" t="s">
        <v>54</v>
      </c>
      <c r="F26" t="s">
        <v>56</v>
      </c>
      <c r="G26" t="str">
        <f>Tabelle3[[#This Row],[Career Level]]&amp;"-"&amp;Tabelle3[[#This Row],[Global Grade]]</f>
        <v>M4-16</v>
      </c>
    </row>
    <row r="27" spans="1:7" x14ac:dyDescent="0.15">
      <c r="A27" s="1">
        <v>15</v>
      </c>
      <c r="B27" t="s">
        <v>46</v>
      </c>
      <c r="C27" t="s">
        <v>55</v>
      </c>
      <c r="D27" t="str">
        <f>Tabelle3[[#This Row],[Career Path]]&amp;"-"&amp;Tabelle3[[#This Row],[Global Grade]]</f>
        <v>Projects-15</v>
      </c>
      <c r="E27" t="s">
        <v>54</v>
      </c>
      <c r="F27" t="s">
        <v>53</v>
      </c>
      <c r="G27" t="str">
        <f>Tabelle3[[#This Row],[Career Level]]&amp;"-"&amp;Tabelle3[[#This Row],[Global Grade]]</f>
        <v>M3-15</v>
      </c>
    </row>
    <row r="28" spans="1:7" x14ac:dyDescent="0.15">
      <c r="A28" s="1">
        <v>14</v>
      </c>
      <c r="B28" t="s">
        <v>46</v>
      </c>
      <c r="C28" t="s">
        <v>52</v>
      </c>
      <c r="D28" t="str">
        <f>Tabelle3[[#This Row],[Career Path]]&amp;"-"&amp;Tabelle3[[#This Row],[Global Grade]]</f>
        <v>Projects-14</v>
      </c>
      <c r="E28" t="s">
        <v>54</v>
      </c>
      <c r="F28" t="s">
        <v>53</v>
      </c>
      <c r="G28" t="str">
        <f>Tabelle3[[#This Row],[Career Level]]&amp;"-"&amp;Tabelle3[[#This Row],[Global Grade]]</f>
        <v>M3-14</v>
      </c>
    </row>
    <row r="29" spans="1:7" x14ac:dyDescent="0.15">
      <c r="A29" s="1">
        <v>13</v>
      </c>
      <c r="B29" t="s">
        <v>46</v>
      </c>
      <c r="C29" t="s">
        <v>52</v>
      </c>
      <c r="D29" t="str">
        <f>Tabelle3[[#This Row],[Career Path]]&amp;"-"&amp;Tabelle3[[#This Row],[Global Grade]]</f>
        <v>Projects-13</v>
      </c>
      <c r="E29" t="s">
        <v>44</v>
      </c>
      <c r="F29" t="s">
        <v>51</v>
      </c>
      <c r="G29" t="str">
        <f>Tabelle3[[#This Row],[Career Level]]&amp;"-"&amp;Tabelle3[[#This Row],[Global Grade]]</f>
        <v>P4-13</v>
      </c>
    </row>
    <row r="30" spans="1:7" x14ac:dyDescent="0.15">
      <c r="A30" s="1">
        <v>12</v>
      </c>
      <c r="B30" t="s">
        <v>46</v>
      </c>
      <c r="C30" t="s">
        <v>50</v>
      </c>
      <c r="D30" t="str">
        <f>Tabelle3[[#This Row],[Career Path]]&amp;"-"&amp;Tabelle3[[#This Row],[Global Grade]]</f>
        <v>Projects-12</v>
      </c>
      <c r="E30" t="s">
        <v>44</v>
      </c>
      <c r="F30" t="s">
        <v>49</v>
      </c>
      <c r="G30" t="str">
        <f>Tabelle3[[#This Row],[Career Level]]&amp;"-"&amp;Tabelle3[[#This Row],[Global Grade]]</f>
        <v>P3-12</v>
      </c>
    </row>
    <row r="31" spans="1:7" x14ac:dyDescent="0.15">
      <c r="A31" s="1">
        <v>11</v>
      </c>
      <c r="B31" t="s">
        <v>46</v>
      </c>
      <c r="C31" t="s">
        <v>50</v>
      </c>
      <c r="D31" t="str">
        <f>Tabelle3[[#This Row],[Career Path]]&amp;"-"&amp;Tabelle3[[#This Row],[Global Grade]]</f>
        <v>Projects-11</v>
      </c>
      <c r="E31" t="s">
        <v>44</v>
      </c>
      <c r="F31" t="s">
        <v>49</v>
      </c>
      <c r="G31" t="str">
        <f>Tabelle3[[#This Row],[Career Level]]&amp;"-"&amp;Tabelle3[[#This Row],[Global Grade]]</f>
        <v>P3-11</v>
      </c>
    </row>
    <row r="32" spans="1:7" x14ac:dyDescent="0.15">
      <c r="A32" s="1">
        <v>10</v>
      </c>
      <c r="B32" t="s">
        <v>46</v>
      </c>
      <c r="C32" t="s">
        <v>48</v>
      </c>
      <c r="D32" t="str">
        <f>Tabelle3[[#This Row],[Career Path]]&amp;"-"&amp;Tabelle3[[#This Row],[Global Grade]]</f>
        <v>Projects-10</v>
      </c>
      <c r="E32" t="s">
        <v>44</v>
      </c>
      <c r="F32" t="s">
        <v>47</v>
      </c>
      <c r="G32" t="str">
        <f>Tabelle3[[#This Row],[Career Level]]&amp;"-"&amp;Tabelle3[[#This Row],[Global Grade]]</f>
        <v>P2-10</v>
      </c>
    </row>
    <row r="33" spans="1:7" x14ac:dyDescent="0.15">
      <c r="A33" s="1" t="s">
        <v>21</v>
      </c>
      <c r="B33" t="s">
        <v>46</v>
      </c>
      <c r="C33" t="s">
        <v>48</v>
      </c>
      <c r="D33" t="str">
        <f>Tabelle3[[#This Row],[Career Path]]&amp;"-"&amp;Tabelle3[[#This Row],[Global Grade]]</f>
        <v>Projects-09</v>
      </c>
      <c r="E33" t="s">
        <v>44</v>
      </c>
      <c r="F33" t="s">
        <v>47</v>
      </c>
      <c r="G33" t="str">
        <f>Tabelle3[[#This Row],[Career Level]]&amp;"-"&amp;Tabelle3[[#This Row],[Global Grade]]</f>
        <v>P2-09</v>
      </c>
    </row>
    <row r="34" spans="1:7" x14ac:dyDescent="0.15">
      <c r="A34" s="1" t="s">
        <v>19</v>
      </c>
      <c r="B34" t="s">
        <v>46</v>
      </c>
      <c r="C34" t="s">
        <v>45</v>
      </c>
      <c r="D34" t="str">
        <f>Tabelle3[[#This Row],[Career Path]]&amp;"-"&amp;Tabelle3[[#This Row],[Global Grade]]</f>
        <v>Projects-08</v>
      </c>
      <c r="E34" t="s">
        <v>44</v>
      </c>
      <c r="F34" t="s">
        <v>43</v>
      </c>
      <c r="G34" t="str">
        <f>Tabelle3[[#This Row],[Career Level]]&amp;"-"&amp;Tabelle3[[#This Row],[Global Grade]]</f>
        <v>P1-08</v>
      </c>
    </row>
    <row r="35" spans="1:7" x14ac:dyDescent="0.15">
      <c r="A35" s="1" t="s">
        <v>42</v>
      </c>
      <c r="B35" t="s">
        <v>27</v>
      </c>
      <c r="C35" t="s">
        <v>39</v>
      </c>
      <c r="D35" t="str">
        <f>Tabelle3[[#This Row],[Career Path]]&amp;"-"&amp;Tabelle3[[#This Row],[Global Grade]]</f>
        <v>Sales-16</v>
      </c>
      <c r="E35" t="s">
        <v>25</v>
      </c>
      <c r="F35" t="s">
        <v>41</v>
      </c>
      <c r="G35" t="str">
        <f>Tabelle3[[#This Row],[Career Level]]&amp;"-"&amp;Tabelle3[[#This Row],[Global Grade]]</f>
        <v>S6-16</v>
      </c>
    </row>
    <row r="36" spans="1:7" x14ac:dyDescent="0.15">
      <c r="A36" s="1" t="s">
        <v>40</v>
      </c>
      <c r="B36" t="s">
        <v>27</v>
      </c>
      <c r="C36" t="s">
        <v>39</v>
      </c>
      <c r="D36" t="str">
        <f>Tabelle3[[#This Row],[Career Path]]&amp;"-"&amp;Tabelle3[[#This Row],[Global Grade]]</f>
        <v>Sales-15</v>
      </c>
      <c r="E36" t="s">
        <v>25</v>
      </c>
      <c r="F36" t="s">
        <v>38</v>
      </c>
      <c r="G36" t="str">
        <f>Tabelle3[[#This Row],[Career Level]]&amp;"-"&amp;Tabelle3[[#This Row],[Global Grade]]</f>
        <v>S5-15</v>
      </c>
    </row>
    <row r="37" spans="1:7" x14ac:dyDescent="0.15">
      <c r="A37" s="1" t="s">
        <v>37</v>
      </c>
      <c r="B37" t="s">
        <v>27</v>
      </c>
      <c r="C37" t="s">
        <v>35</v>
      </c>
      <c r="D37" t="str">
        <f>Tabelle3[[#This Row],[Career Path]]&amp;"-"&amp;Tabelle3[[#This Row],[Global Grade]]</f>
        <v>Sales-14</v>
      </c>
      <c r="E37" t="s">
        <v>25</v>
      </c>
      <c r="F37" t="s">
        <v>34</v>
      </c>
      <c r="G37" t="str">
        <f>Tabelle3[[#This Row],[Career Level]]&amp;"-"&amp;Tabelle3[[#This Row],[Global Grade]]</f>
        <v>S4-14</v>
      </c>
    </row>
    <row r="38" spans="1:7" x14ac:dyDescent="0.15">
      <c r="A38" s="1" t="s">
        <v>36</v>
      </c>
      <c r="B38" t="s">
        <v>27</v>
      </c>
      <c r="C38" t="s">
        <v>35</v>
      </c>
      <c r="D38" t="str">
        <f>Tabelle3[[#This Row],[Career Path]]&amp;"-"&amp;Tabelle3[[#This Row],[Global Grade]]</f>
        <v>Sales-13</v>
      </c>
      <c r="E38" t="s">
        <v>25</v>
      </c>
      <c r="F38" t="s">
        <v>34</v>
      </c>
      <c r="G38" t="str">
        <f>Tabelle3[[#This Row],[Career Level]]&amp;"-"&amp;Tabelle3[[#This Row],[Global Grade]]</f>
        <v>S4-13</v>
      </c>
    </row>
    <row r="39" spans="1:7" x14ac:dyDescent="0.15">
      <c r="A39" s="1" t="s">
        <v>33</v>
      </c>
      <c r="B39" t="s">
        <v>27</v>
      </c>
      <c r="C39" t="s">
        <v>31</v>
      </c>
      <c r="D39" t="str">
        <f>Tabelle3[[#This Row],[Career Path]]&amp;"-"&amp;Tabelle3[[#This Row],[Global Grade]]</f>
        <v>Sales-12</v>
      </c>
      <c r="E39" t="s">
        <v>25</v>
      </c>
      <c r="F39" t="s">
        <v>30</v>
      </c>
      <c r="G39" t="str">
        <f>Tabelle3[[#This Row],[Career Level]]&amp;"-"&amp;Tabelle3[[#This Row],[Global Grade]]</f>
        <v>S3-12</v>
      </c>
    </row>
    <row r="40" spans="1:7" x14ac:dyDescent="0.15">
      <c r="A40" s="1" t="s">
        <v>32</v>
      </c>
      <c r="B40" t="s">
        <v>27</v>
      </c>
      <c r="C40" t="s">
        <v>31</v>
      </c>
      <c r="D40" t="str">
        <f>Tabelle3[[#This Row],[Career Path]]&amp;"-"&amp;Tabelle3[[#This Row],[Global Grade]]</f>
        <v>Sales-11</v>
      </c>
      <c r="E40" t="s">
        <v>25</v>
      </c>
      <c r="F40" t="s">
        <v>30</v>
      </c>
      <c r="G40" t="str">
        <f>Tabelle3[[#This Row],[Career Level]]&amp;"-"&amp;Tabelle3[[#This Row],[Global Grade]]</f>
        <v>S3-11</v>
      </c>
    </row>
    <row r="41" spans="1:7" x14ac:dyDescent="0.15">
      <c r="A41" s="1" t="s">
        <v>23</v>
      </c>
      <c r="B41" t="s">
        <v>27</v>
      </c>
      <c r="C41" t="s">
        <v>29</v>
      </c>
      <c r="D41" t="str">
        <f>Tabelle3[[#This Row],[Career Path]]&amp;"-"&amp;Tabelle3[[#This Row],[Global Grade]]</f>
        <v>Sales-10</v>
      </c>
      <c r="E41" t="s">
        <v>25</v>
      </c>
      <c r="F41" t="s">
        <v>28</v>
      </c>
      <c r="G41" t="str">
        <f>Tabelle3[[#This Row],[Career Level]]&amp;"-"&amp;Tabelle3[[#This Row],[Global Grade]]</f>
        <v>S2-10</v>
      </c>
    </row>
    <row r="42" spans="1:7" x14ac:dyDescent="0.15">
      <c r="A42" s="1" t="s">
        <v>21</v>
      </c>
      <c r="B42" t="s">
        <v>27</v>
      </c>
      <c r="C42" t="s">
        <v>29</v>
      </c>
      <c r="D42" t="str">
        <f>Tabelle3[[#This Row],[Career Path]]&amp;"-"&amp;Tabelle3[[#This Row],[Global Grade]]</f>
        <v>Sales-09</v>
      </c>
      <c r="E42" t="s">
        <v>25</v>
      </c>
      <c r="F42" t="s">
        <v>28</v>
      </c>
      <c r="G42" t="str">
        <f>Tabelle3[[#This Row],[Career Level]]&amp;"-"&amp;Tabelle3[[#This Row],[Global Grade]]</f>
        <v>S2-09</v>
      </c>
    </row>
    <row r="43" spans="1:7" x14ac:dyDescent="0.15">
      <c r="A43" s="1" t="s">
        <v>19</v>
      </c>
      <c r="B43" t="s">
        <v>27</v>
      </c>
      <c r="C43" t="s">
        <v>26</v>
      </c>
      <c r="D43" t="str">
        <f>Tabelle3[[#This Row],[Career Path]]&amp;"-"&amp;Tabelle3[[#This Row],[Global Grade]]</f>
        <v>Sales-08</v>
      </c>
      <c r="E43" t="s">
        <v>25</v>
      </c>
      <c r="F43" t="s">
        <v>24</v>
      </c>
      <c r="G43" t="str">
        <f>Tabelle3[[#This Row],[Career Level]]&amp;"-"&amp;Tabelle3[[#This Row],[Global Grade]]</f>
        <v>S1-08</v>
      </c>
    </row>
    <row r="44" spans="1:7" x14ac:dyDescent="0.15">
      <c r="A44" s="1" t="s">
        <v>23</v>
      </c>
      <c r="B44" t="s">
        <v>3</v>
      </c>
      <c r="C44" t="s">
        <v>22</v>
      </c>
      <c r="D44" t="str">
        <f>Tabelle3[[#This Row],[Career Path]]&amp;"-"&amp;Tabelle3[[#This Row],[Global Grade]]</f>
        <v>Operations-10</v>
      </c>
      <c r="E44" t="s">
        <v>13</v>
      </c>
      <c r="F44" t="s">
        <v>20</v>
      </c>
      <c r="G44" t="str">
        <f>Tabelle3[[#This Row],[Career Level]]&amp;"-"&amp;Tabelle3[[#This Row],[Global Grade]]</f>
        <v>T4-10</v>
      </c>
    </row>
    <row r="45" spans="1:7" x14ac:dyDescent="0.15">
      <c r="A45" s="1" t="s">
        <v>21</v>
      </c>
      <c r="B45" t="s">
        <v>3</v>
      </c>
      <c r="C45" t="s">
        <v>14</v>
      </c>
      <c r="D45" t="str">
        <f>Tabelle3[[#This Row],[Career Path]]&amp;"-"&amp;Tabelle3[[#This Row],[Global Grade]]</f>
        <v>Operations-09</v>
      </c>
      <c r="E45" t="s">
        <v>13</v>
      </c>
      <c r="F45" t="s">
        <v>20</v>
      </c>
      <c r="G45" t="str">
        <f>Tabelle3[[#This Row],[Career Level]]&amp;"-"&amp;Tabelle3[[#This Row],[Global Grade]]</f>
        <v>T4-09</v>
      </c>
    </row>
    <row r="46" spans="1:7" x14ac:dyDescent="0.15">
      <c r="A46" s="1" t="s">
        <v>19</v>
      </c>
      <c r="B46" t="s">
        <v>3</v>
      </c>
      <c r="C46" t="s">
        <v>18</v>
      </c>
      <c r="D46" t="str">
        <f>Tabelle3[[#This Row],[Career Path]]&amp;"-"&amp;Tabelle3[[#This Row],[Global Grade]]</f>
        <v>Operations-08</v>
      </c>
      <c r="E46" t="s">
        <v>1</v>
      </c>
      <c r="F46" t="s">
        <v>17</v>
      </c>
      <c r="G46" t="str">
        <f>Tabelle3[[#This Row],[Career Level]]&amp;"-"&amp;Tabelle3[[#This Row],[Global Grade]]</f>
        <v>W4-08</v>
      </c>
    </row>
    <row r="47" spans="1:7" x14ac:dyDescent="0.15">
      <c r="A47" s="1" t="s">
        <v>19</v>
      </c>
      <c r="B47" t="s">
        <v>15</v>
      </c>
      <c r="C47" t="s">
        <v>14</v>
      </c>
      <c r="D47" t="str">
        <f>Tabelle3[[#This Row],[Career Path]]&amp;"-"&amp;Tabelle3[[#This Row],[Global Grade]]</f>
        <v>Operations / Technician-08</v>
      </c>
      <c r="E47" t="s">
        <v>13</v>
      </c>
      <c r="F47" t="s">
        <v>12</v>
      </c>
      <c r="G47" t="str">
        <f>Tabelle3[[#This Row],[Career Level]]&amp;"-"&amp;Tabelle3[[#This Row],[Global Grade]]</f>
        <v>T3-08</v>
      </c>
    </row>
    <row r="48" spans="1:7" x14ac:dyDescent="0.15">
      <c r="A48" s="1" t="s">
        <v>16</v>
      </c>
      <c r="B48" t="s">
        <v>3</v>
      </c>
      <c r="C48" t="s">
        <v>18</v>
      </c>
      <c r="D48" t="str">
        <f>Tabelle3[[#This Row],[Career Path]]&amp;"-"&amp;Tabelle3[[#This Row],[Global Grade]]</f>
        <v>Operations-07</v>
      </c>
      <c r="E48" t="s">
        <v>1</v>
      </c>
      <c r="F48" t="s">
        <v>17</v>
      </c>
      <c r="G48" t="str">
        <f>Tabelle3[[#This Row],[Career Level]]&amp;"-"&amp;Tabelle3[[#This Row],[Global Grade]]</f>
        <v>W4-07</v>
      </c>
    </row>
    <row r="49" spans="1:7" x14ac:dyDescent="0.15">
      <c r="A49" s="1" t="s">
        <v>16</v>
      </c>
      <c r="B49" t="s">
        <v>15</v>
      </c>
      <c r="C49" t="s">
        <v>14</v>
      </c>
      <c r="D49" t="str">
        <f>Tabelle3[[#This Row],[Career Path]]&amp;"-"&amp;Tabelle3[[#This Row],[Global Grade]]</f>
        <v>Operations / Technician-07</v>
      </c>
      <c r="E49" t="s">
        <v>13</v>
      </c>
      <c r="F49" t="s">
        <v>12</v>
      </c>
      <c r="G49" t="str">
        <f>Tabelle3[[#This Row],[Career Level]]&amp;"-"&amp;Tabelle3[[#This Row],[Global Grade]]</f>
        <v>T3-07</v>
      </c>
    </row>
    <row r="50" spans="1:7" x14ac:dyDescent="0.15">
      <c r="A50" s="1" t="s">
        <v>11</v>
      </c>
      <c r="B50" t="s">
        <v>3</v>
      </c>
      <c r="C50" t="s">
        <v>7</v>
      </c>
      <c r="D50" t="str">
        <f>Tabelle3[[#This Row],[Career Path]]&amp;"-"&amp;Tabelle3[[#This Row],[Global Grade]]</f>
        <v>Operations-06</v>
      </c>
      <c r="E50" t="s">
        <v>1</v>
      </c>
      <c r="F50" t="s">
        <v>10</v>
      </c>
      <c r="G50" t="str">
        <f>Tabelle3[[#This Row],[Career Level]]&amp;"-"&amp;Tabelle3[[#This Row],[Global Grade]]</f>
        <v>W3-06</v>
      </c>
    </row>
    <row r="51" spans="1:7" x14ac:dyDescent="0.15">
      <c r="A51" s="1" t="s">
        <v>9</v>
      </c>
      <c r="B51" t="s">
        <v>3</v>
      </c>
      <c r="C51" t="s">
        <v>7</v>
      </c>
      <c r="D51" t="str">
        <f>Tabelle3[[#This Row],[Career Path]]&amp;"-"&amp;Tabelle3[[#This Row],[Global Grade]]</f>
        <v>Operations-05</v>
      </c>
      <c r="E51" t="s">
        <v>1</v>
      </c>
      <c r="F51" t="s">
        <v>6</v>
      </c>
      <c r="G51" t="str">
        <f>Tabelle3[[#This Row],[Career Level]]&amp;"-"&amp;Tabelle3[[#This Row],[Global Grade]]</f>
        <v>W2-05</v>
      </c>
    </row>
    <row r="52" spans="1:7" x14ac:dyDescent="0.15">
      <c r="A52" s="1" t="s">
        <v>8</v>
      </c>
      <c r="B52" t="s">
        <v>3</v>
      </c>
      <c r="C52" t="s">
        <v>7</v>
      </c>
      <c r="D52" t="str">
        <f>Tabelle3[[#This Row],[Career Path]]&amp;"-"&amp;Tabelle3[[#This Row],[Global Grade]]</f>
        <v>Operations-04</v>
      </c>
      <c r="E52" t="s">
        <v>1</v>
      </c>
      <c r="F52" t="s">
        <v>6</v>
      </c>
      <c r="G52" t="str">
        <f>Tabelle3[[#This Row],[Career Level]]&amp;"-"&amp;Tabelle3[[#This Row],[Global Grade]]</f>
        <v>W2-04</v>
      </c>
    </row>
    <row r="53" spans="1:7" x14ac:dyDescent="0.15">
      <c r="A53" s="1" t="s">
        <v>5</v>
      </c>
      <c r="B53" t="s">
        <v>3</v>
      </c>
      <c r="C53" t="s">
        <v>2</v>
      </c>
      <c r="D53" t="str">
        <f>Tabelle3[[#This Row],[Career Path]]&amp;"-"&amp;Tabelle3[[#This Row],[Global Grade]]</f>
        <v>Operations-03</v>
      </c>
      <c r="E53" t="s">
        <v>1</v>
      </c>
      <c r="F53" t="s">
        <v>0</v>
      </c>
      <c r="G53" t="str">
        <f>Tabelle3[[#This Row],[Career Level]]&amp;"-"&amp;Tabelle3[[#This Row],[Global Grade]]</f>
        <v>W1-03</v>
      </c>
    </row>
    <row r="54" spans="1:7" x14ac:dyDescent="0.15">
      <c r="A54" s="1" t="s">
        <v>4</v>
      </c>
      <c r="B54" t="s">
        <v>3</v>
      </c>
      <c r="C54" t="s">
        <v>2</v>
      </c>
      <c r="D54" t="str">
        <f>Tabelle3[[#This Row],[Career Path]]&amp;"-"&amp;Tabelle3[[#This Row],[Global Grade]]</f>
        <v>Operations-02</v>
      </c>
      <c r="E54" t="s">
        <v>1</v>
      </c>
      <c r="F54" t="s">
        <v>0</v>
      </c>
      <c r="G54" t="str">
        <f>Tabelle3[[#This Row],[Career Level]]&amp;"-"&amp;Tabelle3[[#This Row],[Global Grade]]</f>
        <v>W1-02</v>
      </c>
    </row>
  </sheetData>
  <sheetProtection autoFilter="0"/>
  <conditionalFormatting sqref="E2:F54">
    <cfRule type="expression" dxfId="0" priority="1">
      <formula>ISBLANK(E2)</formula>
    </cfRule>
  </conditionalFormatting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Level Structure</vt:lpstr>
      <vt:lpstr>'Level Structure'!Area_de_impressao</vt:lpstr>
      <vt:lpstr>Professional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Savoy</dc:creator>
  <cp:lastModifiedBy>Alexandre Savoy</cp:lastModifiedBy>
  <dcterms:created xsi:type="dcterms:W3CDTF">2025-11-09T02:18:28Z</dcterms:created>
  <dcterms:modified xsi:type="dcterms:W3CDTF">2025-11-09T02:19:09Z</dcterms:modified>
</cp:coreProperties>
</file>